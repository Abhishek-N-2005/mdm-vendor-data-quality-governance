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ONLINE CLASS\project 4\"/>
    </mc:Choice>
  </mc:AlternateContent>
  <xr:revisionPtr revIDLastSave="0" documentId="13_ncr:1_{7264FE65-5F84-4BAF-9CDF-1A2261FDA977}" xr6:coauthVersionLast="47" xr6:coauthVersionMax="47" xr10:uidLastSave="{00000000-0000-0000-0000-000000000000}"/>
  <bookViews>
    <workbookView xWindow="-110" yWindow="-110" windowWidth="19420" windowHeight="11500" tabRatio="500" firstSheet="5" activeTab="8" xr2:uid="{00000000-000D-0000-FFFF-FFFF00000000}"/>
  </bookViews>
  <sheets>
    <sheet name="Dashboard" sheetId="2" r:id="rId1"/>
    <sheet name="DQ_Scorecard" sheetId="3" r:id="rId2"/>
    <sheet name="DQ_Rules" sheetId="4" r:id="rId3"/>
    <sheet name="Vendor_Master_Raw" sheetId="5" r:id="rId4"/>
    <sheet name="Vendor_Master_Golden" sheetId="6" r:id="rId5"/>
    <sheet name="Vendor_ID_Map" sheetId="7" r:id="rId6"/>
    <sheet name="Duplicate_Review" sheetId="8" r:id="rId7"/>
    <sheet name="Steward_Queue" sheetId="9" r:id="rId8"/>
    <sheet name="AP_Invoices_Recon" sheetId="10" r:id="rId9"/>
  </sheets>
  <definedNames>
    <definedName name="_xlnm._FilterDatabase" localSheetId="8" hidden="1">AP_Invoices_Recon!$A$1:$M$511</definedName>
    <definedName name="_xlnm._FilterDatabase" localSheetId="6" hidden="1">Duplicate_Review!$A$1:$H$10</definedName>
    <definedName name="_xlnm._FilterDatabase" localSheetId="7" hidden="1">Steward_Queue!$A$1:$G$86</definedName>
    <definedName name="_xlnm._FilterDatabase" localSheetId="5" hidden="1">Vendor_ID_Map!$A$1:$E$229</definedName>
    <definedName name="_xlnm._FilterDatabase" localSheetId="4" hidden="1">Vendor_Master_Golden!$A$1:$V$208</definedName>
    <definedName name="_xlnm._FilterDatabase" localSheetId="3" hidden="1">Vendor_Master_Raw!$A$1:$X$229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11" i="10" l="1"/>
  <c r="F511" i="10"/>
  <c r="H511" i="10" s="1"/>
  <c r="J510" i="10"/>
  <c r="G510" i="10"/>
  <c r="F510" i="10"/>
  <c r="H510" i="10" s="1"/>
  <c r="J509" i="10"/>
  <c r="G509" i="10"/>
  <c r="F509" i="10"/>
  <c r="H509" i="10" s="1"/>
  <c r="J508" i="10"/>
  <c r="I508" i="10"/>
  <c r="G508" i="10"/>
  <c r="F508" i="10"/>
  <c r="H508" i="10" s="1"/>
  <c r="J507" i="10"/>
  <c r="F507" i="10"/>
  <c r="H507" i="10" s="1"/>
  <c r="J506" i="10"/>
  <c r="G506" i="10"/>
  <c r="F506" i="10"/>
  <c r="H506" i="10" s="1"/>
  <c r="J505" i="10"/>
  <c r="G505" i="10"/>
  <c r="F505" i="10"/>
  <c r="H505" i="10" s="1"/>
  <c r="J504" i="10"/>
  <c r="I504" i="10"/>
  <c r="G504" i="10"/>
  <c r="F504" i="10"/>
  <c r="H504" i="10" s="1"/>
  <c r="J503" i="10"/>
  <c r="F503" i="10"/>
  <c r="H503" i="10" s="1"/>
  <c r="J502" i="10"/>
  <c r="G502" i="10"/>
  <c r="F502" i="10"/>
  <c r="H502" i="10" s="1"/>
  <c r="J501" i="10"/>
  <c r="G501" i="10"/>
  <c r="F501" i="10"/>
  <c r="H501" i="10" s="1"/>
  <c r="J500" i="10"/>
  <c r="I500" i="10"/>
  <c r="G500" i="10"/>
  <c r="F500" i="10"/>
  <c r="H500" i="10" s="1"/>
  <c r="J499" i="10"/>
  <c r="F499" i="10"/>
  <c r="H499" i="10" s="1"/>
  <c r="J498" i="10"/>
  <c r="G498" i="10"/>
  <c r="F498" i="10"/>
  <c r="H498" i="10" s="1"/>
  <c r="J497" i="10"/>
  <c r="G497" i="10"/>
  <c r="F497" i="10"/>
  <c r="H497" i="10" s="1"/>
  <c r="J496" i="10"/>
  <c r="I496" i="10"/>
  <c r="G496" i="10"/>
  <c r="F496" i="10"/>
  <c r="H496" i="10" s="1"/>
  <c r="J495" i="10"/>
  <c r="G495" i="10"/>
  <c r="F495" i="10"/>
  <c r="H495" i="10" s="1"/>
  <c r="J494" i="10"/>
  <c r="G494" i="10"/>
  <c r="F494" i="10"/>
  <c r="H494" i="10" s="1"/>
  <c r="J493" i="10"/>
  <c r="G493" i="10"/>
  <c r="F493" i="10"/>
  <c r="H493" i="10" s="1"/>
  <c r="J492" i="10"/>
  <c r="I492" i="10"/>
  <c r="G492" i="10"/>
  <c r="F492" i="10"/>
  <c r="H492" i="10" s="1"/>
  <c r="J491" i="10"/>
  <c r="G491" i="10"/>
  <c r="F491" i="10"/>
  <c r="H491" i="10" s="1"/>
  <c r="J490" i="10"/>
  <c r="G490" i="10"/>
  <c r="F490" i="10"/>
  <c r="H490" i="10" s="1"/>
  <c r="J489" i="10"/>
  <c r="G489" i="10"/>
  <c r="F489" i="10"/>
  <c r="H489" i="10" s="1"/>
  <c r="J488" i="10"/>
  <c r="H488" i="10"/>
  <c r="F488" i="10"/>
  <c r="J487" i="10"/>
  <c r="I487" i="10"/>
  <c r="H487" i="10"/>
  <c r="G487" i="10"/>
  <c r="F487" i="10"/>
  <c r="J486" i="10"/>
  <c r="F486" i="10"/>
  <c r="J485" i="10"/>
  <c r="G485" i="10"/>
  <c r="F485" i="10"/>
  <c r="H485" i="10" s="1"/>
  <c r="I485" i="10" s="1"/>
  <c r="J484" i="10"/>
  <c r="H484" i="10"/>
  <c r="F484" i="10"/>
  <c r="I484" i="10" s="1"/>
  <c r="J483" i="10"/>
  <c r="G483" i="10"/>
  <c r="F483" i="10"/>
  <c r="H483" i="10" s="1"/>
  <c r="I483" i="10" s="1"/>
  <c r="J482" i="10"/>
  <c r="H482" i="10"/>
  <c r="F482" i="10"/>
  <c r="G482" i="10" s="1"/>
  <c r="J481" i="10"/>
  <c r="I481" i="10"/>
  <c r="G481" i="10"/>
  <c r="F481" i="10"/>
  <c r="H481" i="10" s="1"/>
  <c r="J480" i="10"/>
  <c r="H480" i="10"/>
  <c r="F480" i="10"/>
  <c r="J479" i="10"/>
  <c r="I479" i="10"/>
  <c r="H479" i="10"/>
  <c r="G479" i="10"/>
  <c r="F479" i="10"/>
  <c r="J478" i="10"/>
  <c r="F478" i="10"/>
  <c r="J477" i="10"/>
  <c r="G477" i="10"/>
  <c r="F477" i="10"/>
  <c r="H477" i="10" s="1"/>
  <c r="I477" i="10" s="1"/>
  <c r="J476" i="10"/>
  <c r="H476" i="10"/>
  <c r="F476" i="10"/>
  <c r="I476" i="10" s="1"/>
  <c r="J475" i="10"/>
  <c r="I475" i="10"/>
  <c r="H475" i="10"/>
  <c r="G475" i="10"/>
  <c r="F475" i="10"/>
  <c r="J474" i="10"/>
  <c r="H474" i="10"/>
  <c r="F474" i="10"/>
  <c r="G474" i="10" s="1"/>
  <c r="J473" i="10"/>
  <c r="I473" i="10"/>
  <c r="G473" i="10"/>
  <c r="F473" i="10"/>
  <c r="H473" i="10" s="1"/>
  <c r="J472" i="10"/>
  <c r="H472" i="10"/>
  <c r="F472" i="10"/>
  <c r="J471" i="10"/>
  <c r="I471" i="10"/>
  <c r="H471" i="10"/>
  <c r="G471" i="10"/>
  <c r="F471" i="10"/>
  <c r="J470" i="10"/>
  <c r="F470" i="10"/>
  <c r="J469" i="10"/>
  <c r="G469" i="10"/>
  <c r="F469" i="10"/>
  <c r="H469" i="10" s="1"/>
  <c r="I469" i="10" s="1"/>
  <c r="J468" i="10"/>
  <c r="H468" i="10"/>
  <c r="F468" i="10"/>
  <c r="I468" i="10" s="1"/>
  <c r="J467" i="10"/>
  <c r="I467" i="10"/>
  <c r="H467" i="10"/>
  <c r="G467" i="10"/>
  <c r="F467" i="10"/>
  <c r="J466" i="10"/>
  <c r="H466" i="10"/>
  <c r="F466" i="10"/>
  <c r="G466" i="10" s="1"/>
  <c r="J465" i="10"/>
  <c r="I465" i="10"/>
  <c r="G465" i="10"/>
  <c r="F465" i="10"/>
  <c r="H465" i="10" s="1"/>
  <c r="J464" i="10"/>
  <c r="H464" i="10"/>
  <c r="F464" i="10"/>
  <c r="J463" i="10"/>
  <c r="I463" i="10"/>
  <c r="H463" i="10"/>
  <c r="G463" i="10"/>
  <c r="F463" i="10"/>
  <c r="J462" i="10"/>
  <c r="F462" i="10"/>
  <c r="J461" i="10"/>
  <c r="G461" i="10"/>
  <c r="F461" i="10"/>
  <c r="H461" i="10" s="1"/>
  <c r="I461" i="10" s="1"/>
  <c r="J460" i="10"/>
  <c r="H460" i="10"/>
  <c r="F460" i="10"/>
  <c r="I460" i="10" s="1"/>
  <c r="J459" i="10"/>
  <c r="G459" i="10"/>
  <c r="F459" i="10"/>
  <c r="H459" i="10" s="1"/>
  <c r="I459" i="10" s="1"/>
  <c r="J458" i="10"/>
  <c r="F458" i="10"/>
  <c r="J457" i="10"/>
  <c r="G457" i="10"/>
  <c r="F457" i="10"/>
  <c r="H457" i="10" s="1"/>
  <c r="I457" i="10" s="1"/>
  <c r="J456" i="10"/>
  <c r="F456" i="10"/>
  <c r="J455" i="10"/>
  <c r="I455" i="10"/>
  <c r="H455" i="10"/>
  <c r="G455" i="10"/>
  <c r="F455" i="10"/>
  <c r="J454" i="10"/>
  <c r="F454" i="10"/>
  <c r="J453" i="10"/>
  <c r="G453" i="10"/>
  <c r="F453" i="10"/>
  <c r="H453" i="10" s="1"/>
  <c r="I453" i="10" s="1"/>
  <c r="J452" i="10"/>
  <c r="H452" i="10"/>
  <c r="F452" i="10"/>
  <c r="J451" i="10"/>
  <c r="I451" i="10"/>
  <c r="G451" i="10"/>
  <c r="F451" i="10"/>
  <c r="H451" i="10" s="1"/>
  <c r="J450" i="10"/>
  <c r="H450" i="10"/>
  <c r="F450" i="10"/>
  <c r="J449" i="10"/>
  <c r="G449" i="10"/>
  <c r="F449" i="10"/>
  <c r="H449" i="10" s="1"/>
  <c r="I449" i="10" s="1"/>
  <c r="J448" i="10"/>
  <c r="F448" i="10"/>
  <c r="J447" i="10"/>
  <c r="I447" i="10"/>
  <c r="H447" i="10"/>
  <c r="G447" i="10"/>
  <c r="F447" i="10"/>
  <c r="J446" i="10"/>
  <c r="H446" i="10"/>
  <c r="F446" i="10"/>
  <c r="J445" i="10"/>
  <c r="I445" i="10"/>
  <c r="G445" i="10"/>
  <c r="F445" i="10"/>
  <c r="H445" i="10" s="1"/>
  <c r="J444" i="10"/>
  <c r="H444" i="10"/>
  <c r="F444" i="10"/>
  <c r="J443" i="10"/>
  <c r="G443" i="10"/>
  <c r="F443" i="10"/>
  <c r="H443" i="10" s="1"/>
  <c r="I443" i="10" s="1"/>
  <c r="J442" i="10"/>
  <c r="F442" i="10"/>
  <c r="J441" i="10"/>
  <c r="G441" i="10"/>
  <c r="F441" i="10"/>
  <c r="H441" i="10" s="1"/>
  <c r="I441" i="10" s="1"/>
  <c r="J440" i="10"/>
  <c r="I440" i="10"/>
  <c r="H440" i="10"/>
  <c r="F440" i="10"/>
  <c r="J439" i="10"/>
  <c r="I439" i="10"/>
  <c r="H439" i="10"/>
  <c r="G439" i="10"/>
  <c r="F439" i="10"/>
  <c r="J438" i="10"/>
  <c r="F438" i="10"/>
  <c r="J437" i="10"/>
  <c r="I437" i="10"/>
  <c r="F437" i="10"/>
  <c r="H437" i="10" s="1"/>
  <c r="J436" i="10"/>
  <c r="H436" i="10"/>
  <c r="F436" i="10"/>
  <c r="J435" i="10"/>
  <c r="G435" i="10"/>
  <c r="F435" i="10"/>
  <c r="H435" i="10" s="1"/>
  <c r="I435" i="10" s="1"/>
  <c r="J434" i="10"/>
  <c r="H434" i="10"/>
  <c r="F434" i="10"/>
  <c r="J433" i="10"/>
  <c r="G433" i="10"/>
  <c r="F433" i="10"/>
  <c r="H433" i="10" s="1"/>
  <c r="I433" i="10" s="1"/>
  <c r="J432" i="10"/>
  <c r="H432" i="10"/>
  <c r="I432" i="10" s="1"/>
  <c r="F432" i="10"/>
  <c r="J431" i="10"/>
  <c r="I431" i="10"/>
  <c r="H431" i="10"/>
  <c r="G431" i="10"/>
  <c r="F431" i="10"/>
  <c r="J430" i="10"/>
  <c r="G430" i="10"/>
  <c r="F430" i="10"/>
  <c r="J429" i="10"/>
  <c r="I429" i="10"/>
  <c r="G429" i="10"/>
  <c r="F429" i="10"/>
  <c r="H429" i="10" s="1"/>
  <c r="J428" i="10"/>
  <c r="H428" i="10"/>
  <c r="F428" i="10"/>
  <c r="J427" i="10"/>
  <c r="I427" i="10"/>
  <c r="H427" i="10"/>
  <c r="G427" i="10"/>
  <c r="F427" i="10"/>
  <c r="J426" i="10"/>
  <c r="G426" i="10"/>
  <c r="F426" i="10"/>
  <c r="H426" i="10" s="1"/>
  <c r="I426" i="10" s="1"/>
  <c r="J425" i="10"/>
  <c r="G425" i="10"/>
  <c r="F425" i="10"/>
  <c r="H425" i="10" s="1"/>
  <c r="I425" i="10" s="1"/>
  <c r="J424" i="10"/>
  <c r="I424" i="10"/>
  <c r="G424" i="10"/>
  <c r="F424" i="10"/>
  <c r="H424" i="10" s="1"/>
  <c r="J423" i="10"/>
  <c r="I423" i="10"/>
  <c r="G423" i="10"/>
  <c r="F423" i="10"/>
  <c r="H423" i="10" s="1"/>
  <c r="J422" i="10"/>
  <c r="G422" i="10"/>
  <c r="F422" i="10"/>
  <c r="H422" i="10" s="1"/>
  <c r="J421" i="10"/>
  <c r="F421" i="10"/>
  <c r="H421" i="10" s="1"/>
  <c r="J420" i="10"/>
  <c r="I420" i="10"/>
  <c r="G420" i="10"/>
  <c r="F420" i="10"/>
  <c r="H420" i="10" s="1"/>
  <c r="J419" i="10"/>
  <c r="G419" i="10"/>
  <c r="F419" i="10"/>
  <c r="H419" i="10" s="1"/>
  <c r="J418" i="10"/>
  <c r="F418" i="10"/>
  <c r="J417" i="10"/>
  <c r="F417" i="10"/>
  <c r="H417" i="10" s="1"/>
  <c r="J416" i="10"/>
  <c r="I416" i="10"/>
  <c r="G416" i="10"/>
  <c r="F416" i="10"/>
  <c r="H416" i="10" s="1"/>
  <c r="J415" i="10"/>
  <c r="I415" i="10"/>
  <c r="G415" i="10"/>
  <c r="F415" i="10"/>
  <c r="H415" i="10" s="1"/>
  <c r="J414" i="10"/>
  <c r="G414" i="10"/>
  <c r="F414" i="10"/>
  <c r="H414" i="10" s="1"/>
  <c r="J413" i="10"/>
  <c r="F413" i="10"/>
  <c r="J412" i="10"/>
  <c r="I412" i="10"/>
  <c r="G412" i="10"/>
  <c r="F412" i="10"/>
  <c r="H412" i="10" s="1"/>
  <c r="J411" i="10"/>
  <c r="G411" i="10"/>
  <c r="F411" i="10"/>
  <c r="H411" i="10" s="1"/>
  <c r="J410" i="10"/>
  <c r="F410" i="10"/>
  <c r="J409" i="10"/>
  <c r="F409" i="10"/>
  <c r="H409" i="10" s="1"/>
  <c r="J408" i="10"/>
  <c r="I408" i="10"/>
  <c r="G408" i="10"/>
  <c r="F408" i="10"/>
  <c r="H408" i="10" s="1"/>
  <c r="J407" i="10"/>
  <c r="I407" i="10"/>
  <c r="G407" i="10"/>
  <c r="F407" i="10"/>
  <c r="H407" i="10" s="1"/>
  <c r="J406" i="10"/>
  <c r="G406" i="10"/>
  <c r="F406" i="10"/>
  <c r="H406" i="10" s="1"/>
  <c r="J405" i="10"/>
  <c r="F405" i="10"/>
  <c r="J404" i="10"/>
  <c r="I404" i="10"/>
  <c r="G404" i="10"/>
  <c r="F404" i="10"/>
  <c r="H404" i="10" s="1"/>
  <c r="J403" i="10"/>
  <c r="G403" i="10"/>
  <c r="F403" i="10"/>
  <c r="J402" i="10"/>
  <c r="F402" i="10"/>
  <c r="J401" i="10"/>
  <c r="F401" i="10"/>
  <c r="H401" i="10" s="1"/>
  <c r="J400" i="10"/>
  <c r="I400" i="10"/>
  <c r="G400" i="10"/>
  <c r="F400" i="10"/>
  <c r="H400" i="10" s="1"/>
  <c r="J399" i="10"/>
  <c r="I399" i="10"/>
  <c r="G399" i="10"/>
  <c r="F399" i="10"/>
  <c r="H399" i="10" s="1"/>
  <c r="J398" i="10"/>
  <c r="F398" i="10"/>
  <c r="J397" i="10"/>
  <c r="F397" i="10"/>
  <c r="J396" i="10"/>
  <c r="I396" i="10"/>
  <c r="G396" i="10"/>
  <c r="F396" i="10"/>
  <c r="H396" i="10" s="1"/>
  <c r="J395" i="10"/>
  <c r="G395" i="10"/>
  <c r="F395" i="10"/>
  <c r="J394" i="10"/>
  <c r="G394" i="10"/>
  <c r="F394" i="10"/>
  <c r="J393" i="10"/>
  <c r="F393" i="10"/>
  <c r="J392" i="10"/>
  <c r="I392" i="10"/>
  <c r="G392" i="10"/>
  <c r="F392" i="10"/>
  <c r="H392" i="10" s="1"/>
  <c r="J391" i="10"/>
  <c r="F391" i="10"/>
  <c r="H391" i="10" s="1"/>
  <c r="J390" i="10"/>
  <c r="I390" i="10"/>
  <c r="G390" i="10"/>
  <c r="F390" i="10"/>
  <c r="H390" i="10" s="1"/>
  <c r="J389" i="10"/>
  <c r="F389" i="10"/>
  <c r="G389" i="10" s="1"/>
  <c r="J388" i="10"/>
  <c r="H388" i="10"/>
  <c r="I388" i="10" s="1"/>
  <c r="F388" i="10"/>
  <c r="J387" i="10"/>
  <c r="I387" i="10"/>
  <c r="H387" i="10"/>
  <c r="G387" i="10"/>
  <c r="F387" i="10"/>
  <c r="J386" i="10"/>
  <c r="F386" i="10"/>
  <c r="J385" i="10"/>
  <c r="G385" i="10"/>
  <c r="F385" i="10"/>
  <c r="J384" i="10"/>
  <c r="F384" i="10"/>
  <c r="J383" i="10"/>
  <c r="H383" i="10"/>
  <c r="I383" i="10" s="1"/>
  <c r="G383" i="10"/>
  <c r="F383" i="10"/>
  <c r="J382" i="10"/>
  <c r="G382" i="10"/>
  <c r="F382" i="10"/>
  <c r="H382" i="10" s="1"/>
  <c r="J381" i="10"/>
  <c r="F381" i="10"/>
  <c r="G381" i="10" s="1"/>
  <c r="J380" i="10"/>
  <c r="H380" i="10"/>
  <c r="I380" i="10" s="1"/>
  <c r="F380" i="10"/>
  <c r="J379" i="10"/>
  <c r="I379" i="10"/>
  <c r="H379" i="10"/>
  <c r="G379" i="10"/>
  <c r="F379" i="10"/>
  <c r="J378" i="10"/>
  <c r="F378" i="10"/>
  <c r="J377" i="10"/>
  <c r="G377" i="10"/>
  <c r="F377" i="10"/>
  <c r="J376" i="10"/>
  <c r="F376" i="10"/>
  <c r="H376" i="10" s="1"/>
  <c r="I376" i="10" s="1"/>
  <c r="J375" i="10"/>
  <c r="H375" i="10"/>
  <c r="I375" i="10" s="1"/>
  <c r="G375" i="10"/>
  <c r="F375" i="10"/>
  <c r="J374" i="10"/>
  <c r="G374" i="10"/>
  <c r="F374" i="10"/>
  <c r="H374" i="10" s="1"/>
  <c r="J373" i="10"/>
  <c r="F373" i="10"/>
  <c r="G373" i="10" s="1"/>
  <c r="J372" i="10"/>
  <c r="H372" i="10"/>
  <c r="I372" i="10" s="1"/>
  <c r="F372" i="10"/>
  <c r="J371" i="10"/>
  <c r="I371" i="10"/>
  <c r="H371" i="10"/>
  <c r="G371" i="10"/>
  <c r="F371" i="10"/>
  <c r="J370" i="10"/>
  <c r="F370" i="10"/>
  <c r="J369" i="10"/>
  <c r="F369" i="10"/>
  <c r="J368" i="10"/>
  <c r="F368" i="10"/>
  <c r="H368" i="10" s="1"/>
  <c r="I368" i="10" s="1"/>
  <c r="J367" i="10"/>
  <c r="H367" i="10"/>
  <c r="I367" i="10" s="1"/>
  <c r="G367" i="10"/>
  <c r="F367" i="10"/>
  <c r="J366" i="10"/>
  <c r="G366" i="10"/>
  <c r="F366" i="10"/>
  <c r="H366" i="10" s="1"/>
  <c r="J365" i="10"/>
  <c r="F365" i="10"/>
  <c r="G365" i="10" s="1"/>
  <c r="J364" i="10"/>
  <c r="H364" i="10"/>
  <c r="I364" i="10" s="1"/>
  <c r="F364" i="10"/>
  <c r="J363" i="10"/>
  <c r="H363" i="10"/>
  <c r="I363" i="10" s="1"/>
  <c r="G363" i="10"/>
  <c r="F363" i="10"/>
  <c r="J362" i="10"/>
  <c r="F362" i="10"/>
  <c r="J361" i="10"/>
  <c r="F361" i="10"/>
  <c r="J360" i="10"/>
  <c r="I360" i="10"/>
  <c r="H360" i="10"/>
  <c r="F360" i="10"/>
  <c r="G360" i="10" s="1"/>
  <c r="J359" i="10"/>
  <c r="H359" i="10"/>
  <c r="I359" i="10" s="1"/>
  <c r="G359" i="10"/>
  <c r="F359" i="10"/>
  <c r="J358" i="10"/>
  <c r="G358" i="10"/>
  <c r="F358" i="10"/>
  <c r="J357" i="10"/>
  <c r="F357" i="10"/>
  <c r="J356" i="10"/>
  <c r="H356" i="10"/>
  <c r="I356" i="10" s="1"/>
  <c r="F356" i="10"/>
  <c r="J355" i="10"/>
  <c r="I355" i="10"/>
  <c r="H355" i="10"/>
  <c r="G355" i="10"/>
  <c r="F355" i="10"/>
  <c r="J354" i="10"/>
  <c r="G354" i="10"/>
  <c r="F354" i="10"/>
  <c r="J353" i="10"/>
  <c r="G353" i="10"/>
  <c r="F353" i="10"/>
  <c r="J352" i="10"/>
  <c r="I352" i="10"/>
  <c r="H352" i="10"/>
  <c r="F352" i="10"/>
  <c r="J351" i="10"/>
  <c r="I351" i="10"/>
  <c r="H351" i="10"/>
  <c r="G351" i="10"/>
  <c r="F351" i="10"/>
  <c r="J350" i="10"/>
  <c r="H350" i="10"/>
  <c r="G350" i="10"/>
  <c r="F350" i="10"/>
  <c r="J349" i="10"/>
  <c r="F349" i="10"/>
  <c r="J348" i="10"/>
  <c r="F348" i="10"/>
  <c r="J347" i="10"/>
  <c r="H347" i="10"/>
  <c r="I347" i="10" s="1"/>
  <c r="G347" i="10"/>
  <c r="F347" i="10"/>
  <c r="J346" i="10"/>
  <c r="H346" i="10"/>
  <c r="F346" i="10"/>
  <c r="J345" i="10"/>
  <c r="F345" i="10"/>
  <c r="H345" i="10" s="1"/>
  <c r="J344" i="10"/>
  <c r="F344" i="10"/>
  <c r="J343" i="10"/>
  <c r="I343" i="10"/>
  <c r="H343" i="10"/>
  <c r="G343" i="10"/>
  <c r="F343" i="10"/>
  <c r="J342" i="10"/>
  <c r="H342" i="10"/>
  <c r="G342" i="10"/>
  <c r="F342" i="10"/>
  <c r="J341" i="10"/>
  <c r="I341" i="10"/>
  <c r="G341" i="10"/>
  <c r="F341" i="10"/>
  <c r="H341" i="10" s="1"/>
  <c r="J340" i="10"/>
  <c r="H340" i="10"/>
  <c r="I340" i="10" s="1"/>
  <c r="F340" i="10"/>
  <c r="J339" i="10"/>
  <c r="H339" i="10"/>
  <c r="I339" i="10" s="1"/>
  <c r="G339" i="10"/>
  <c r="F339" i="10"/>
  <c r="J338" i="10"/>
  <c r="H338" i="10"/>
  <c r="G338" i="10"/>
  <c r="F338" i="10"/>
  <c r="J337" i="10"/>
  <c r="F337" i="10"/>
  <c r="J336" i="10"/>
  <c r="F336" i="10"/>
  <c r="J335" i="10"/>
  <c r="H335" i="10"/>
  <c r="G335" i="10"/>
  <c r="F335" i="10"/>
  <c r="I335" i="10" s="1"/>
  <c r="J334" i="10"/>
  <c r="G334" i="10"/>
  <c r="F334" i="10"/>
  <c r="H334" i="10" s="1"/>
  <c r="I334" i="10" s="1"/>
  <c r="J333" i="10"/>
  <c r="H333" i="10"/>
  <c r="F333" i="10"/>
  <c r="G333" i="10" s="1"/>
  <c r="J332" i="10"/>
  <c r="I332" i="10"/>
  <c r="H332" i="10"/>
  <c r="G332" i="10"/>
  <c r="F332" i="10"/>
  <c r="J331" i="10"/>
  <c r="H331" i="10"/>
  <c r="F331" i="10"/>
  <c r="J330" i="10"/>
  <c r="H330" i="10"/>
  <c r="G330" i="10"/>
  <c r="F330" i="10"/>
  <c r="I330" i="10" s="1"/>
  <c r="J329" i="10"/>
  <c r="F329" i="10"/>
  <c r="J328" i="10"/>
  <c r="F328" i="10"/>
  <c r="H328" i="10" s="1"/>
  <c r="I328" i="10" s="1"/>
  <c r="J327" i="10"/>
  <c r="H327" i="10"/>
  <c r="G327" i="10"/>
  <c r="F327" i="10"/>
  <c r="I327" i="10" s="1"/>
  <c r="J326" i="10"/>
  <c r="G326" i="10"/>
  <c r="F326" i="10"/>
  <c r="H326" i="10" s="1"/>
  <c r="I326" i="10" s="1"/>
  <c r="J325" i="10"/>
  <c r="H325" i="10"/>
  <c r="F325" i="10"/>
  <c r="G325" i="10" s="1"/>
  <c r="J324" i="10"/>
  <c r="I324" i="10"/>
  <c r="H324" i="10"/>
  <c r="G324" i="10"/>
  <c r="F324" i="10"/>
  <c r="J323" i="10"/>
  <c r="H323" i="10"/>
  <c r="F323" i="10"/>
  <c r="J322" i="10"/>
  <c r="H322" i="10"/>
  <c r="G322" i="10"/>
  <c r="F322" i="10"/>
  <c r="I322" i="10" s="1"/>
  <c r="J321" i="10"/>
  <c r="F321" i="10"/>
  <c r="J320" i="10"/>
  <c r="F320" i="10"/>
  <c r="H320" i="10" s="1"/>
  <c r="I320" i="10" s="1"/>
  <c r="J319" i="10"/>
  <c r="H319" i="10"/>
  <c r="G319" i="10"/>
  <c r="F319" i="10"/>
  <c r="I319" i="10" s="1"/>
  <c r="J318" i="10"/>
  <c r="G318" i="10"/>
  <c r="F318" i="10"/>
  <c r="H318" i="10" s="1"/>
  <c r="I318" i="10" s="1"/>
  <c r="J317" i="10"/>
  <c r="H317" i="10"/>
  <c r="F317" i="10"/>
  <c r="G317" i="10" s="1"/>
  <c r="J316" i="10"/>
  <c r="I316" i="10"/>
  <c r="H316" i="10"/>
  <c r="G316" i="10"/>
  <c r="F316" i="10"/>
  <c r="J315" i="10"/>
  <c r="F315" i="10"/>
  <c r="J314" i="10"/>
  <c r="G314" i="10"/>
  <c r="F314" i="10"/>
  <c r="J313" i="10"/>
  <c r="F313" i="10"/>
  <c r="J312" i="10"/>
  <c r="F312" i="10"/>
  <c r="H312" i="10" s="1"/>
  <c r="I312" i="10" s="1"/>
  <c r="J311" i="10"/>
  <c r="H311" i="10"/>
  <c r="G311" i="10"/>
  <c r="F311" i="10"/>
  <c r="J310" i="10"/>
  <c r="G310" i="10"/>
  <c r="F310" i="10"/>
  <c r="H310" i="10" s="1"/>
  <c r="I310" i="10" s="1"/>
  <c r="J309" i="10"/>
  <c r="F309" i="10"/>
  <c r="J308" i="10"/>
  <c r="I308" i="10"/>
  <c r="H308" i="10"/>
  <c r="G308" i="10"/>
  <c r="F308" i="10"/>
  <c r="J307" i="10"/>
  <c r="H307" i="10"/>
  <c r="G307" i="10"/>
  <c r="F307" i="10"/>
  <c r="J306" i="10"/>
  <c r="F306" i="10"/>
  <c r="J305" i="10"/>
  <c r="F305" i="10"/>
  <c r="J304" i="10"/>
  <c r="F304" i="10"/>
  <c r="H304" i="10" s="1"/>
  <c r="I304" i="10" s="1"/>
  <c r="J303" i="10"/>
  <c r="H303" i="10"/>
  <c r="G303" i="10"/>
  <c r="F303" i="10"/>
  <c r="I303" i="10" s="1"/>
  <c r="J302" i="10"/>
  <c r="I302" i="10"/>
  <c r="G302" i="10"/>
  <c r="F302" i="10"/>
  <c r="H302" i="10" s="1"/>
  <c r="J301" i="10"/>
  <c r="H301" i="10"/>
  <c r="I301" i="10" s="1"/>
  <c r="F301" i="10"/>
  <c r="G301" i="10" s="1"/>
  <c r="J300" i="10"/>
  <c r="H300" i="10"/>
  <c r="I300" i="10" s="1"/>
  <c r="G300" i="10"/>
  <c r="F300" i="10"/>
  <c r="J299" i="10"/>
  <c r="F299" i="10"/>
  <c r="G299" i="10" s="1"/>
  <c r="J298" i="10"/>
  <c r="F298" i="10"/>
  <c r="J297" i="10"/>
  <c r="F297" i="10"/>
  <c r="J296" i="10"/>
  <c r="F296" i="10"/>
  <c r="G296" i="10" s="1"/>
  <c r="J295" i="10"/>
  <c r="H295" i="10"/>
  <c r="G295" i="10"/>
  <c r="F295" i="10"/>
  <c r="J294" i="10"/>
  <c r="I294" i="10"/>
  <c r="F294" i="10"/>
  <c r="H294" i="10" s="1"/>
  <c r="J293" i="10"/>
  <c r="H293" i="10"/>
  <c r="F293" i="10"/>
  <c r="G293" i="10" s="1"/>
  <c r="J292" i="10"/>
  <c r="H292" i="10"/>
  <c r="I292" i="10" s="1"/>
  <c r="G292" i="10"/>
  <c r="F292" i="10"/>
  <c r="J291" i="10"/>
  <c r="H291" i="10"/>
  <c r="I291" i="10" s="1"/>
  <c r="G291" i="10"/>
  <c r="F291" i="10"/>
  <c r="J290" i="10"/>
  <c r="I290" i="10"/>
  <c r="H290" i="10"/>
  <c r="G290" i="10"/>
  <c r="F290" i="10"/>
  <c r="J289" i="10"/>
  <c r="H289" i="10"/>
  <c r="I289" i="10" s="1"/>
  <c r="G289" i="10"/>
  <c r="F289" i="10"/>
  <c r="J288" i="10"/>
  <c r="H288" i="10"/>
  <c r="I288" i="10" s="1"/>
  <c r="G288" i="10"/>
  <c r="F288" i="10"/>
  <c r="J287" i="10"/>
  <c r="H287" i="10"/>
  <c r="I287" i="10" s="1"/>
  <c r="G287" i="10"/>
  <c r="F287" i="10"/>
  <c r="J286" i="10"/>
  <c r="H286" i="10"/>
  <c r="I286" i="10" s="1"/>
  <c r="G286" i="10"/>
  <c r="F286" i="10"/>
  <c r="J285" i="10"/>
  <c r="I285" i="10"/>
  <c r="H285" i="10"/>
  <c r="G285" i="10"/>
  <c r="F285" i="10"/>
  <c r="J284" i="10"/>
  <c r="H284" i="10"/>
  <c r="I284" i="10" s="1"/>
  <c r="G284" i="10"/>
  <c r="F284" i="10"/>
  <c r="J283" i="10"/>
  <c r="H283" i="10"/>
  <c r="I283" i="10" s="1"/>
  <c r="G283" i="10"/>
  <c r="F283" i="10"/>
  <c r="J282" i="10"/>
  <c r="I282" i="10"/>
  <c r="H282" i="10"/>
  <c r="G282" i="10"/>
  <c r="F282" i="10"/>
  <c r="J281" i="10"/>
  <c r="H281" i="10"/>
  <c r="I281" i="10" s="1"/>
  <c r="F281" i="10"/>
  <c r="J280" i="10"/>
  <c r="H280" i="10"/>
  <c r="I280" i="10" s="1"/>
  <c r="G280" i="10"/>
  <c r="F280" i="10"/>
  <c r="J279" i="10"/>
  <c r="F279" i="10"/>
  <c r="J278" i="10"/>
  <c r="F278" i="10"/>
  <c r="J277" i="10"/>
  <c r="F277" i="10"/>
  <c r="H277" i="10" s="1"/>
  <c r="I277" i="10" s="1"/>
  <c r="J276" i="10"/>
  <c r="H276" i="10"/>
  <c r="I276" i="10" s="1"/>
  <c r="F276" i="10"/>
  <c r="G276" i="10" s="1"/>
  <c r="J275" i="10"/>
  <c r="H275" i="10"/>
  <c r="I275" i="10" s="1"/>
  <c r="G275" i="10"/>
  <c r="F275" i="10"/>
  <c r="J274" i="10"/>
  <c r="F274" i="10"/>
  <c r="J273" i="10"/>
  <c r="H273" i="10"/>
  <c r="I273" i="10" s="1"/>
  <c r="F273" i="10"/>
  <c r="J272" i="10"/>
  <c r="H272" i="10"/>
  <c r="I272" i="10" s="1"/>
  <c r="G272" i="10"/>
  <c r="F272" i="10"/>
  <c r="J271" i="10"/>
  <c r="F271" i="10"/>
  <c r="J270" i="10"/>
  <c r="F270" i="10"/>
  <c r="J269" i="10"/>
  <c r="F269" i="10"/>
  <c r="H269" i="10" s="1"/>
  <c r="I269" i="10" s="1"/>
  <c r="J268" i="10"/>
  <c r="H268" i="10"/>
  <c r="I268" i="10" s="1"/>
  <c r="F268" i="10"/>
  <c r="G268" i="10" s="1"/>
  <c r="J267" i="10"/>
  <c r="H267" i="10"/>
  <c r="I267" i="10" s="1"/>
  <c r="G267" i="10"/>
  <c r="F267" i="10"/>
  <c r="J266" i="10"/>
  <c r="F266" i="10"/>
  <c r="J265" i="10"/>
  <c r="H265" i="10"/>
  <c r="I265" i="10" s="1"/>
  <c r="F265" i="10"/>
  <c r="J264" i="10"/>
  <c r="H264" i="10"/>
  <c r="I264" i="10" s="1"/>
  <c r="G264" i="10"/>
  <c r="F264" i="10"/>
  <c r="J263" i="10"/>
  <c r="F263" i="10"/>
  <c r="J262" i="10"/>
  <c r="F262" i="10"/>
  <c r="J261" i="10"/>
  <c r="F261" i="10"/>
  <c r="H261" i="10" s="1"/>
  <c r="I261" i="10" s="1"/>
  <c r="J260" i="10"/>
  <c r="H260" i="10"/>
  <c r="I260" i="10" s="1"/>
  <c r="F260" i="10"/>
  <c r="G260" i="10" s="1"/>
  <c r="J259" i="10"/>
  <c r="H259" i="10"/>
  <c r="I259" i="10" s="1"/>
  <c r="G259" i="10"/>
  <c r="F259" i="10"/>
  <c r="J258" i="10"/>
  <c r="F258" i="10"/>
  <c r="J257" i="10"/>
  <c r="H257" i="10"/>
  <c r="I257" i="10" s="1"/>
  <c r="F257" i="10"/>
  <c r="J256" i="10"/>
  <c r="H256" i="10"/>
  <c r="I256" i="10" s="1"/>
  <c r="G256" i="10"/>
  <c r="F256" i="10"/>
  <c r="J255" i="10"/>
  <c r="F255" i="10"/>
  <c r="J254" i="10"/>
  <c r="F254" i="10"/>
  <c r="J253" i="10"/>
  <c r="F253" i="10"/>
  <c r="H253" i="10" s="1"/>
  <c r="I253" i="10" s="1"/>
  <c r="J252" i="10"/>
  <c r="H252" i="10"/>
  <c r="I252" i="10" s="1"/>
  <c r="F252" i="10"/>
  <c r="G252" i="10" s="1"/>
  <c r="J251" i="10"/>
  <c r="H251" i="10"/>
  <c r="I251" i="10" s="1"/>
  <c r="G251" i="10"/>
  <c r="F251" i="10"/>
  <c r="J250" i="10"/>
  <c r="F250" i="10"/>
  <c r="J249" i="10"/>
  <c r="H249" i="10"/>
  <c r="I249" i="10" s="1"/>
  <c r="F249" i="10"/>
  <c r="J248" i="10"/>
  <c r="H248" i="10"/>
  <c r="I248" i="10" s="1"/>
  <c r="G248" i="10"/>
  <c r="F248" i="10"/>
  <c r="J247" i="10"/>
  <c r="F247" i="10"/>
  <c r="J246" i="10"/>
  <c r="F246" i="10"/>
  <c r="J245" i="10"/>
  <c r="F245" i="10"/>
  <c r="H245" i="10" s="1"/>
  <c r="I245" i="10" s="1"/>
  <c r="J244" i="10"/>
  <c r="H244" i="10"/>
  <c r="I244" i="10" s="1"/>
  <c r="F244" i="10"/>
  <c r="G244" i="10" s="1"/>
  <c r="J243" i="10"/>
  <c r="H243" i="10"/>
  <c r="I243" i="10" s="1"/>
  <c r="G243" i="10"/>
  <c r="F243" i="10"/>
  <c r="J242" i="10"/>
  <c r="F242" i="10"/>
  <c r="J241" i="10"/>
  <c r="H241" i="10"/>
  <c r="I241" i="10" s="1"/>
  <c r="F241" i="10"/>
  <c r="J240" i="10"/>
  <c r="H240" i="10"/>
  <c r="I240" i="10" s="1"/>
  <c r="G240" i="10"/>
  <c r="F240" i="10"/>
  <c r="J239" i="10"/>
  <c r="F239" i="10"/>
  <c r="J238" i="10"/>
  <c r="F238" i="10"/>
  <c r="J237" i="10"/>
  <c r="F237" i="10"/>
  <c r="H237" i="10" s="1"/>
  <c r="I237" i="10" s="1"/>
  <c r="J236" i="10"/>
  <c r="H236" i="10"/>
  <c r="I236" i="10" s="1"/>
  <c r="F236" i="10"/>
  <c r="G236" i="10" s="1"/>
  <c r="J235" i="10"/>
  <c r="H235" i="10"/>
  <c r="I235" i="10" s="1"/>
  <c r="G235" i="10"/>
  <c r="F235" i="10"/>
  <c r="J234" i="10"/>
  <c r="F234" i="10"/>
  <c r="J233" i="10"/>
  <c r="H233" i="10"/>
  <c r="I233" i="10" s="1"/>
  <c r="F233" i="10"/>
  <c r="J232" i="10"/>
  <c r="H232" i="10"/>
  <c r="I232" i="10" s="1"/>
  <c r="G232" i="10"/>
  <c r="F232" i="10"/>
  <c r="J231" i="10"/>
  <c r="F231" i="10"/>
  <c r="J230" i="10"/>
  <c r="F230" i="10"/>
  <c r="J229" i="10"/>
  <c r="I229" i="10"/>
  <c r="F229" i="10"/>
  <c r="H229" i="10" s="1"/>
  <c r="J228" i="10"/>
  <c r="I228" i="10"/>
  <c r="H228" i="10"/>
  <c r="F228" i="10"/>
  <c r="G228" i="10" s="1"/>
  <c r="J227" i="10"/>
  <c r="H227" i="10"/>
  <c r="I227" i="10" s="1"/>
  <c r="G227" i="10"/>
  <c r="F227" i="10"/>
  <c r="J226" i="10"/>
  <c r="F226" i="10"/>
  <c r="J225" i="10"/>
  <c r="H225" i="10"/>
  <c r="I225" i="10" s="1"/>
  <c r="F225" i="10"/>
  <c r="J224" i="10"/>
  <c r="H224" i="10"/>
  <c r="I224" i="10" s="1"/>
  <c r="G224" i="10"/>
  <c r="F224" i="10"/>
  <c r="J223" i="10"/>
  <c r="F223" i="10"/>
  <c r="J222" i="10"/>
  <c r="F222" i="10"/>
  <c r="J221" i="10"/>
  <c r="I221" i="10"/>
  <c r="F221" i="10"/>
  <c r="H221" i="10" s="1"/>
  <c r="J220" i="10"/>
  <c r="H220" i="10"/>
  <c r="I220" i="10" s="1"/>
  <c r="F220" i="10"/>
  <c r="G220" i="10" s="1"/>
  <c r="J219" i="10"/>
  <c r="H219" i="10"/>
  <c r="I219" i="10" s="1"/>
  <c r="G219" i="10"/>
  <c r="F219" i="10"/>
  <c r="J218" i="10"/>
  <c r="F218" i="10"/>
  <c r="J217" i="10"/>
  <c r="H217" i="10"/>
  <c r="I217" i="10" s="1"/>
  <c r="F217" i="10"/>
  <c r="J216" i="10"/>
  <c r="H216" i="10"/>
  <c r="I216" i="10" s="1"/>
  <c r="G216" i="10"/>
  <c r="F216" i="10"/>
  <c r="J215" i="10"/>
  <c r="F215" i="10"/>
  <c r="J214" i="10"/>
  <c r="F214" i="10"/>
  <c r="J213" i="10"/>
  <c r="F213" i="10"/>
  <c r="H213" i="10" s="1"/>
  <c r="I213" i="10" s="1"/>
  <c r="J212" i="10"/>
  <c r="H212" i="10"/>
  <c r="I212" i="10" s="1"/>
  <c r="F212" i="10"/>
  <c r="G212" i="10" s="1"/>
  <c r="J211" i="10"/>
  <c r="H211" i="10"/>
  <c r="I211" i="10" s="1"/>
  <c r="G211" i="10"/>
  <c r="F211" i="10"/>
  <c r="J210" i="10"/>
  <c r="F210" i="10"/>
  <c r="J209" i="10"/>
  <c r="H209" i="10"/>
  <c r="I209" i="10" s="1"/>
  <c r="F209" i="10"/>
  <c r="J208" i="10"/>
  <c r="H208" i="10"/>
  <c r="I208" i="10" s="1"/>
  <c r="G208" i="10"/>
  <c r="F208" i="10"/>
  <c r="J207" i="10"/>
  <c r="F207" i="10"/>
  <c r="J206" i="10"/>
  <c r="F206" i="10"/>
  <c r="J205" i="10"/>
  <c r="I205" i="10"/>
  <c r="F205" i="10"/>
  <c r="H205" i="10" s="1"/>
  <c r="J204" i="10"/>
  <c r="H204" i="10"/>
  <c r="I204" i="10" s="1"/>
  <c r="F204" i="10"/>
  <c r="G204" i="10" s="1"/>
  <c r="J203" i="10"/>
  <c r="H203" i="10"/>
  <c r="I203" i="10" s="1"/>
  <c r="G203" i="10"/>
  <c r="F203" i="10"/>
  <c r="J202" i="10"/>
  <c r="F202" i="10"/>
  <c r="J201" i="10"/>
  <c r="H201" i="10"/>
  <c r="I201" i="10" s="1"/>
  <c r="F201" i="10"/>
  <c r="J200" i="10"/>
  <c r="H200" i="10"/>
  <c r="I200" i="10" s="1"/>
  <c r="G200" i="10"/>
  <c r="F200" i="10"/>
  <c r="J199" i="10"/>
  <c r="F199" i="10"/>
  <c r="J198" i="10"/>
  <c r="F198" i="10"/>
  <c r="J197" i="10"/>
  <c r="F197" i="10"/>
  <c r="H197" i="10" s="1"/>
  <c r="I197" i="10" s="1"/>
  <c r="J196" i="10"/>
  <c r="I196" i="10"/>
  <c r="H196" i="10"/>
  <c r="F196" i="10"/>
  <c r="G196" i="10" s="1"/>
  <c r="J195" i="10"/>
  <c r="H195" i="10"/>
  <c r="I195" i="10" s="1"/>
  <c r="G195" i="10"/>
  <c r="F195" i="10"/>
  <c r="J194" i="10"/>
  <c r="F194" i="10"/>
  <c r="J193" i="10"/>
  <c r="H193" i="10"/>
  <c r="I193" i="10" s="1"/>
  <c r="F193" i="10"/>
  <c r="J192" i="10"/>
  <c r="H192" i="10"/>
  <c r="I192" i="10" s="1"/>
  <c r="G192" i="10"/>
  <c r="F192" i="10"/>
  <c r="J191" i="10"/>
  <c r="F191" i="10"/>
  <c r="J190" i="10"/>
  <c r="F190" i="10"/>
  <c r="J189" i="10"/>
  <c r="F189" i="10"/>
  <c r="H189" i="10" s="1"/>
  <c r="I189" i="10" s="1"/>
  <c r="J188" i="10"/>
  <c r="H188" i="10"/>
  <c r="I188" i="10" s="1"/>
  <c r="F188" i="10"/>
  <c r="G188" i="10" s="1"/>
  <c r="J187" i="10"/>
  <c r="H187" i="10"/>
  <c r="I187" i="10" s="1"/>
  <c r="G187" i="10"/>
  <c r="F187" i="10"/>
  <c r="J186" i="10"/>
  <c r="G186" i="10"/>
  <c r="F186" i="10"/>
  <c r="J185" i="10"/>
  <c r="F185" i="10"/>
  <c r="J184" i="10"/>
  <c r="H184" i="10"/>
  <c r="I184" i="10" s="1"/>
  <c r="G184" i="10"/>
  <c r="F184" i="10"/>
  <c r="J183" i="10"/>
  <c r="F183" i="10"/>
  <c r="J182" i="10"/>
  <c r="F182" i="10"/>
  <c r="J181" i="10"/>
  <c r="I181" i="10"/>
  <c r="F181" i="10"/>
  <c r="H181" i="10" s="1"/>
  <c r="J180" i="10"/>
  <c r="H180" i="10"/>
  <c r="I180" i="10" s="1"/>
  <c r="F180" i="10"/>
  <c r="G180" i="10" s="1"/>
  <c r="J179" i="10"/>
  <c r="H179" i="10"/>
  <c r="I179" i="10" s="1"/>
  <c r="G179" i="10"/>
  <c r="F179" i="10"/>
  <c r="J178" i="10"/>
  <c r="F178" i="10"/>
  <c r="J177" i="10"/>
  <c r="H177" i="10"/>
  <c r="I177" i="10" s="1"/>
  <c r="F177" i="10"/>
  <c r="J176" i="10"/>
  <c r="H176" i="10"/>
  <c r="I176" i="10" s="1"/>
  <c r="G176" i="10"/>
  <c r="F176" i="10"/>
  <c r="J175" i="10"/>
  <c r="F175" i="10"/>
  <c r="J174" i="10"/>
  <c r="F174" i="10"/>
  <c r="J173" i="10"/>
  <c r="F173" i="10"/>
  <c r="H173" i="10" s="1"/>
  <c r="I173" i="10" s="1"/>
  <c r="J172" i="10"/>
  <c r="H172" i="10"/>
  <c r="I172" i="10" s="1"/>
  <c r="F172" i="10"/>
  <c r="G172" i="10" s="1"/>
  <c r="J171" i="10"/>
  <c r="H171" i="10"/>
  <c r="I171" i="10" s="1"/>
  <c r="G171" i="10"/>
  <c r="F171" i="10"/>
  <c r="J170" i="10"/>
  <c r="F170" i="10"/>
  <c r="J169" i="10"/>
  <c r="F169" i="10"/>
  <c r="J168" i="10"/>
  <c r="H168" i="10"/>
  <c r="I168" i="10" s="1"/>
  <c r="G168" i="10"/>
  <c r="F168" i="10"/>
  <c r="J167" i="10"/>
  <c r="F167" i="10"/>
  <c r="H167" i="10" s="1"/>
  <c r="J166" i="10"/>
  <c r="F166" i="10"/>
  <c r="J165" i="10"/>
  <c r="F165" i="10"/>
  <c r="J164" i="10"/>
  <c r="H164" i="10"/>
  <c r="I164" i="10" s="1"/>
  <c r="F164" i="10"/>
  <c r="G164" i="10" s="1"/>
  <c r="J163" i="10"/>
  <c r="H163" i="10"/>
  <c r="I163" i="10" s="1"/>
  <c r="G163" i="10"/>
  <c r="F163" i="10"/>
  <c r="J162" i="10"/>
  <c r="H162" i="10"/>
  <c r="I162" i="10" s="1"/>
  <c r="G162" i="10"/>
  <c r="F162" i="10"/>
  <c r="J161" i="10"/>
  <c r="H161" i="10"/>
  <c r="I161" i="10" s="1"/>
  <c r="G161" i="10"/>
  <c r="F161" i="10"/>
  <c r="J160" i="10"/>
  <c r="H160" i="10"/>
  <c r="I160" i="10" s="1"/>
  <c r="G160" i="10"/>
  <c r="F160" i="10"/>
  <c r="J159" i="10"/>
  <c r="I159" i="10"/>
  <c r="H159" i="10"/>
  <c r="G159" i="10"/>
  <c r="F159" i="10"/>
  <c r="J158" i="10"/>
  <c r="H158" i="10"/>
  <c r="I158" i="10" s="1"/>
  <c r="G158" i="10"/>
  <c r="F158" i="10"/>
  <c r="J157" i="10"/>
  <c r="H157" i="10"/>
  <c r="G157" i="10"/>
  <c r="F157" i="10"/>
  <c r="J156" i="10"/>
  <c r="H156" i="10"/>
  <c r="F156" i="10"/>
  <c r="J155" i="10"/>
  <c r="F155" i="10"/>
  <c r="J154" i="10"/>
  <c r="H154" i="10"/>
  <c r="G154" i="10"/>
  <c r="F154" i="10"/>
  <c r="J153" i="10"/>
  <c r="G153" i="10"/>
  <c r="F153" i="10"/>
  <c r="J152" i="10"/>
  <c r="H152" i="10"/>
  <c r="F152" i="10"/>
  <c r="J151" i="10"/>
  <c r="F151" i="10"/>
  <c r="J150" i="10"/>
  <c r="H150" i="10"/>
  <c r="G150" i="10"/>
  <c r="F150" i="10"/>
  <c r="J149" i="10"/>
  <c r="G149" i="10"/>
  <c r="F149" i="10"/>
  <c r="J148" i="10"/>
  <c r="H148" i="10"/>
  <c r="F148" i="10"/>
  <c r="J147" i="10"/>
  <c r="F147" i="10"/>
  <c r="J146" i="10"/>
  <c r="H146" i="10"/>
  <c r="G146" i="10"/>
  <c r="F146" i="10"/>
  <c r="J145" i="10"/>
  <c r="G145" i="10"/>
  <c r="F145" i="10"/>
  <c r="J144" i="10"/>
  <c r="H144" i="10"/>
  <c r="F144" i="10"/>
  <c r="J143" i="10"/>
  <c r="F143" i="10"/>
  <c r="J142" i="10"/>
  <c r="H142" i="10"/>
  <c r="G142" i="10"/>
  <c r="F142" i="10"/>
  <c r="J141" i="10"/>
  <c r="G141" i="10"/>
  <c r="F141" i="10"/>
  <c r="J140" i="10"/>
  <c r="H140" i="10"/>
  <c r="F140" i="10"/>
  <c r="J139" i="10"/>
  <c r="F139" i="10"/>
  <c r="J138" i="10"/>
  <c r="H138" i="10"/>
  <c r="G138" i="10"/>
  <c r="F138" i="10"/>
  <c r="J137" i="10"/>
  <c r="G137" i="10"/>
  <c r="F137" i="10"/>
  <c r="J136" i="10"/>
  <c r="H136" i="10"/>
  <c r="F136" i="10"/>
  <c r="J135" i="10"/>
  <c r="F135" i="10"/>
  <c r="J134" i="10"/>
  <c r="H134" i="10"/>
  <c r="G134" i="10"/>
  <c r="F134" i="10"/>
  <c r="J133" i="10"/>
  <c r="G133" i="10"/>
  <c r="F133" i="10"/>
  <c r="J132" i="10"/>
  <c r="H132" i="10"/>
  <c r="F132" i="10"/>
  <c r="J131" i="10"/>
  <c r="F131" i="10"/>
  <c r="J130" i="10"/>
  <c r="H130" i="10"/>
  <c r="G130" i="10"/>
  <c r="F130" i="10"/>
  <c r="J129" i="10"/>
  <c r="G129" i="10"/>
  <c r="F129" i="10"/>
  <c r="J128" i="10"/>
  <c r="H128" i="10"/>
  <c r="F128" i="10"/>
  <c r="J127" i="10"/>
  <c r="F127" i="10"/>
  <c r="J126" i="10"/>
  <c r="H126" i="10"/>
  <c r="G126" i="10"/>
  <c r="F126" i="10"/>
  <c r="J125" i="10"/>
  <c r="G125" i="10"/>
  <c r="F125" i="10"/>
  <c r="J124" i="10"/>
  <c r="H124" i="10"/>
  <c r="F124" i="10"/>
  <c r="J123" i="10"/>
  <c r="F123" i="10"/>
  <c r="J122" i="10"/>
  <c r="H122" i="10"/>
  <c r="G122" i="10"/>
  <c r="F122" i="10"/>
  <c r="J121" i="10"/>
  <c r="G121" i="10"/>
  <c r="F121" i="10"/>
  <c r="J120" i="10"/>
  <c r="H120" i="10"/>
  <c r="F120" i="10"/>
  <c r="J119" i="10"/>
  <c r="F119" i="10"/>
  <c r="J118" i="10"/>
  <c r="H118" i="10"/>
  <c r="F118" i="10"/>
  <c r="J117" i="10"/>
  <c r="I117" i="10"/>
  <c r="H117" i="10"/>
  <c r="G117" i="10"/>
  <c r="F117" i="10"/>
  <c r="J116" i="10"/>
  <c r="H116" i="10"/>
  <c r="F116" i="10"/>
  <c r="I116" i="10" s="1"/>
  <c r="J115" i="10"/>
  <c r="G115" i="10"/>
  <c r="F115" i="10"/>
  <c r="H115" i="10" s="1"/>
  <c r="J114" i="10"/>
  <c r="F114" i="10"/>
  <c r="G114" i="10" s="1"/>
  <c r="J113" i="10"/>
  <c r="H113" i="10"/>
  <c r="I113" i="10" s="1"/>
  <c r="F113" i="10"/>
  <c r="G113" i="10" s="1"/>
  <c r="J112" i="10"/>
  <c r="H112" i="10"/>
  <c r="G112" i="10"/>
  <c r="F112" i="10"/>
  <c r="I112" i="10" s="1"/>
  <c r="J111" i="10"/>
  <c r="F111" i="10"/>
  <c r="J110" i="10"/>
  <c r="H110" i="10"/>
  <c r="F110" i="10"/>
  <c r="J109" i="10"/>
  <c r="I109" i="10"/>
  <c r="H109" i="10"/>
  <c r="G109" i="10"/>
  <c r="F109" i="10"/>
  <c r="J108" i="10"/>
  <c r="H108" i="10"/>
  <c r="F108" i="10"/>
  <c r="I108" i="10" s="1"/>
  <c r="J107" i="10"/>
  <c r="G107" i="10"/>
  <c r="F107" i="10"/>
  <c r="H107" i="10" s="1"/>
  <c r="J106" i="10"/>
  <c r="F106" i="10"/>
  <c r="J105" i="10"/>
  <c r="H105" i="10"/>
  <c r="I105" i="10" s="1"/>
  <c r="F105" i="10"/>
  <c r="G105" i="10" s="1"/>
  <c r="J104" i="10"/>
  <c r="H104" i="10"/>
  <c r="G104" i="10"/>
  <c r="F104" i="10"/>
  <c r="I104" i="10" s="1"/>
  <c r="J103" i="10"/>
  <c r="F103" i="10"/>
  <c r="J102" i="10"/>
  <c r="H102" i="10"/>
  <c r="F102" i="10"/>
  <c r="J101" i="10"/>
  <c r="I101" i="10"/>
  <c r="H101" i="10"/>
  <c r="G101" i="10"/>
  <c r="F101" i="10"/>
  <c r="J100" i="10"/>
  <c r="H100" i="10"/>
  <c r="F100" i="10"/>
  <c r="J99" i="10"/>
  <c r="G99" i="10"/>
  <c r="F99" i="10"/>
  <c r="H99" i="10" s="1"/>
  <c r="J98" i="10"/>
  <c r="F98" i="10"/>
  <c r="J97" i="10"/>
  <c r="H97" i="10"/>
  <c r="I97" i="10" s="1"/>
  <c r="F97" i="10"/>
  <c r="G97" i="10" s="1"/>
  <c r="J96" i="10"/>
  <c r="H96" i="10"/>
  <c r="G96" i="10"/>
  <c r="F96" i="10"/>
  <c r="I96" i="10" s="1"/>
  <c r="J95" i="10"/>
  <c r="H95" i="10"/>
  <c r="G95" i="10"/>
  <c r="F95" i="10"/>
  <c r="I95" i="10" s="1"/>
  <c r="J94" i="10"/>
  <c r="H94" i="10"/>
  <c r="G94" i="10"/>
  <c r="F94" i="10"/>
  <c r="I94" i="10" s="1"/>
  <c r="J93" i="10"/>
  <c r="H93" i="10"/>
  <c r="G93" i="10"/>
  <c r="F93" i="10"/>
  <c r="I93" i="10" s="1"/>
  <c r="J92" i="10"/>
  <c r="H92" i="10"/>
  <c r="G92" i="10"/>
  <c r="F92" i="10"/>
  <c r="I92" i="10" s="1"/>
  <c r="J91" i="10"/>
  <c r="H91" i="10"/>
  <c r="G91" i="10"/>
  <c r="F91" i="10"/>
  <c r="I91" i="10" s="1"/>
  <c r="J90" i="10"/>
  <c r="H90" i="10"/>
  <c r="G90" i="10"/>
  <c r="F90" i="10"/>
  <c r="I90" i="10" s="1"/>
  <c r="J89" i="10"/>
  <c r="H89" i="10"/>
  <c r="G89" i="10"/>
  <c r="F89" i="10"/>
  <c r="I89" i="10" s="1"/>
  <c r="J88" i="10"/>
  <c r="H88" i="10"/>
  <c r="G88" i="10"/>
  <c r="F88" i="10"/>
  <c r="I88" i="10" s="1"/>
  <c r="J87" i="10"/>
  <c r="H87" i="10"/>
  <c r="G87" i="10"/>
  <c r="F87" i="10"/>
  <c r="I87" i="10" s="1"/>
  <c r="J86" i="10"/>
  <c r="H86" i="10"/>
  <c r="G86" i="10"/>
  <c r="F86" i="10"/>
  <c r="J85" i="10"/>
  <c r="H85" i="10"/>
  <c r="G85" i="10"/>
  <c r="F85" i="10"/>
  <c r="I85" i="10" s="1"/>
  <c r="J84" i="10"/>
  <c r="H84" i="10"/>
  <c r="G84" i="10"/>
  <c r="F84" i="10"/>
  <c r="I84" i="10" s="1"/>
  <c r="J83" i="10"/>
  <c r="H83" i="10"/>
  <c r="G83" i="10"/>
  <c r="F83" i="10"/>
  <c r="J82" i="10"/>
  <c r="H82" i="10"/>
  <c r="G82" i="10"/>
  <c r="F82" i="10"/>
  <c r="J81" i="10"/>
  <c r="H81" i="10"/>
  <c r="G81" i="10"/>
  <c r="F81" i="10"/>
  <c r="I81" i="10" s="1"/>
  <c r="J80" i="10"/>
  <c r="H80" i="10"/>
  <c r="G80" i="10"/>
  <c r="F80" i="10"/>
  <c r="I80" i="10" s="1"/>
  <c r="J79" i="10"/>
  <c r="H79" i="10"/>
  <c r="G79" i="10"/>
  <c r="F79" i="10"/>
  <c r="I79" i="10" s="1"/>
  <c r="J78" i="10"/>
  <c r="H78" i="10"/>
  <c r="G78" i="10"/>
  <c r="F78" i="10"/>
  <c r="J77" i="10"/>
  <c r="H77" i="10"/>
  <c r="G77" i="10"/>
  <c r="F77" i="10"/>
  <c r="I77" i="10" s="1"/>
  <c r="J76" i="10"/>
  <c r="H76" i="10"/>
  <c r="G76" i="10"/>
  <c r="F76" i="10"/>
  <c r="J75" i="10"/>
  <c r="H75" i="10"/>
  <c r="G75" i="10"/>
  <c r="F75" i="10"/>
  <c r="J74" i="10"/>
  <c r="H74" i="10"/>
  <c r="F74" i="10"/>
  <c r="J73" i="10"/>
  <c r="F73" i="10"/>
  <c r="J72" i="10"/>
  <c r="F72" i="10"/>
  <c r="H72" i="10" s="1"/>
  <c r="J71" i="10"/>
  <c r="G71" i="10"/>
  <c r="F71" i="10"/>
  <c r="J70" i="10"/>
  <c r="H70" i="10"/>
  <c r="G70" i="10"/>
  <c r="F70" i="10"/>
  <c r="J69" i="10"/>
  <c r="F69" i="10"/>
  <c r="H69" i="10" s="1"/>
  <c r="J68" i="10"/>
  <c r="F68" i="10"/>
  <c r="J67" i="10"/>
  <c r="H67" i="10"/>
  <c r="G67" i="10"/>
  <c r="F67" i="10"/>
  <c r="J66" i="10"/>
  <c r="H66" i="10"/>
  <c r="F66" i="10"/>
  <c r="J65" i="10"/>
  <c r="H65" i="10"/>
  <c r="F65" i="10"/>
  <c r="J64" i="10"/>
  <c r="F64" i="10"/>
  <c r="H64" i="10" s="1"/>
  <c r="J63" i="10"/>
  <c r="G63" i="10"/>
  <c r="F63" i="10"/>
  <c r="J62" i="10"/>
  <c r="H62" i="10"/>
  <c r="G62" i="10"/>
  <c r="F62" i="10"/>
  <c r="J61" i="10"/>
  <c r="F61" i="10"/>
  <c r="H61" i="10" s="1"/>
  <c r="J60" i="10"/>
  <c r="F60" i="10"/>
  <c r="J59" i="10"/>
  <c r="H59" i="10"/>
  <c r="G59" i="10"/>
  <c r="F59" i="10"/>
  <c r="J58" i="10"/>
  <c r="F58" i="10"/>
  <c r="K58" i="10" s="1"/>
  <c r="J57" i="10"/>
  <c r="G57" i="10"/>
  <c r="F57" i="10"/>
  <c r="J56" i="10"/>
  <c r="H56" i="10"/>
  <c r="F56" i="10"/>
  <c r="J55" i="10"/>
  <c r="H55" i="10"/>
  <c r="G55" i="10"/>
  <c r="F55" i="10"/>
  <c r="K55" i="10" s="1"/>
  <c r="J54" i="10"/>
  <c r="F54" i="10"/>
  <c r="K54" i="10" s="1"/>
  <c r="J53" i="10"/>
  <c r="G53" i="10"/>
  <c r="F53" i="10"/>
  <c r="J52" i="10"/>
  <c r="H52" i="10"/>
  <c r="F52" i="10"/>
  <c r="J51" i="10"/>
  <c r="H51" i="10"/>
  <c r="G51" i="10"/>
  <c r="F51" i="10"/>
  <c r="K51" i="10" s="1"/>
  <c r="J50" i="10"/>
  <c r="F50" i="10"/>
  <c r="K50" i="10" s="1"/>
  <c r="J49" i="10"/>
  <c r="G49" i="10"/>
  <c r="F49" i="10"/>
  <c r="J48" i="10"/>
  <c r="H48" i="10"/>
  <c r="F48" i="10"/>
  <c r="J47" i="10"/>
  <c r="H47" i="10"/>
  <c r="G47" i="10"/>
  <c r="F47" i="10"/>
  <c r="K47" i="10" s="1"/>
  <c r="J46" i="10"/>
  <c r="F46" i="10"/>
  <c r="K46" i="10" s="1"/>
  <c r="J45" i="10"/>
  <c r="G45" i="10"/>
  <c r="F45" i="10"/>
  <c r="J44" i="10"/>
  <c r="H44" i="10"/>
  <c r="F44" i="10"/>
  <c r="J43" i="10"/>
  <c r="H43" i="10"/>
  <c r="G43" i="10"/>
  <c r="F43" i="10"/>
  <c r="K43" i="10" s="1"/>
  <c r="J42" i="10"/>
  <c r="F42" i="10"/>
  <c r="K42" i="10" s="1"/>
  <c r="J41" i="10"/>
  <c r="G41" i="10"/>
  <c r="F41" i="10"/>
  <c r="J40" i="10"/>
  <c r="H40" i="10"/>
  <c r="F40" i="10"/>
  <c r="J39" i="10"/>
  <c r="H39" i="10"/>
  <c r="F39" i="10"/>
  <c r="K39" i="10" s="1"/>
  <c r="J38" i="10"/>
  <c r="F38" i="10"/>
  <c r="K38" i="10" s="1"/>
  <c r="J37" i="10"/>
  <c r="G37" i="10"/>
  <c r="F37" i="10"/>
  <c r="J36" i="10"/>
  <c r="H36" i="10"/>
  <c r="F36" i="10"/>
  <c r="J35" i="10"/>
  <c r="H35" i="10"/>
  <c r="F35" i="10"/>
  <c r="K35" i="10" s="1"/>
  <c r="J34" i="10"/>
  <c r="F34" i="10"/>
  <c r="K34" i="10" s="1"/>
  <c r="J33" i="10"/>
  <c r="G33" i="10"/>
  <c r="F33" i="10"/>
  <c r="J32" i="10"/>
  <c r="H32" i="10"/>
  <c r="F32" i="10"/>
  <c r="J31" i="10"/>
  <c r="H31" i="10"/>
  <c r="F31" i="10"/>
  <c r="K31" i="10" s="1"/>
  <c r="J30" i="10"/>
  <c r="F30" i="10"/>
  <c r="K30" i="10" s="1"/>
  <c r="J29" i="10"/>
  <c r="G29" i="10"/>
  <c r="F29" i="10"/>
  <c r="J28" i="10"/>
  <c r="H28" i="10"/>
  <c r="F28" i="10"/>
  <c r="J27" i="10"/>
  <c r="F27" i="10"/>
  <c r="K27" i="10" s="1"/>
  <c r="J26" i="10"/>
  <c r="F26" i="10"/>
  <c r="K26" i="10" s="1"/>
  <c r="J25" i="10"/>
  <c r="G25" i="10"/>
  <c r="F25" i="10"/>
  <c r="J24" i="10"/>
  <c r="H24" i="10"/>
  <c r="F24" i="10"/>
  <c r="J23" i="10"/>
  <c r="F23" i="10"/>
  <c r="K23" i="10" s="1"/>
  <c r="J22" i="10"/>
  <c r="F22" i="10"/>
  <c r="K22" i="10" s="1"/>
  <c r="J21" i="10"/>
  <c r="G21" i="10"/>
  <c r="F21" i="10"/>
  <c r="J20" i="10"/>
  <c r="H20" i="10"/>
  <c r="F20" i="10"/>
  <c r="J19" i="10"/>
  <c r="F19" i="10"/>
  <c r="K19" i="10" s="1"/>
  <c r="J18" i="10"/>
  <c r="F18" i="10"/>
  <c r="K18" i="10" s="1"/>
  <c r="J17" i="10"/>
  <c r="G17" i="10"/>
  <c r="F17" i="10"/>
  <c r="J16" i="10"/>
  <c r="H16" i="10"/>
  <c r="F16" i="10"/>
  <c r="J15" i="10"/>
  <c r="F15" i="10"/>
  <c r="K15" i="10" s="1"/>
  <c r="J14" i="10"/>
  <c r="F14" i="10"/>
  <c r="K14" i="10" s="1"/>
  <c r="J13" i="10"/>
  <c r="G13" i="10"/>
  <c r="F13" i="10"/>
  <c r="J12" i="10"/>
  <c r="H12" i="10"/>
  <c r="F12" i="10"/>
  <c r="J11" i="10"/>
  <c r="F11" i="10"/>
  <c r="K11" i="10" s="1"/>
  <c r="J10" i="10"/>
  <c r="F10" i="10"/>
  <c r="K10" i="10" s="1"/>
  <c r="J9" i="10"/>
  <c r="G9" i="10"/>
  <c r="F9" i="10"/>
  <c r="J8" i="10"/>
  <c r="H8" i="10"/>
  <c r="F8" i="10"/>
  <c r="J7" i="10"/>
  <c r="F7" i="10"/>
  <c r="K7" i="10" s="1"/>
  <c r="J6" i="10"/>
  <c r="F6" i="10"/>
  <c r="K6" i="10" s="1"/>
  <c r="J5" i="10"/>
  <c r="G5" i="10"/>
  <c r="F5" i="10"/>
  <c r="J4" i="10"/>
  <c r="H4" i="10"/>
  <c r="F4" i="10"/>
  <c r="J3" i="10"/>
  <c r="F3" i="10"/>
  <c r="K3" i="10" s="1"/>
  <c r="J2" i="10"/>
  <c r="F2" i="10"/>
  <c r="K149" i="10" s="1"/>
  <c r="V208" i="6"/>
  <c r="T208" i="6"/>
  <c r="S208" i="6"/>
  <c r="R208" i="6"/>
  <c r="Q208" i="6"/>
  <c r="P208" i="6"/>
  <c r="O208" i="6"/>
  <c r="N208" i="6"/>
  <c r="M208" i="6"/>
  <c r="U208" i="6" s="1"/>
  <c r="V207" i="6"/>
  <c r="P207" i="6" s="1"/>
  <c r="T207" i="6"/>
  <c r="S207" i="6"/>
  <c r="R207" i="6"/>
  <c r="Q207" i="6"/>
  <c r="O207" i="6"/>
  <c r="N207" i="6"/>
  <c r="U207" i="6" s="1"/>
  <c r="M207" i="6"/>
  <c r="V206" i="6"/>
  <c r="T206" i="6"/>
  <c r="S206" i="6"/>
  <c r="R206" i="6"/>
  <c r="Q206" i="6"/>
  <c r="P206" i="6"/>
  <c r="O206" i="6"/>
  <c r="N206" i="6"/>
  <c r="M206" i="6"/>
  <c r="U206" i="6" s="1"/>
  <c r="V205" i="6"/>
  <c r="P205" i="6" s="1"/>
  <c r="T205" i="6"/>
  <c r="S205" i="6"/>
  <c r="R205" i="6"/>
  <c r="Q205" i="6"/>
  <c r="O205" i="6"/>
  <c r="N205" i="6"/>
  <c r="M205" i="6"/>
  <c r="U205" i="6" s="1"/>
  <c r="V204" i="6"/>
  <c r="T204" i="6"/>
  <c r="S204" i="6"/>
  <c r="R204" i="6"/>
  <c r="Q204" i="6"/>
  <c r="P204" i="6"/>
  <c r="O204" i="6"/>
  <c r="N204" i="6"/>
  <c r="M204" i="6"/>
  <c r="U204" i="6" s="1"/>
  <c r="V203" i="6"/>
  <c r="P203" i="6" s="1"/>
  <c r="U203" i="6"/>
  <c r="T203" i="6"/>
  <c r="S203" i="6"/>
  <c r="R203" i="6"/>
  <c r="Q203" i="6"/>
  <c r="O203" i="6"/>
  <c r="N203" i="6"/>
  <c r="M203" i="6"/>
  <c r="V202" i="6"/>
  <c r="T202" i="6"/>
  <c r="S202" i="6"/>
  <c r="R202" i="6"/>
  <c r="Q202" i="6"/>
  <c r="P202" i="6"/>
  <c r="O202" i="6"/>
  <c r="N202" i="6"/>
  <c r="M202" i="6"/>
  <c r="U202" i="6" s="1"/>
  <c r="V201" i="6"/>
  <c r="P201" i="6" s="1"/>
  <c r="T201" i="6"/>
  <c r="S201" i="6"/>
  <c r="R201" i="6"/>
  <c r="Q201" i="6"/>
  <c r="O201" i="6"/>
  <c r="U201" i="6" s="1"/>
  <c r="N201" i="6"/>
  <c r="M201" i="6"/>
  <c r="V200" i="6"/>
  <c r="T200" i="6"/>
  <c r="S200" i="6"/>
  <c r="R200" i="6"/>
  <c r="Q200" i="6"/>
  <c r="P200" i="6"/>
  <c r="O200" i="6"/>
  <c r="N200" i="6"/>
  <c r="M200" i="6"/>
  <c r="U200" i="6" s="1"/>
  <c r="V199" i="6"/>
  <c r="P199" i="6" s="1"/>
  <c r="T199" i="6"/>
  <c r="S199" i="6"/>
  <c r="U199" i="6" s="1"/>
  <c r="R199" i="6"/>
  <c r="Q199" i="6"/>
  <c r="O199" i="6"/>
  <c r="N199" i="6"/>
  <c r="M199" i="6"/>
  <c r="V198" i="6"/>
  <c r="T198" i="6"/>
  <c r="S198" i="6"/>
  <c r="R198" i="6"/>
  <c r="Q198" i="6"/>
  <c r="P198" i="6"/>
  <c r="O198" i="6"/>
  <c r="N198" i="6"/>
  <c r="M198" i="6"/>
  <c r="U198" i="6" s="1"/>
  <c r="V197" i="6"/>
  <c r="P197" i="6" s="1"/>
  <c r="T197" i="6"/>
  <c r="S197" i="6"/>
  <c r="R197" i="6"/>
  <c r="Q197" i="6"/>
  <c r="O197" i="6"/>
  <c r="N197" i="6"/>
  <c r="M197" i="6"/>
  <c r="U197" i="6" s="1"/>
  <c r="V196" i="6"/>
  <c r="T196" i="6"/>
  <c r="S196" i="6"/>
  <c r="R196" i="6"/>
  <c r="Q196" i="6"/>
  <c r="P196" i="6"/>
  <c r="O196" i="6"/>
  <c r="N196" i="6"/>
  <c r="M196" i="6"/>
  <c r="U196" i="6" s="1"/>
  <c r="V195" i="6"/>
  <c r="P195" i="6" s="1"/>
  <c r="T195" i="6"/>
  <c r="S195" i="6"/>
  <c r="R195" i="6"/>
  <c r="Q195" i="6"/>
  <c r="O195" i="6"/>
  <c r="N195" i="6"/>
  <c r="M195" i="6"/>
  <c r="U195" i="6" s="1"/>
  <c r="V194" i="6"/>
  <c r="T194" i="6"/>
  <c r="S194" i="6"/>
  <c r="R194" i="6"/>
  <c r="Q194" i="6"/>
  <c r="P194" i="6"/>
  <c r="O194" i="6"/>
  <c r="N194" i="6"/>
  <c r="M194" i="6"/>
  <c r="U194" i="6" s="1"/>
  <c r="V193" i="6"/>
  <c r="P193" i="6" s="1"/>
  <c r="T193" i="6"/>
  <c r="S193" i="6"/>
  <c r="R193" i="6"/>
  <c r="Q193" i="6"/>
  <c r="O193" i="6"/>
  <c r="N193" i="6"/>
  <c r="M193" i="6"/>
  <c r="U193" i="6" s="1"/>
  <c r="V192" i="6"/>
  <c r="T192" i="6"/>
  <c r="S192" i="6"/>
  <c r="R192" i="6"/>
  <c r="Q192" i="6"/>
  <c r="P192" i="6"/>
  <c r="O192" i="6"/>
  <c r="N192" i="6"/>
  <c r="M192" i="6"/>
  <c r="U192" i="6" s="1"/>
  <c r="V191" i="6"/>
  <c r="T191" i="6"/>
  <c r="S191" i="6"/>
  <c r="R191" i="6"/>
  <c r="Q191" i="6"/>
  <c r="P191" i="6"/>
  <c r="O191" i="6"/>
  <c r="N191" i="6"/>
  <c r="M191" i="6"/>
  <c r="U191" i="6" s="1"/>
  <c r="V190" i="6"/>
  <c r="T190" i="6"/>
  <c r="S190" i="6"/>
  <c r="R190" i="6"/>
  <c r="Q190" i="6"/>
  <c r="P190" i="6"/>
  <c r="O190" i="6"/>
  <c r="N190" i="6"/>
  <c r="M190" i="6"/>
  <c r="U190" i="6" s="1"/>
  <c r="V189" i="6"/>
  <c r="P189" i="6" s="1"/>
  <c r="T189" i="6"/>
  <c r="S189" i="6"/>
  <c r="U189" i="6" s="1"/>
  <c r="R189" i="6"/>
  <c r="Q189" i="6"/>
  <c r="O189" i="6"/>
  <c r="N189" i="6"/>
  <c r="M189" i="6"/>
  <c r="V188" i="6"/>
  <c r="T188" i="6"/>
  <c r="S188" i="6"/>
  <c r="R188" i="6"/>
  <c r="Q188" i="6"/>
  <c r="P188" i="6"/>
  <c r="O188" i="6"/>
  <c r="N188" i="6"/>
  <c r="M188" i="6"/>
  <c r="U188" i="6" s="1"/>
  <c r="V187" i="6"/>
  <c r="P187" i="6" s="1"/>
  <c r="T187" i="6"/>
  <c r="S187" i="6"/>
  <c r="R187" i="6"/>
  <c r="Q187" i="6"/>
  <c r="O187" i="6"/>
  <c r="N187" i="6"/>
  <c r="M187" i="6"/>
  <c r="U187" i="6" s="1"/>
  <c r="V186" i="6"/>
  <c r="T186" i="6"/>
  <c r="S186" i="6"/>
  <c r="R186" i="6"/>
  <c r="Q186" i="6"/>
  <c r="P186" i="6"/>
  <c r="O186" i="6"/>
  <c r="N186" i="6"/>
  <c r="M186" i="6"/>
  <c r="U186" i="6" s="1"/>
  <c r="V185" i="6"/>
  <c r="P185" i="6" s="1"/>
  <c r="T185" i="6"/>
  <c r="S185" i="6"/>
  <c r="R185" i="6"/>
  <c r="Q185" i="6"/>
  <c r="O185" i="6"/>
  <c r="N185" i="6"/>
  <c r="M185" i="6"/>
  <c r="U185" i="6" s="1"/>
  <c r="V184" i="6"/>
  <c r="T184" i="6"/>
  <c r="S184" i="6"/>
  <c r="R184" i="6"/>
  <c r="Q184" i="6"/>
  <c r="P184" i="6"/>
  <c r="O184" i="6"/>
  <c r="N184" i="6"/>
  <c r="M184" i="6"/>
  <c r="U184" i="6" s="1"/>
  <c r="V183" i="6"/>
  <c r="P183" i="6" s="1"/>
  <c r="T183" i="6"/>
  <c r="S183" i="6"/>
  <c r="R183" i="6"/>
  <c r="Q183" i="6"/>
  <c r="O183" i="6"/>
  <c r="N183" i="6"/>
  <c r="M183" i="6"/>
  <c r="U183" i="6" s="1"/>
  <c r="V182" i="6"/>
  <c r="T182" i="6"/>
  <c r="S182" i="6"/>
  <c r="R182" i="6"/>
  <c r="Q182" i="6"/>
  <c r="P182" i="6"/>
  <c r="O182" i="6"/>
  <c r="N182" i="6"/>
  <c r="M182" i="6"/>
  <c r="U182" i="6" s="1"/>
  <c r="V181" i="6"/>
  <c r="P181" i="6" s="1"/>
  <c r="T181" i="6"/>
  <c r="S181" i="6"/>
  <c r="R181" i="6"/>
  <c r="Q181" i="6"/>
  <c r="O181" i="6"/>
  <c r="U181" i="6" s="1"/>
  <c r="N181" i="6"/>
  <c r="M181" i="6"/>
  <c r="V180" i="6"/>
  <c r="T180" i="6"/>
  <c r="S180" i="6"/>
  <c r="R180" i="6"/>
  <c r="Q180" i="6"/>
  <c r="P180" i="6"/>
  <c r="O180" i="6"/>
  <c r="N180" i="6"/>
  <c r="M180" i="6"/>
  <c r="U180" i="6" s="1"/>
  <c r="V179" i="6"/>
  <c r="T179" i="6"/>
  <c r="S179" i="6"/>
  <c r="R179" i="6"/>
  <c r="Q179" i="6"/>
  <c r="P179" i="6"/>
  <c r="O179" i="6"/>
  <c r="N179" i="6"/>
  <c r="M179" i="6"/>
  <c r="U179" i="6" s="1"/>
  <c r="V178" i="6"/>
  <c r="T178" i="6"/>
  <c r="S178" i="6"/>
  <c r="R178" i="6"/>
  <c r="Q178" i="6"/>
  <c r="P178" i="6"/>
  <c r="O178" i="6"/>
  <c r="N178" i="6"/>
  <c r="M178" i="6"/>
  <c r="U178" i="6" s="1"/>
  <c r="V177" i="6"/>
  <c r="P177" i="6" s="1"/>
  <c r="T177" i="6"/>
  <c r="S177" i="6"/>
  <c r="R177" i="6"/>
  <c r="Q177" i="6"/>
  <c r="O177" i="6"/>
  <c r="N177" i="6"/>
  <c r="U177" i="6" s="1"/>
  <c r="M177" i="6"/>
  <c r="V176" i="6"/>
  <c r="T176" i="6"/>
  <c r="S176" i="6"/>
  <c r="R176" i="6"/>
  <c r="Q176" i="6"/>
  <c r="P176" i="6"/>
  <c r="O176" i="6"/>
  <c r="N176" i="6"/>
  <c r="M176" i="6"/>
  <c r="U176" i="6" s="1"/>
  <c r="V175" i="6"/>
  <c r="T175" i="6"/>
  <c r="S175" i="6"/>
  <c r="R175" i="6"/>
  <c r="Q175" i="6"/>
  <c r="P175" i="6"/>
  <c r="O175" i="6"/>
  <c r="N175" i="6"/>
  <c r="M175" i="6"/>
  <c r="U175" i="6" s="1"/>
  <c r="V174" i="6"/>
  <c r="T174" i="6"/>
  <c r="S174" i="6"/>
  <c r="R174" i="6"/>
  <c r="Q174" i="6"/>
  <c r="P174" i="6"/>
  <c r="O174" i="6"/>
  <c r="N174" i="6"/>
  <c r="M174" i="6"/>
  <c r="U174" i="6" s="1"/>
  <c r="V173" i="6"/>
  <c r="P173" i="6" s="1"/>
  <c r="T173" i="6"/>
  <c r="S173" i="6"/>
  <c r="R173" i="6"/>
  <c r="Q173" i="6"/>
  <c r="O173" i="6"/>
  <c r="N173" i="6"/>
  <c r="M173" i="6"/>
  <c r="V172" i="6"/>
  <c r="T172" i="6"/>
  <c r="S172" i="6"/>
  <c r="R172" i="6"/>
  <c r="Q172" i="6"/>
  <c r="P172" i="6"/>
  <c r="O172" i="6"/>
  <c r="N172" i="6"/>
  <c r="M172" i="6"/>
  <c r="U172" i="6" s="1"/>
  <c r="V171" i="6"/>
  <c r="T171" i="6"/>
  <c r="S171" i="6"/>
  <c r="R171" i="6"/>
  <c r="Q171" i="6"/>
  <c r="P171" i="6"/>
  <c r="O171" i="6"/>
  <c r="N171" i="6"/>
  <c r="M171" i="6"/>
  <c r="U171" i="6" s="1"/>
  <c r="V170" i="6"/>
  <c r="P170" i="6" s="1"/>
  <c r="T170" i="6"/>
  <c r="S170" i="6"/>
  <c r="R170" i="6"/>
  <c r="Q170" i="6"/>
  <c r="O170" i="6"/>
  <c r="N170" i="6"/>
  <c r="M170" i="6"/>
  <c r="V169" i="6"/>
  <c r="P169" i="6" s="1"/>
  <c r="T169" i="6"/>
  <c r="S169" i="6"/>
  <c r="R169" i="6"/>
  <c r="Q169" i="6"/>
  <c r="O169" i="6"/>
  <c r="N169" i="6"/>
  <c r="M169" i="6"/>
  <c r="V168" i="6"/>
  <c r="T168" i="6"/>
  <c r="S168" i="6"/>
  <c r="R168" i="6"/>
  <c r="Q168" i="6"/>
  <c r="P168" i="6"/>
  <c r="O168" i="6"/>
  <c r="N168" i="6"/>
  <c r="M168" i="6"/>
  <c r="U168" i="6" s="1"/>
  <c r="V167" i="6"/>
  <c r="T167" i="6"/>
  <c r="S167" i="6"/>
  <c r="R167" i="6"/>
  <c r="Q167" i="6"/>
  <c r="P167" i="6"/>
  <c r="O167" i="6"/>
  <c r="N167" i="6"/>
  <c r="M167" i="6"/>
  <c r="U167" i="6" s="1"/>
  <c r="V166" i="6"/>
  <c r="P166" i="6" s="1"/>
  <c r="T166" i="6"/>
  <c r="S166" i="6"/>
  <c r="R166" i="6"/>
  <c r="Q166" i="6"/>
  <c r="O166" i="6"/>
  <c r="N166" i="6"/>
  <c r="M166" i="6"/>
  <c r="V165" i="6"/>
  <c r="P165" i="6" s="1"/>
  <c r="T165" i="6"/>
  <c r="S165" i="6"/>
  <c r="R165" i="6"/>
  <c r="Q165" i="6"/>
  <c r="O165" i="6"/>
  <c r="N165" i="6"/>
  <c r="M165" i="6"/>
  <c r="V164" i="6"/>
  <c r="T164" i="6"/>
  <c r="S164" i="6"/>
  <c r="R164" i="6"/>
  <c r="Q164" i="6"/>
  <c r="P164" i="6"/>
  <c r="O164" i="6"/>
  <c r="N164" i="6"/>
  <c r="M164" i="6"/>
  <c r="U164" i="6" s="1"/>
  <c r="V163" i="6"/>
  <c r="T163" i="6"/>
  <c r="S163" i="6"/>
  <c r="R163" i="6"/>
  <c r="Q163" i="6"/>
  <c r="P163" i="6"/>
  <c r="O163" i="6"/>
  <c r="N163" i="6"/>
  <c r="M163" i="6"/>
  <c r="U163" i="6" s="1"/>
  <c r="V162" i="6"/>
  <c r="P162" i="6" s="1"/>
  <c r="T162" i="6"/>
  <c r="S162" i="6"/>
  <c r="R162" i="6"/>
  <c r="Q162" i="6"/>
  <c r="O162" i="6"/>
  <c r="N162" i="6"/>
  <c r="M162" i="6"/>
  <c r="V161" i="6"/>
  <c r="P161" i="6" s="1"/>
  <c r="T161" i="6"/>
  <c r="S161" i="6"/>
  <c r="R161" i="6"/>
  <c r="Q161" i="6"/>
  <c r="O161" i="6"/>
  <c r="N161" i="6"/>
  <c r="M161" i="6"/>
  <c r="V160" i="6"/>
  <c r="T160" i="6"/>
  <c r="S160" i="6"/>
  <c r="R160" i="6"/>
  <c r="Q160" i="6"/>
  <c r="P160" i="6"/>
  <c r="O160" i="6"/>
  <c r="N160" i="6"/>
  <c r="M160" i="6"/>
  <c r="U160" i="6" s="1"/>
  <c r="V159" i="6"/>
  <c r="T159" i="6"/>
  <c r="S159" i="6"/>
  <c r="R159" i="6"/>
  <c r="Q159" i="6"/>
  <c r="P159" i="6"/>
  <c r="O159" i="6"/>
  <c r="N159" i="6"/>
  <c r="M159" i="6"/>
  <c r="U159" i="6" s="1"/>
  <c r="V158" i="6"/>
  <c r="P158" i="6" s="1"/>
  <c r="T158" i="6"/>
  <c r="S158" i="6"/>
  <c r="R158" i="6"/>
  <c r="Q158" i="6"/>
  <c r="O158" i="6"/>
  <c r="N158" i="6"/>
  <c r="M158" i="6"/>
  <c r="V157" i="6"/>
  <c r="P157" i="6" s="1"/>
  <c r="T157" i="6"/>
  <c r="S157" i="6"/>
  <c r="R157" i="6"/>
  <c r="Q157" i="6"/>
  <c r="O157" i="6"/>
  <c r="N157" i="6"/>
  <c r="M157" i="6"/>
  <c r="V156" i="6"/>
  <c r="T156" i="6"/>
  <c r="S156" i="6"/>
  <c r="R156" i="6"/>
  <c r="Q156" i="6"/>
  <c r="P156" i="6"/>
  <c r="O156" i="6"/>
  <c r="N156" i="6"/>
  <c r="M156" i="6"/>
  <c r="U156" i="6" s="1"/>
  <c r="V155" i="6"/>
  <c r="T155" i="6"/>
  <c r="S155" i="6"/>
  <c r="R155" i="6"/>
  <c r="Q155" i="6"/>
  <c r="P155" i="6"/>
  <c r="O155" i="6"/>
  <c r="N155" i="6"/>
  <c r="M155" i="6"/>
  <c r="U155" i="6" s="1"/>
  <c r="V154" i="6"/>
  <c r="P154" i="6" s="1"/>
  <c r="T154" i="6"/>
  <c r="S154" i="6"/>
  <c r="R154" i="6"/>
  <c r="Q154" i="6"/>
  <c r="O154" i="6"/>
  <c r="N154" i="6"/>
  <c r="M154" i="6"/>
  <c r="V153" i="6"/>
  <c r="P153" i="6" s="1"/>
  <c r="T153" i="6"/>
  <c r="S153" i="6"/>
  <c r="R153" i="6"/>
  <c r="Q153" i="6"/>
  <c r="O153" i="6"/>
  <c r="N153" i="6"/>
  <c r="M153" i="6"/>
  <c r="V152" i="6"/>
  <c r="T152" i="6"/>
  <c r="S152" i="6"/>
  <c r="R152" i="6"/>
  <c r="Q152" i="6"/>
  <c r="P152" i="6"/>
  <c r="O152" i="6"/>
  <c r="N152" i="6"/>
  <c r="M152" i="6"/>
  <c r="U152" i="6" s="1"/>
  <c r="V151" i="6"/>
  <c r="T151" i="6"/>
  <c r="S151" i="6"/>
  <c r="R151" i="6"/>
  <c r="Q151" i="6"/>
  <c r="P151" i="6"/>
  <c r="O151" i="6"/>
  <c r="N151" i="6"/>
  <c r="M151" i="6"/>
  <c r="U151" i="6" s="1"/>
  <c r="V150" i="6"/>
  <c r="P150" i="6" s="1"/>
  <c r="T150" i="6"/>
  <c r="S150" i="6"/>
  <c r="R150" i="6"/>
  <c r="Q150" i="6"/>
  <c r="O150" i="6"/>
  <c r="N150" i="6"/>
  <c r="M150" i="6"/>
  <c r="V149" i="6"/>
  <c r="P149" i="6" s="1"/>
  <c r="T149" i="6"/>
  <c r="S149" i="6"/>
  <c r="R149" i="6"/>
  <c r="Q149" i="6"/>
  <c r="O149" i="6"/>
  <c r="N149" i="6"/>
  <c r="M149" i="6"/>
  <c r="V148" i="6"/>
  <c r="T148" i="6"/>
  <c r="S148" i="6"/>
  <c r="R148" i="6"/>
  <c r="Q148" i="6"/>
  <c r="P148" i="6"/>
  <c r="O148" i="6"/>
  <c r="N148" i="6"/>
  <c r="M148" i="6"/>
  <c r="U148" i="6" s="1"/>
  <c r="V147" i="6"/>
  <c r="T147" i="6"/>
  <c r="S147" i="6"/>
  <c r="R147" i="6"/>
  <c r="Q147" i="6"/>
  <c r="P147" i="6"/>
  <c r="O147" i="6"/>
  <c r="N147" i="6"/>
  <c r="M147" i="6"/>
  <c r="U147" i="6" s="1"/>
  <c r="V146" i="6"/>
  <c r="P146" i="6" s="1"/>
  <c r="T146" i="6"/>
  <c r="S146" i="6"/>
  <c r="R146" i="6"/>
  <c r="Q146" i="6"/>
  <c r="O146" i="6"/>
  <c r="N146" i="6"/>
  <c r="M146" i="6"/>
  <c r="V145" i="6"/>
  <c r="T145" i="6"/>
  <c r="S145" i="6"/>
  <c r="R145" i="6"/>
  <c r="Q145" i="6"/>
  <c r="P145" i="6"/>
  <c r="O145" i="6"/>
  <c r="N145" i="6"/>
  <c r="M145" i="6"/>
  <c r="U145" i="6" s="1"/>
  <c r="V144" i="6"/>
  <c r="T144" i="6"/>
  <c r="S144" i="6"/>
  <c r="R144" i="6"/>
  <c r="Q144" i="6"/>
  <c r="P144" i="6"/>
  <c r="O144" i="6"/>
  <c r="N144" i="6"/>
  <c r="M144" i="6"/>
  <c r="U144" i="6" s="1"/>
  <c r="V143" i="6"/>
  <c r="T143" i="6"/>
  <c r="S143" i="6"/>
  <c r="R143" i="6"/>
  <c r="Q143" i="6"/>
  <c r="P143" i="6"/>
  <c r="O143" i="6"/>
  <c r="N143" i="6"/>
  <c r="M143" i="6"/>
  <c r="U143" i="6" s="1"/>
  <c r="V142" i="6"/>
  <c r="P142" i="6" s="1"/>
  <c r="T142" i="6"/>
  <c r="S142" i="6"/>
  <c r="R142" i="6"/>
  <c r="Q142" i="6"/>
  <c r="O142" i="6"/>
  <c r="N142" i="6"/>
  <c r="M142" i="6"/>
  <c r="U142" i="6" s="1"/>
  <c r="V141" i="6"/>
  <c r="P141" i="6" s="1"/>
  <c r="T141" i="6"/>
  <c r="S141" i="6"/>
  <c r="R141" i="6"/>
  <c r="Q141" i="6"/>
  <c r="O141" i="6"/>
  <c r="N141" i="6"/>
  <c r="M141" i="6"/>
  <c r="U141" i="6" s="1"/>
  <c r="V140" i="6"/>
  <c r="T140" i="6"/>
  <c r="S140" i="6"/>
  <c r="R140" i="6"/>
  <c r="Q140" i="6"/>
  <c r="P140" i="6"/>
  <c r="O140" i="6"/>
  <c r="N140" i="6"/>
  <c r="M140" i="6"/>
  <c r="U140" i="6" s="1"/>
  <c r="V139" i="6"/>
  <c r="T139" i="6"/>
  <c r="S139" i="6"/>
  <c r="R139" i="6"/>
  <c r="Q139" i="6"/>
  <c r="P139" i="6"/>
  <c r="O139" i="6"/>
  <c r="N139" i="6"/>
  <c r="M139" i="6"/>
  <c r="U139" i="6" s="1"/>
  <c r="V138" i="6"/>
  <c r="P138" i="6" s="1"/>
  <c r="T138" i="6"/>
  <c r="S138" i="6"/>
  <c r="R138" i="6"/>
  <c r="Q138" i="6"/>
  <c r="O138" i="6"/>
  <c r="N138" i="6"/>
  <c r="M138" i="6"/>
  <c r="U138" i="6" s="1"/>
  <c r="V137" i="6"/>
  <c r="P137" i="6" s="1"/>
  <c r="T137" i="6"/>
  <c r="S137" i="6"/>
  <c r="R137" i="6"/>
  <c r="Q137" i="6"/>
  <c r="O137" i="6"/>
  <c r="N137" i="6"/>
  <c r="M137" i="6"/>
  <c r="U137" i="6" s="1"/>
  <c r="V136" i="6"/>
  <c r="T136" i="6"/>
  <c r="S136" i="6"/>
  <c r="R136" i="6"/>
  <c r="Q136" i="6"/>
  <c r="P136" i="6"/>
  <c r="O136" i="6"/>
  <c r="N136" i="6"/>
  <c r="M136" i="6"/>
  <c r="U136" i="6" s="1"/>
  <c r="V135" i="6"/>
  <c r="T135" i="6"/>
  <c r="S135" i="6"/>
  <c r="R135" i="6"/>
  <c r="Q135" i="6"/>
  <c r="P135" i="6"/>
  <c r="O135" i="6"/>
  <c r="N135" i="6"/>
  <c r="M135" i="6"/>
  <c r="U135" i="6" s="1"/>
  <c r="V134" i="6"/>
  <c r="P134" i="6" s="1"/>
  <c r="T134" i="6"/>
  <c r="S134" i="6"/>
  <c r="R134" i="6"/>
  <c r="Q134" i="6"/>
  <c r="O134" i="6"/>
  <c r="N134" i="6"/>
  <c r="M134" i="6"/>
  <c r="U134" i="6" s="1"/>
  <c r="V133" i="6"/>
  <c r="P133" i="6" s="1"/>
  <c r="T133" i="6"/>
  <c r="S133" i="6"/>
  <c r="R133" i="6"/>
  <c r="Q133" i="6"/>
  <c r="O133" i="6"/>
  <c r="N133" i="6"/>
  <c r="M133" i="6"/>
  <c r="U133" i="6" s="1"/>
  <c r="V132" i="6"/>
  <c r="T132" i="6"/>
  <c r="S132" i="6"/>
  <c r="R132" i="6"/>
  <c r="Q132" i="6"/>
  <c r="P132" i="6"/>
  <c r="O132" i="6"/>
  <c r="N132" i="6"/>
  <c r="M132" i="6"/>
  <c r="V131" i="6"/>
  <c r="T131" i="6"/>
  <c r="S131" i="6"/>
  <c r="R131" i="6"/>
  <c r="Q131" i="6"/>
  <c r="P131" i="6"/>
  <c r="O131" i="6"/>
  <c r="N131" i="6"/>
  <c r="M131" i="6"/>
  <c r="V130" i="6"/>
  <c r="P130" i="6" s="1"/>
  <c r="T130" i="6"/>
  <c r="S130" i="6"/>
  <c r="R130" i="6"/>
  <c r="Q130" i="6"/>
  <c r="O130" i="6"/>
  <c r="N130" i="6"/>
  <c r="M130" i="6"/>
  <c r="V129" i="6"/>
  <c r="P129" i="6" s="1"/>
  <c r="T129" i="6"/>
  <c r="S129" i="6"/>
  <c r="R129" i="6"/>
  <c r="Q129" i="6"/>
  <c r="O129" i="6"/>
  <c r="N129" i="6"/>
  <c r="M129" i="6"/>
  <c r="V128" i="6"/>
  <c r="T128" i="6"/>
  <c r="S128" i="6"/>
  <c r="R128" i="6"/>
  <c r="Q128" i="6"/>
  <c r="P128" i="6"/>
  <c r="O128" i="6"/>
  <c r="N128" i="6"/>
  <c r="M128" i="6"/>
  <c r="V127" i="6"/>
  <c r="T127" i="6"/>
  <c r="S127" i="6"/>
  <c r="R127" i="6"/>
  <c r="Q127" i="6"/>
  <c r="P127" i="6"/>
  <c r="O127" i="6"/>
  <c r="N127" i="6"/>
  <c r="M127" i="6"/>
  <c r="V126" i="6"/>
  <c r="P126" i="6" s="1"/>
  <c r="T126" i="6"/>
  <c r="S126" i="6"/>
  <c r="R126" i="6"/>
  <c r="Q126" i="6"/>
  <c r="O126" i="6"/>
  <c r="N126" i="6"/>
  <c r="M126" i="6"/>
  <c r="V125" i="6"/>
  <c r="P125" i="6" s="1"/>
  <c r="T125" i="6"/>
  <c r="S125" i="6"/>
  <c r="R125" i="6"/>
  <c r="Q125" i="6"/>
  <c r="O125" i="6"/>
  <c r="N125" i="6"/>
  <c r="M125" i="6"/>
  <c r="V124" i="6"/>
  <c r="T124" i="6"/>
  <c r="S124" i="6"/>
  <c r="R124" i="6"/>
  <c r="Q124" i="6"/>
  <c r="P124" i="6"/>
  <c r="O124" i="6"/>
  <c r="N124" i="6"/>
  <c r="M124" i="6"/>
  <c r="U124" i="6" s="1"/>
  <c r="V123" i="6"/>
  <c r="T123" i="6"/>
  <c r="S123" i="6"/>
  <c r="R123" i="6"/>
  <c r="Q123" i="6"/>
  <c r="P123" i="6"/>
  <c r="O123" i="6"/>
  <c r="N123" i="6"/>
  <c r="M123" i="6"/>
  <c r="U123" i="6" s="1"/>
  <c r="V122" i="6"/>
  <c r="P122" i="6" s="1"/>
  <c r="T122" i="6"/>
  <c r="S122" i="6"/>
  <c r="R122" i="6"/>
  <c r="Q122" i="6"/>
  <c r="O122" i="6"/>
  <c r="N122" i="6"/>
  <c r="M122" i="6"/>
  <c r="V121" i="6"/>
  <c r="P121" i="6" s="1"/>
  <c r="T121" i="6"/>
  <c r="S121" i="6"/>
  <c r="R121" i="6"/>
  <c r="Q121" i="6"/>
  <c r="O121" i="6"/>
  <c r="N121" i="6"/>
  <c r="M121" i="6"/>
  <c r="V120" i="6"/>
  <c r="T120" i="6"/>
  <c r="S120" i="6"/>
  <c r="R120" i="6"/>
  <c r="Q120" i="6"/>
  <c r="P120" i="6"/>
  <c r="O120" i="6"/>
  <c r="N120" i="6"/>
  <c r="M120" i="6"/>
  <c r="U120" i="6" s="1"/>
  <c r="V119" i="6"/>
  <c r="T119" i="6"/>
  <c r="S119" i="6"/>
  <c r="R119" i="6"/>
  <c r="Q119" i="6"/>
  <c r="P119" i="6"/>
  <c r="O119" i="6"/>
  <c r="N119" i="6"/>
  <c r="M119" i="6"/>
  <c r="V118" i="6"/>
  <c r="P118" i="6" s="1"/>
  <c r="T118" i="6"/>
  <c r="S118" i="6"/>
  <c r="R118" i="6"/>
  <c r="Q118" i="6"/>
  <c r="O118" i="6"/>
  <c r="N118" i="6"/>
  <c r="M118" i="6"/>
  <c r="V117" i="6"/>
  <c r="T117" i="6"/>
  <c r="S117" i="6"/>
  <c r="R117" i="6"/>
  <c r="Q117" i="6"/>
  <c r="P117" i="6"/>
  <c r="O117" i="6"/>
  <c r="N117" i="6"/>
  <c r="M117" i="6"/>
  <c r="V116" i="6"/>
  <c r="T116" i="6"/>
  <c r="S116" i="6"/>
  <c r="R116" i="6"/>
  <c r="Q116" i="6"/>
  <c r="P116" i="6"/>
  <c r="O116" i="6"/>
  <c r="N116" i="6"/>
  <c r="M116" i="6"/>
  <c r="U116" i="6" s="1"/>
  <c r="V115" i="6"/>
  <c r="T115" i="6"/>
  <c r="S115" i="6"/>
  <c r="R115" i="6"/>
  <c r="Q115" i="6"/>
  <c r="P115" i="6"/>
  <c r="O115" i="6"/>
  <c r="N115" i="6"/>
  <c r="M115" i="6"/>
  <c r="U115" i="6" s="1"/>
  <c r="V114" i="6"/>
  <c r="P114" i="6" s="1"/>
  <c r="T114" i="6"/>
  <c r="S114" i="6"/>
  <c r="R114" i="6"/>
  <c r="Q114" i="6"/>
  <c r="O114" i="6"/>
  <c r="N114" i="6"/>
  <c r="M114" i="6"/>
  <c r="V113" i="6"/>
  <c r="P113" i="6" s="1"/>
  <c r="T113" i="6"/>
  <c r="S113" i="6"/>
  <c r="R113" i="6"/>
  <c r="Q113" i="6"/>
  <c r="O113" i="6"/>
  <c r="N113" i="6"/>
  <c r="M113" i="6"/>
  <c r="V112" i="6"/>
  <c r="T112" i="6"/>
  <c r="S112" i="6"/>
  <c r="R112" i="6"/>
  <c r="Q112" i="6"/>
  <c r="P112" i="6"/>
  <c r="O112" i="6"/>
  <c r="N112" i="6"/>
  <c r="M112" i="6"/>
  <c r="U112" i="6" s="1"/>
  <c r="V111" i="6"/>
  <c r="T111" i="6"/>
  <c r="S111" i="6"/>
  <c r="R111" i="6"/>
  <c r="Q111" i="6"/>
  <c r="P111" i="6"/>
  <c r="O111" i="6"/>
  <c r="N111" i="6"/>
  <c r="M111" i="6"/>
  <c r="V110" i="6"/>
  <c r="P110" i="6" s="1"/>
  <c r="T110" i="6"/>
  <c r="S110" i="6"/>
  <c r="R110" i="6"/>
  <c r="Q110" i="6"/>
  <c r="O110" i="6"/>
  <c r="N110" i="6"/>
  <c r="M110" i="6"/>
  <c r="V109" i="6"/>
  <c r="T109" i="6"/>
  <c r="S109" i="6"/>
  <c r="R109" i="6"/>
  <c r="Q109" i="6"/>
  <c r="P109" i="6"/>
  <c r="O109" i="6"/>
  <c r="N109" i="6"/>
  <c r="M109" i="6"/>
  <c r="V108" i="6"/>
  <c r="T108" i="6"/>
  <c r="S108" i="6"/>
  <c r="R108" i="6"/>
  <c r="Q108" i="6"/>
  <c r="P108" i="6"/>
  <c r="O108" i="6"/>
  <c r="N108" i="6"/>
  <c r="M108" i="6"/>
  <c r="U108" i="6" s="1"/>
  <c r="V107" i="6"/>
  <c r="T107" i="6"/>
  <c r="S107" i="6"/>
  <c r="R107" i="6"/>
  <c r="Q107" i="6"/>
  <c r="P107" i="6"/>
  <c r="O107" i="6"/>
  <c r="N107" i="6"/>
  <c r="M107" i="6"/>
  <c r="V106" i="6"/>
  <c r="P106" i="6" s="1"/>
  <c r="U106" i="6"/>
  <c r="T106" i="6"/>
  <c r="S106" i="6"/>
  <c r="R106" i="6"/>
  <c r="Q106" i="6"/>
  <c r="O106" i="6"/>
  <c r="N106" i="6"/>
  <c r="M106" i="6"/>
  <c r="V105" i="6"/>
  <c r="P105" i="6" s="1"/>
  <c r="T105" i="6"/>
  <c r="S105" i="6"/>
  <c r="R105" i="6"/>
  <c r="Q105" i="6"/>
  <c r="O105" i="6"/>
  <c r="N105" i="6"/>
  <c r="M105" i="6"/>
  <c r="V104" i="6"/>
  <c r="T104" i="6"/>
  <c r="S104" i="6"/>
  <c r="R104" i="6"/>
  <c r="Q104" i="6"/>
  <c r="P104" i="6"/>
  <c r="O104" i="6"/>
  <c r="N104" i="6"/>
  <c r="M104" i="6"/>
  <c r="U104" i="6" s="1"/>
  <c r="V103" i="6"/>
  <c r="T103" i="6"/>
  <c r="S103" i="6"/>
  <c r="R103" i="6"/>
  <c r="Q103" i="6"/>
  <c r="P103" i="6"/>
  <c r="O103" i="6"/>
  <c r="N103" i="6"/>
  <c r="M103" i="6"/>
  <c r="U103" i="6" s="1"/>
  <c r="V102" i="6"/>
  <c r="P102" i="6" s="1"/>
  <c r="T102" i="6"/>
  <c r="S102" i="6"/>
  <c r="R102" i="6"/>
  <c r="Q102" i="6"/>
  <c r="O102" i="6"/>
  <c r="N102" i="6"/>
  <c r="M102" i="6"/>
  <c r="U102" i="6" s="1"/>
  <c r="V101" i="6"/>
  <c r="P101" i="6" s="1"/>
  <c r="T101" i="6"/>
  <c r="S101" i="6"/>
  <c r="R101" i="6"/>
  <c r="Q101" i="6"/>
  <c r="O101" i="6"/>
  <c r="N101" i="6"/>
  <c r="M101" i="6"/>
  <c r="V100" i="6"/>
  <c r="P100" i="6" s="1"/>
  <c r="T100" i="6"/>
  <c r="S100" i="6"/>
  <c r="R100" i="6"/>
  <c r="Q100" i="6"/>
  <c r="O100" i="6"/>
  <c r="N100" i="6"/>
  <c r="M100" i="6"/>
  <c r="V99" i="6"/>
  <c r="T99" i="6"/>
  <c r="S99" i="6"/>
  <c r="R99" i="6"/>
  <c r="Q99" i="6"/>
  <c r="P99" i="6"/>
  <c r="O99" i="6"/>
  <c r="N99" i="6"/>
  <c r="M99" i="6"/>
  <c r="U99" i="6" s="1"/>
  <c r="V98" i="6"/>
  <c r="P98" i="6" s="1"/>
  <c r="T98" i="6"/>
  <c r="S98" i="6"/>
  <c r="R98" i="6"/>
  <c r="Q98" i="6"/>
  <c r="O98" i="6"/>
  <c r="N98" i="6"/>
  <c r="M98" i="6"/>
  <c r="U98" i="6" s="1"/>
  <c r="V97" i="6"/>
  <c r="P97" i="6" s="1"/>
  <c r="T97" i="6"/>
  <c r="S97" i="6"/>
  <c r="R97" i="6"/>
  <c r="Q97" i="6"/>
  <c r="O97" i="6"/>
  <c r="N97" i="6"/>
  <c r="M97" i="6"/>
  <c r="V96" i="6"/>
  <c r="P96" i="6" s="1"/>
  <c r="T96" i="6"/>
  <c r="S96" i="6"/>
  <c r="R96" i="6"/>
  <c r="Q96" i="6"/>
  <c r="O96" i="6"/>
  <c r="N96" i="6"/>
  <c r="M96" i="6"/>
  <c r="U96" i="6" s="1"/>
  <c r="V95" i="6"/>
  <c r="T95" i="6"/>
  <c r="S95" i="6"/>
  <c r="R95" i="6"/>
  <c r="Q95" i="6"/>
  <c r="P95" i="6"/>
  <c r="O95" i="6"/>
  <c r="N95" i="6"/>
  <c r="M95" i="6"/>
  <c r="U95" i="6" s="1"/>
  <c r="V94" i="6"/>
  <c r="P94" i="6" s="1"/>
  <c r="T94" i="6"/>
  <c r="S94" i="6"/>
  <c r="R94" i="6"/>
  <c r="Q94" i="6"/>
  <c r="O94" i="6"/>
  <c r="N94" i="6"/>
  <c r="M94" i="6"/>
  <c r="U94" i="6" s="1"/>
  <c r="V93" i="6"/>
  <c r="T93" i="6"/>
  <c r="S93" i="6"/>
  <c r="R93" i="6"/>
  <c r="Q93" i="6"/>
  <c r="P93" i="6"/>
  <c r="O93" i="6"/>
  <c r="N93" i="6"/>
  <c r="M93" i="6"/>
  <c r="U93" i="6" s="1"/>
  <c r="V92" i="6"/>
  <c r="P92" i="6" s="1"/>
  <c r="T92" i="6"/>
  <c r="S92" i="6"/>
  <c r="R92" i="6"/>
  <c r="Q92" i="6"/>
  <c r="O92" i="6"/>
  <c r="N92" i="6"/>
  <c r="M92" i="6"/>
  <c r="V91" i="6"/>
  <c r="T91" i="6"/>
  <c r="S91" i="6"/>
  <c r="R91" i="6"/>
  <c r="Q91" i="6"/>
  <c r="P91" i="6"/>
  <c r="O91" i="6"/>
  <c r="N91" i="6"/>
  <c r="M91" i="6"/>
  <c r="U91" i="6" s="1"/>
  <c r="V90" i="6"/>
  <c r="P90" i="6" s="1"/>
  <c r="T90" i="6"/>
  <c r="S90" i="6"/>
  <c r="R90" i="6"/>
  <c r="Q90" i="6"/>
  <c r="O90" i="6"/>
  <c r="N90" i="6"/>
  <c r="M90" i="6"/>
  <c r="U90" i="6" s="1"/>
  <c r="V89" i="6"/>
  <c r="T89" i="6"/>
  <c r="S89" i="6"/>
  <c r="R89" i="6"/>
  <c r="Q89" i="6"/>
  <c r="P89" i="6"/>
  <c r="O89" i="6"/>
  <c r="N89" i="6"/>
  <c r="M89" i="6"/>
  <c r="U89" i="6" s="1"/>
  <c r="V88" i="6"/>
  <c r="P88" i="6" s="1"/>
  <c r="T88" i="6"/>
  <c r="S88" i="6"/>
  <c r="R88" i="6"/>
  <c r="Q88" i="6"/>
  <c r="O88" i="6"/>
  <c r="N88" i="6"/>
  <c r="M88" i="6"/>
  <c r="U88" i="6" s="1"/>
  <c r="V87" i="6"/>
  <c r="T87" i="6"/>
  <c r="S87" i="6"/>
  <c r="R87" i="6"/>
  <c r="Q87" i="6"/>
  <c r="P87" i="6"/>
  <c r="O87" i="6"/>
  <c r="N87" i="6"/>
  <c r="M87" i="6"/>
  <c r="U87" i="6" s="1"/>
  <c r="V86" i="6"/>
  <c r="P86" i="6" s="1"/>
  <c r="T86" i="6"/>
  <c r="S86" i="6"/>
  <c r="R86" i="6"/>
  <c r="Q86" i="6"/>
  <c r="O86" i="6"/>
  <c r="N86" i="6"/>
  <c r="M86" i="6"/>
  <c r="V85" i="6"/>
  <c r="T85" i="6"/>
  <c r="S85" i="6"/>
  <c r="R85" i="6"/>
  <c r="Q85" i="6"/>
  <c r="P85" i="6"/>
  <c r="O85" i="6"/>
  <c r="N85" i="6"/>
  <c r="M85" i="6"/>
  <c r="U85" i="6" s="1"/>
  <c r="V84" i="6"/>
  <c r="P84" i="6" s="1"/>
  <c r="T84" i="6"/>
  <c r="S84" i="6"/>
  <c r="R84" i="6"/>
  <c r="Q84" i="6"/>
  <c r="O84" i="6"/>
  <c r="N84" i="6"/>
  <c r="M84" i="6"/>
  <c r="U84" i="6" s="1"/>
  <c r="V83" i="6"/>
  <c r="T83" i="6"/>
  <c r="S83" i="6"/>
  <c r="R83" i="6"/>
  <c r="Q83" i="6"/>
  <c r="P83" i="6"/>
  <c r="O83" i="6"/>
  <c r="N83" i="6"/>
  <c r="M83" i="6"/>
  <c r="U83" i="6" s="1"/>
  <c r="V82" i="6"/>
  <c r="P82" i="6" s="1"/>
  <c r="T82" i="6"/>
  <c r="S82" i="6"/>
  <c r="R82" i="6"/>
  <c r="Q82" i="6"/>
  <c r="O82" i="6"/>
  <c r="N82" i="6"/>
  <c r="M82" i="6"/>
  <c r="V81" i="6"/>
  <c r="T81" i="6"/>
  <c r="S81" i="6"/>
  <c r="R81" i="6"/>
  <c r="Q81" i="6"/>
  <c r="P81" i="6"/>
  <c r="O81" i="6"/>
  <c r="N81" i="6"/>
  <c r="M81" i="6"/>
  <c r="U81" i="6" s="1"/>
  <c r="V80" i="6"/>
  <c r="P80" i="6" s="1"/>
  <c r="T80" i="6"/>
  <c r="S80" i="6"/>
  <c r="R80" i="6"/>
  <c r="Q80" i="6"/>
  <c r="O80" i="6"/>
  <c r="N80" i="6"/>
  <c r="M80" i="6"/>
  <c r="U80" i="6" s="1"/>
  <c r="V79" i="6"/>
  <c r="T79" i="6"/>
  <c r="S79" i="6"/>
  <c r="R79" i="6"/>
  <c r="Q79" i="6"/>
  <c r="P79" i="6"/>
  <c r="O79" i="6"/>
  <c r="N79" i="6"/>
  <c r="M79" i="6"/>
  <c r="U79" i="6" s="1"/>
  <c r="V78" i="6"/>
  <c r="P78" i="6" s="1"/>
  <c r="T78" i="6"/>
  <c r="S78" i="6"/>
  <c r="R78" i="6"/>
  <c r="Q78" i="6"/>
  <c r="O78" i="6"/>
  <c r="N78" i="6"/>
  <c r="M78" i="6"/>
  <c r="U78" i="6" s="1"/>
  <c r="V77" i="6"/>
  <c r="T77" i="6"/>
  <c r="S77" i="6"/>
  <c r="R77" i="6"/>
  <c r="Q77" i="6"/>
  <c r="P77" i="6"/>
  <c r="O77" i="6"/>
  <c r="N77" i="6"/>
  <c r="M77" i="6"/>
  <c r="U77" i="6" s="1"/>
  <c r="V76" i="6"/>
  <c r="P76" i="6" s="1"/>
  <c r="T76" i="6"/>
  <c r="S76" i="6"/>
  <c r="R76" i="6"/>
  <c r="Q76" i="6"/>
  <c r="O76" i="6"/>
  <c r="N76" i="6"/>
  <c r="M76" i="6"/>
  <c r="V75" i="6"/>
  <c r="T75" i="6"/>
  <c r="S75" i="6"/>
  <c r="R75" i="6"/>
  <c r="Q75" i="6"/>
  <c r="P75" i="6"/>
  <c r="O75" i="6"/>
  <c r="N75" i="6"/>
  <c r="M75" i="6"/>
  <c r="U75" i="6" s="1"/>
  <c r="V74" i="6"/>
  <c r="P74" i="6" s="1"/>
  <c r="T74" i="6"/>
  <c r="S74" i="6"/>
  <c r="R74" i="6"/>
  <c r="Q74" i="6"/>
  <c r="O74" i="6"/>
  <c r="N74" i="6"/>
  <c r="M74" i="6"/>
  <c r="U74" i="6" s="1"/>
  <c r="V73" i="6"/>
  <c r="T73" i="6"/>
  <c r="S73" i="6"/>
  <c r="R73" i="6"/>
  <c r="Q73" i="6"/>
  <c r="P73" i="6"/>
  <c r="O73" i="6"/>
  <c r="N73" i="6"/>
  <c r="M73" i="6"/>
  <c r="U73" i="6" s="1"/>
  <c r="V72" i="6"/>
  <c r="P72" i="6" s="1"/>
  <c r="T72" i="6"/>
  <c r="S72" i="6"/>
  <c r="R72" i="6"/>
  <c r="Q72" i="6"/>
  <c r="O72" i="6"/>
  <c r="N72" i="6"/>
  <c r="M72" i="6"/>
  <c r="V71" i="6"/>
  <c r="T71" i="6"/>
  <c r="S71" i="6"/>
  <c r="R71" i="6"/>
  <c r="Q71" i="6"/>
  <c r="P71" i="6"/>
  <c r="O71" i="6"/>
  <c r="N71" i="6"/>
  <c r="M71" i="6"/>
  <c r="U71" i="6" s="1"/>
  <c r="V70" i="6"/>
  <c r="P70" i="6" s="1"/>
  <c r="T70" i="6"/>
  <c r="S70" i="6"/>
  <c r="R70" i="6"/>
  <c r="Q70" i="6"/>
  <c r="O70" i="6"/>
  <c r="N70" i="6"/>
  <c r="M70" i="6"/>
  <c r="V69" i="6"/>
  <c r="T69" i="6"/>
  <c r="S69" i="6"/>
  <c r="R69" i="6"/>
  <c r="Q69" i="6"/>
  <c r="P69" i="6"/>
  <c r="O69" i="6"/>
  <c r="N69" i="6"/>
  <c r="M69" i="6"/>
  <c r="U69" i="6" s="1"/>
  <c r="V68" i="6"/>
  <c r="P68" i="6" s="1"/>
  <c r="T68" i="6"/>
  <c r="S68" i="6"/>
  <c r="R68" i="6"/>
  <c r="Q68" i="6"/>
  <c r="O68" i="6"/>
  <c r="N68" i="6"/>
  <c r="M68" i="6"/>
  <c r="U68" i="6" s="1"/>
  <c r="V67" i="6"/>
  <c r="T67" i="6"/>
  <c r="S67" i="6"/>
  <c r="R67" i="6"/>
  <c r="Q67" i="6"/>
  <c r="P67" i="6"/>
  <c r="O67" i="6"/>
  <c r="N67" i="6"/>
  <c r="M67" i="6"/>
  <c r="U67" i="6" s="1"/>
  <c r="V66" i="6"/>
  <c r="P66" i="6" s="1"/>
  <c r="T66" i="6"/>
  <c r="S66" i="6"/>
  <c r="R66" i="6"/>
  <c r="Q66" i="6"/>
  <c r="O66" i="6"/>
  <c r="N66" i="6"/>
  <c r="M66" i="6"/>
  <c r="V65" i="6"/>
  <c r="T65" i="6"/>
  <c r="S65" i="6"/>
  <c r="R65" i="6"/>
  <c r="Q65" i="6"/>
  <c r="P65" i="6"/>
  <c r="O65" i="6"/>
  <c r="N65" i="6"/>
  <c r="M65" i="6"/>
  <c r="U65" i="6" s="1"/>
  <c r="V64" i="6"/>
  <c r="P64" i="6" s="1"/>
  <c r="T64" i="6"/>
  <c r="S64" i="6"/>
  <c r="R64" i="6"/>
  <c r="Q64" i="6"/>
  <c r="O64" i="6"/>
  <c r="N64" i="6"/>
  <c r="M64" i="6"/>
  <c r="U64" i="6" s="1"/>
  <c r="V63" i="6"/>
  <c r="T63" i="6"/>
  <c r="S63" i="6"/>
  <c r="R63" i="6"/>
  <c r="Q63" i="6"/>
  <c r="P63" i="6"/>
  <c r="O63" i="6"/>
  <c r="N63" i="6"/>
  <c r="M63" i="6"/>
  <c r="U63" i="6" s="1"/>
  <c r="V62" i="6"/>
  <c r="P62" i="6" s="1"/>
  <c r="T62" i="6"/>
  <c r="S62" i="6"/>
  <c r="R62" i="6"/>
  <c r="Q62" i="6"/>
  <c r="O62" i="6"/>
  <c r="N62" i="6"/>
  <c r="M62" i="6"/>
  <c r="U62" i="6" s="1"/>
  <c r="V61" i="6"/>
  <c r="T61" i="6"/>
  <c r="S61" i="6"/>
  <c r="R61" i="6"/>
  <c r="Q61" i="6"/>
  <c r="P61" i="6"/>
  <c r="O61" i="6"/>
  <c r="N61" i="6"/>
  <c r="M61" i="6"/>
  <c r="U61" i="6" s="1"/>
  <c r="V60" i="6"/>
  <c r="P60" i="6" s="1"/>
  <c r="T60" i="6"/>
  <c r="S60" i="6"/>
  <c r="R60" i="6"/>
  <c r="Q60" i="6"/>
  <c r="O60" i="6"/>
  <c r="N60" i="6"/>
  <c r="M60" i="6"/>
  <c r="V59" i="6"/>
  <c r="T59" i="6"/>
  <c r="S59" i="6"/>
  <c r="R59" i="6"/>
  <c r="Q59" i="6"/>
  <c r="P59" i="6"/>
  <c r="O59" i="6"/>
  <c r="N59" i="6"/>
  <c r="M59" i="6"/>
  <c r="U59" i="6" s="1"/>
  <c r="V58" i="6"/>
  <c r="P58" i="6" s="1"/>
  <c r="T58" i="6"/>
  <c r="S58" i="6"/>
  <c r="R58" i="6"/>
  <c r="Q58" i="6"/>
  <c r="O58" i="6"/>
  <c r="N58" i="6"/>
  <c r="M58" i="6"/>
  <c r="U58" i="6" s="1"/>
  <c r="V57" i="6"/>
  <c r="T57" i="6"/>
  <c r="S57" i="6"/>
  <c r="R57" i="6"/>
  <c r="Q57" i="6"/>
  <c r="P57" i="6"/>
  <c r="O57" i="6"/>
  <c r="N57" i="6"/>
  <c r="M57" i="6"/>
  <c r="U57" i="6" s="1"/>
  <c r="V56" i="6"/>
  <c r="P56" i="6" s="1"/>
  <c r="T56" i="6"/>
  <c r="S56" i="6"/>
  <c r="R56" i="6"/>
  <c r="Q56" i="6"/>
  <c r="O56" i="6"/>
  <c r="N56" i="6"/>
  <c r="M56" i="6"/>
  <c r="V55" i="6"/>
  <c r="T55" i="6"/>
  <c r="S55" i="6"/>
  <c r="R55" i="6"/>
  <c r="Q55" i="6"/>
  <c r="P55" i="6"/>
  <c r="O55" i="6"/>
  <c r="N55" i="6"/>
  <c r="M55" i="6"/>
  <c r="U55" i="6" s="1"/>
  <c r="V54" i="6"/>
  <c r="P54" i="6" s="1"/>
  <c r="T54" i="6"/>
  <c r="S54" i="6"/>
  <c r="R54" i="6"/>
  <c r="Q54" i="6"/>
  <c r="O54" i="6"/>
  <c r="N54" i="6"/>
  <c r="M54" i="6"/>
  <c r="V53" i="6"/>
  <c r="T53" i="6"/>
  <c r="S53" i="6"/>
  <c r="R53" i="6"/>
  <c r="Q53" i="6"/>
  <c r="P53" i="6"/>
  <c r="O53" i="6"/>
  <c r="N53" i="6"/>
  <c r="M53" i="6"/>
  <c r="U53" i="6" s="1"/>
  <c r="V52" i="6"/>
  <c r="P52" i="6" s="1"/>
  <c r="T52" i="6"/>
  <c r="S52" i="6"/>
  <c r="R52" i="6"/>
  <c r="Q52" i="6"/>
  <c r="O52" i="6"/>
  <c r="N52" i="6"/>
  <c r="M52" i="6"/>
  <c r="U52" i="6" s="1"/>
  <c r="V51" i="6"/>
  <c r="T51" i="6"/>
  <c r="S51" i="6"/>
  <c r="R51" i="6"/>
  <c r="Q51" i="6"/>
  <c r="P51" i="6"/>
  <c r="O51" i="6"/>
  <c r="N51" i="6"/>
  <c r="M51" i="6"/>
  <c r="U51" i="6" s="1"/>
  <c r="V50" i="6"/>
  <c r="P50" i="6" s="1"/>
  <c r="T50" i="6"/>
  <c r="S50" i="6"/>
  <c r="R50" i="6"/>
  <c r="Q50" i="6"/>
  <c r="O50" i="6"/>
  <c r="N50" i="6"/>
  <c r="M50" i="6"/>
  <c r="V49" i="6"/>
  <c r="T49" i="6"/>
  <c r="S49" i="6"/>
  <c r="R49" i="6"/>
  <c r="Q49" i="6"/>
  <c r="P49" i="6"/>
  <c r="O49" i="6"/>
  <c r="N49" i="6"/>
  <c r="M49" i="6"/>
  <c r="U49" i="6" s="1"/>
  <c r="V48" i="6"/>
  <c r="P48" i="6" s="1"/>
  <c r="T48" i="6"/>
  <c r="S48" i="6"/>
  <c r="R48" i="6"/>
  <c r="Q48" i="6"/>
  <c r="O48" i="6"/>
  <c r="N48" i="6"/>
  <c r="M48" i="6"/>
  <c r="U48" i="6" s="1"/>
  <c r="V47" i="6"/>
  <c r="T47" i="6"/>
  <c r="S47" i="6"/>
  <c r="R47" i="6"/>
  <c r="Q47" i="6"/>
  <c r="P47" i="6"/>
  <c r="O47" i="6"/>
  <c r="N47" i="6"/>
  <c r="M47" i="6"/>
  <c r="U47" i="6" s="1"/>
  <c r="V46" i="6"/>
  <c r="P46" i="6" s="1"/>
  <c r="T46" i="6"/>
  <c r="S46" i="6"/>
  <c r="R46" i="6"/>
  <c r="Q46" i="6"/>
  <c r="O46" i="6"/>
  <c r="N46" i="6"/>
  <c r="M46" i="6"/>
  <c r="U46" i="6" s="1"/>
  <c r="V45" i="6"/>
  <c r="T45" i="6"/>
  <c r="S45" i="6"/>
  <c r="R45" i="6"/>
  <c r="Q45" i="6"/>
  <c r="P45" i="6"/>
  <c r="O45" i="6"/>
  <c r="N45" i="6"/>
  <c r="M45" i="6"/>
  <c r="U45" i="6" s="1"/>
  <c r="V44" i="6"/>
  <c r="P44" i="6" s="1"/>
  <c r="T44" i="6"/>
  <c r="S44" i="6"/>
  <c r="R44" i="6"/>
  <c r="Q44" i="6"/>
  <c r="O44" i="6"/>
  <c r="N44" i="6"/>
  <c r="M44" i="6"/>
  <c r="V43" i="6"/>
  <c r="T43" i="6"/>
  <c r="S43" i="6"/>
  <c r="R43" i="6"/>
  <c r="Q43" i="6"/>
  <c r="P43" i="6"/>
  <c r="O43" i="6"/>
  <c r="N43" i="6"/>
  <c r="M43" i="6"/>
  <c r="U43" i="6" s="1"/>
  <c r="V42" i="6"/>
  <c r="P42" i="6" s="1"/>
  <c r="T42" i="6"/>
  <c r="S42" i="6"/>
  <c r="R42" i="6"/>
  <c r="Q42" i="6"/>
  <c r="O42" i="6"/>
  <c r="N42" i="6"/>
  <c r="M42" i="6"/>
  <c r="U42" i="6" s="1"/>
  <c r="V41" i="6"/>
  <c r="T41" i="6"/>
  <c r="S41" i="6"/>
  <c r="R41" i="6"/>
  <c r="Q41" i="6"/>
  <c r="P41" i="6"/>
  <c r="O41" i="6"/>
  <c r="N41" i="6"/>
  <c r="M41" i="6"/>
  <c r="U41" i="6" s="1"/>
  <c r="V40" i="6"/>
  <c r="P40" i="6" s="1"/>
  <c r="T40" i="6"/>
  <c r="S40" i="6"/>
  <c r="R40" i="6"/>
  <c r="Q40" i="6"/>
  <c r="O40" i="6"/>
  <c r="N40" i="6"/>
  <c r="M40" i="6"/>
  <c r="V39" i="6"/>
  <c r="T39" i="6"/>
  <c r="S39" i="6"/>
  <c r="R39" i="6"/>
  <c r="Q39" i="6"/>
  <c r="P39" i="6"/>
  <c r="O39" i="6"/>
  <c r="N39" i="6"/>
  <c r="M39" i="6"/>
  <c r="U39" i="6" s="1"/>
  <c r="V38" i="6"/>
  <c r="P38" i="6" s="1"/>
  <c r="T38" i="6"/>
  <c r="S38" i="6"/>
  <c r="R38" i="6"/>
  <c r="Q38" i="6"/>
  <c r="O38" i="6"/>
  <c r="N38" i="6"/>
  <c r="M38" i="6"/>
  <c r="V37" i="6"/>
  <c r="T37" i="6"/>
  <c r="S37" i="6"/>
  <c r="R37" i="6"/>
  <c r="Q37" i="6"/>
  <c r="P37" i="6"/>
  <c r="O37" i="6"/>
  <c r="N37" i="6"/>
  <c r="M37" i="6"/>
  <c r="U37" i="6" s="1"/>
  <c r="V36" i="6"/>
  <c r="P36" i="6" s="1"/>
  <c r="T36" i="6"/>
  <c r="S36" i="6"/>
  <c r="R36" i="6"/>
  <c r="Q36" i="6"/>
  <c r="O36" i="6"/>
  <c r="N36" i="6"/>
  <c r="M36" i="6"/>
  <c r="U36" i="6" s="1"/>
  <c r="V35" i="6"/>
  <c r="T35" i="6"/>
  <c r="S35" i="6"/>
  <c r="R35" i="6"/>
  <c r="Q35" i="6"/>
  <c r="P35" i="6"/>
  <c r="O35" i="6"/>
  <c r="N35" i="6"/>
  <c r="M35" i="6"/>
  <c r="U35" i="6" s="1"/>
  <c r="V34" i="6"/>
  <c r="P34" i="6" s="1"/>
  <c r="T34" i="6"/>
  <c r="S34" i="6"/>
  <c r="R34" i="6"/>
  <c r="Q34" i="6"/>
  <c r="O34" i="6"/>
  <c r="N34" i="6"/>
  <c r="M34" i="6"/>
  <c r="V33" i="6"/>
  <c r="T33" i="6"/>
  <c r="S33" i="6"/>
  <c r="R33" i="6"/>
  <c r="Q33" i="6"/>
  <c r="P33" i="6"/>
  <c r="O33" i="6"/>
  <c r="N33" i="6"/>
  <c r="M33" i="6"/>
  <c r="U33" i="6" s="1"/>
  <c r="V32" i="6"/>
  <c r="P32" i="6" s="1"/>
  <c r="T32" i="6"/>
  <c r="S32" i="6"/>
  <c r="R32" i="6"/>
  <c r="Q32" i="6"/>
  <c r="O32" i="6"/>
  <c r="N32" i="6"/>
  <c r="M32" i="6"/>
  <c r="U32" i="6" s="1"/>
  <c r="V31" i="6"/>
  <c r="T31" i="6"/>
  <c r="S31" i="6"/>
  <c r="R31" i="6"/>
  <c r="Q31" i="6"/>
  <c r="P31" i="6"/>
  <c r="O31" i="6"/>
  <c r="N31" i="6"/>
  <c r="M31" i="6"/>
  <c r="U31" i="6" s="1"/>
  <c r="V30" i="6"/>
  <c r="P30" i="6" s="1"/>
  <c r="T30" i="6"/>
  <c r="S30" i="6"/>
  <c r="R30" i="6"/>
  <c r="Q30" i="6"/>
  <c r="O30" i="6"/>
  <c r="N30" i="6"/>
  <c r="M30" i="6"/>
  <c r="U30" i="6" s="1"/>
  <c r="V29" i="6"/>
  <c r="T29" i="6"/>
  <c r="S29" i="6"/>
  <c r="R29" i="6"/>
  <c r="Q29" i="6"/>
  <c r="P29" i="6"/>
  <c r="O29" i="6"/>
  <c r="N29" i="6"/>
  <c r="M29" i="6"/>
  <c r="U29" i="6" s="1"/>
  <c r="V28" i="6"/>
  <c r="P28" i="6" s="1"/>
  <c r="T28" i="6"/>
  <c r="S28" i="6"/>
  <c r="R28" i="6"/>
  <c r="Q28" i="6"/>
  <c r="O28" i="6"/>
  <c r="N28" i="6"/>
  <c r="M28" i="6"/>
  <c r="V27" i="6"/>
  <c r="T27" i="6"/>
  <c r="S27" i="6"/>
  <c r="R27" i="6"/>
  <c r="Q27" i="6"/>
  <c r="P27" i="6"/>
  <c r="O27" i="6"/>
  <c r="N27" i="6"/>
  <c r="M27" i="6"/>
  <c r="U27" i="6" s="1"/>
  <c r="V26" i="6"/>
  <c r="P26" i="6" s="1"/>
  <c r="T26" i="6"/>
  <c r="S26" i="6"/>
  <c r="R26" i="6"/>
  <c r="Q26" i="6"/>
  <c r="O26" i="6"/>
  <c r="N26" i="6"/>
  <c r="M26" i="6"/>
  <c r="U26" i="6" s="1"/>
  <c r="V25" i="6"/>
  <c r="T25" i="6"/>
  <c r="S25" i="6"/>
  <c r="R25" i="6"/>
  <c r="Q25" i="6"/>
  <c r="P25" i="6"/>
  <c r="O25" i="6"/>
  <c r="N25" i="6"/>
  <c r="M25" i="6"/>
  <c r="U25" i="6" s="1"/>
  <c r="V24" i="6"/>
  <c r="P24" i="6" s="1"/>
  <c r="T24" i="6"/>
  <c r="S24" i="6"/>
  <c r="R24" i="6"/>
  <c r="Q24" i="6"/>
  <c r="O24" i="6"/>
  <c r="N24" i="6"/>
  <c r="M24" i="6"/>
  <c r="V23" i="6"/>
  <c r="T23" i="6"/>
  <c r="S23" i="6"/>
  <c r="R23" i="6"/>
  <c r="Q23" i="6"/>
  <c r="P23" i="6"/>
  <c r="O23" i="6"/>
  <c r="N23" i="6"/>
  <c r="M23" i="6"/>
  <c r="U23" i="6" s="1"/>
  <c r="V22" i="6"/>
  <c r="P22" i="6" s="1"/>
  <c r="T22" i="6"/>
  <c r="S22" i="6"/>
  <c r="R22" i="6"/>
  <c r="Q22" i="6"/>
  <c r="O22" i="6"/>
  <c r="N22" i="6"/>
  <c r="M22" i="6"/>
  <c r="V21" i="6"/>
  <c r="T21" i="6"/>
  <c r="S21" i="6"/>
  <c r="R21" i="6"/>
  <c r="Q21" i="6"/>
  <c r="P21" i="6"/>
  <c r="O21" i="6"/>
  <c r="N21" i="6"/>
  <c r="M21" i="6"/>
  <c r="U21" i="6" s="1"/>
  <c r="V20" i="6"/>
  <c r="P20" i="6" s="1"/>
  <c r="T20" i="6"/>
  <c r="S20" i="6"/>
  <c r="R20" i="6"/>
  <c r="Q20" i="6"/>
  <c r="O20" i="6"/>
  <c r="N20" i="6"/>
  <c r="M20" i="6"/>
  <c r="U20" i="6" s="1"/>
  <c r="V19" i="6"/>
  <c r="T19" i="6"/>
  <c r="S19" i="6"/>
  <c r="R19" i="6"/>
  <c r="Q19" i="6"/>
  <c r="P19" i="6"/>
  <c r="O19" i="6"/>
  <c r="N19" i="6"/>
  <c r="M19" i="6"/>
  <c r="U19" i="6" s="1"/>
  <c r="V18" i="6"/>
  <c r="P18" i="6" s="1"/>
  <c r="T18" i="6"/>
  <c r="S18" i="6"/>
  <c r="R18" i="6"/>
  <c r="Q18" i="6"/>
  <c r="O18" i="6"/>
  <c r="N18" i="6"/>
  <c r="M18" i="6"/>
  <c r="V17" i="6"/>
  <c r="T17" i="6"/>
  <c r="S17" i="6"/>
  <c r="R17" i="6"/>
  <c r="Q17" i="6"/>
  <c r="P17" i="6"/>
  <c r="O17" i="6"/>
  <c r="N17" i="6"/>
  <c r="M17" i="6"/>
  <c r="U17" i="6" s="1"/>
  <c r="V16" i="6"/>
  <c r="P16" i="6" s="1"/>
  <c r="T16" i="6"/>
  <c r="S16" i="6"/>
  <c r="R16" i="6"/>
  <c r="Q16" i="6"/>
  <c r="O16" i="6"/>
  <c r="N16" i="6"/>
  <c r="M16" i="6"/>
  <c r="U16" i="6" s="1"/>
  <c r="V15" i="6"/>
  <c r="T15" i="6"/>
  <c r="S15" i="6"/>
  <c r="R15" i="6"/>
  <c r="Q15" i="6"/>
  <c r="P15" i="6"/>
  <c r="O15" i="6"/>
  <c r="N15" i="6"/>
  <c r="M15" i="6"/>
  <c r="U15" i="6" s="1"/>
  <c r="V14" i="6"/>
  <c r="T14" i="6"/>
  <c r="S14" i="6"/>
  <c r="R14" i="6"/>
  <c r="Q14" i="6"/>
  <c r="P14" i="6"/>
  <c r="O14" i="6"/>
  <c r="N14" i="6"/>
  <c r="M14" i="6"/>
  <c r="U14" i="6" s="1"/>
  <c r="V13" i="6"/>
  <c r="T13" i="6"/>
  <c r="S13" i="6"/>
  <c r="R13" i="6"/>
  <c r="Q13" i="6"/>
  <c r="P13" i="6"/>
  <c r="O13" i="6"/>
  <c r="N13" i="6"/>
  <c r="M13" i="6"/>
  <c r="U13" i="6" s="1"/>
  <c r="V12" i="6"/>
  <c r="P12" i="6" s="1"/>
  <c r="T12" i="6"/>
  <c r="S12" i="6"/>
  <c r="R12" i="6"/>
  <c r="Q12" i="6"/>
  <c r="O12" i="6"/>
  <c r="N12" i="6"/>
  <c r="M12" i="6"/>
  <c r="U12" i="6" s="1"/>
  <c r="V11" i="6"/>
  <c r="T11" i="6"/>
  <c r="S11" i="6"/>
  <c r="R11" i="6"/>
  <c r="Q11" i="6"/>
  <c r="P11" i="6"/>
  <c r="O11" i="6"/>
  <c r="N11" i="6"/>
  <c r="M11" i="6"/>
  <c r="U11" i="6" s="1"/>
  <c r="V10" i="6"/>
  <c r="P10" i="6" s="1"/>
  <c r="T10" i="6"/>
  <c r="S10" i="6"/>
  <c r="R10" i="6"/>
  <c r="Q10" i="6"/>
  <c r="O10" i="6"/>
  <c r="N10" i="6"/>
  <c r="M10" i="6"/>
  <c r="V9" i="6"/>
  <c r="T9" i="6"/>
  <c r="S9" i="6"/>
  <c r="R9" i="6"/>
  <c r="Q9" i="6"/>
  <c r="P9" i="6"/>
  <c r="O9" i="6"/>
  <c r="N9" i="6"/>
  <c r="M9" i="6"/>
  <c r="U9" i="6" s="1"/>
  <c r="V8" i="6"/>
  <c r="P8" i="6" s="1"/>
  <c r="T8" i="6"/>
  <c r="S8" i="6"/>
  <c r="R8" i="6"/>
  <c r="Q8" i="6"/>
  <c r="O8" i="6"/>
  <c r="N8" i="6"/>
  <c r="M8" i="6"/>
  <c r="V7" i="6"/>
  <c r="T7" i="6"/>
  <c r="S7" i="6"/>
  <c r="R7" i="6"/>
  <c r="Q7" i="6"/>
  <c r="P7" i="6"/>
  <c r="O7" i="6"/>
  <c r="N7" i="6"/>
  <c r="M7" i="6"/>
  <c r="U7" i="6" s="1"/>
  <c r="V6" i="6"/>
  <c r="P6" i="6" s="1"/>
  <c r="T6" i="6"/>
  <c r="S6" i="6"/>
  <c r="R6" i="6"/>
  <c r="Q6" i="6"/>
  <c r="O6" i="6"/>
  <c r="N6" i="6"/>
  <c r="M6" i="6"/>
  <c r="U6" i="6" s="1"/>
  <c r="V5" i="6"/>
  <c r="T5" i="6"/>
  <c r="S5" i="6"/>
  <c r="R5" i="6"/>
  <c r="Q5" i="6"/>
  <c r="P5" i="6"/>
  <c r="O5" i="6"/>
  <c r="N5" i="6"/>
  <c r="M5" i="6"/>
  <c r="U5" i="6" s="1"/>
  <c r="V4" i="6"/>
  <c r="P4" i="6" s="1"/>
  <c r="T4" i="6"/>
  <c r="S4" i="6"/>
  <c r="R4" i="6"/>
  <c r="Q4" i="6"/>
  <c r="O4" i="6"/>
  <c r="N4" i="6"/>
  <c r="M4" i="6"/>
  <c r="V3" i="6"/>
  <c r="T3" i="6"/>
  <c r="S3" i="6"/>
  <c r="R3" i="6"/>
  <c r="Q3" i="6"/>
  <c r="P3" i="6"/>
  <c r="O3" i="6"/>
  <c r="N3" i="6"/>
  <c r="M3" i="6"/>
  <c r="U3" i="6" s="1"/>
  <c r="V2" i="6"/>
  <c r="P2" i="6" s="1"/>
  <c r="T2" i="6"/>
  <c r="S2" i="6"/>
  <c r="R2" i="6"/>
  <c r="Q2" i="6"/>
  <c r="O2" i="6"/>
  <c r="N2" i="6"/>
  <c r="M2" i="6"/>
  <c r="U2" i="6" s="1"/>
  <c r="X229" i="5"/>
  <c r="V229" i="5"/>
  <c r="P229" i="5" s="1"/>
  <c r="T229" i="5"/>
  <c r="S229" i="5"/>
  <c r="R229" i="5"/>
  <c r="Q229" i="5"/>
  <c r="O229" i="5"/>
  <c r="N229" i="5"/>
  <c r="M229" i="5"/>
  <c r="U229" i="5" s="1"/>
  <c r="X228" i="5"/>
  <c r="V228" i="5"/>
  <c r="T228" i="5"/>
  <c r="S228" i="5"/>
  <c r="R228" i="5"/>
  <c r="Q228" i="5"/>
  <c r="P228" i="5"/>
  <c r="O228" i="5"/>
  <c r="N228" i="5"/>
  <c r="M228" i="5"/>
  <c r="U228" i="5" s="1"/>
  <c r="X227" i="5"/>
  <c r="V227" i="5"/>
  <c r="T227" i="5"/>
  <c r="S227" i="5"/>
  <c r="R227" i="5"/>
  <c r="Q227" i="5"/>
  <c r="P227" i="5"/>
  <c r="O227" i="5"/>
  <c r="N227" i="5"/>
  <c r="M227" i="5"/>
  <c r="U227" i="5" s="1"/>
  <c r="X226" i="5"/>
  <c r="V226" i="5"/>
  <c r="P226" i="5" s="1"/>
  <c r="T226" i="5"/>
  <c r="S226" i="5"/>
  <c r="R226" i="5"/>
  <c r="Q226" i="5"/>
  <c r="O226" i="5"/>
  <c r="N226" i="5"/>
  <c r="M226" i="5"/>
  <c r="U226" i="5" s="1"/>
  <c r="X225" i="5"/>
  <c r="V225" i="5"/>
  <c r="P225" i="5" s="1"/>
  <c r="T225" i="5"/>
  <c r="S225" i="5"/>
  <c r="R225" i="5"/>
  <c r="Q225" i="5"/>
  <c r="O225" i="5"/>
  <c r="N225" i="5"/>
  <c r="M225" i="5"/>
  <c r="X224" i="5"/>
  <c r="V224" i="5"/>
  <c r="T224" i="5"/>
  <c r="S224" i="5"/>
  <c r="R224" i="5"/>
  <c r="Q224" i="5"/>
  <c r="P224" i="5"/>
  <c r="O224" i="5"/>
  <c r="N224" i="5"/>
  <c r="M224" i="5"/>
  <c r="U224" i="5" s="1"/>
  <c r="X223" i="5"/>
  <c r="V223" i="5"/>
  <c r="T223" i="5"/>
  <c r="S223" i="5"/>
  <c r="R223" i="5"/>
  <c r="Q223" i="5"/>
  <c r="P223" i="5"/>
  <c r="O223" i="5"/>
  <c r="N223" i="5"/>
  <c r="M223" i="5"/>
  <c r="U223" i="5" s="1"/>
  <c r="X222" i="5"/>
  <c r="V222" i="5"/>
  <c r="P222" i="5" s="1"/>
  <c r="T222" i="5"/>
  <c r="S222" i="5"/>
  <c r="R222" i="5"/>
  <c r="Q222" i="5"/>
  <c r="O222" i="5"/>
  <c r="N222" i="5"/>
  <c r="M222" i="5"/>
  <c r="X221" i="5"/>
  <c r="V221" i="5"/>
  <c r="P221" i="5" s="1"/>
  <c r="T221" i="5"/>
  <c r="S221" i="5"/>
  <c r="R221" i="5"/>
  <c r="Q221" i="5"/>
  <c r="O221" i="5"/>
  <c r="N221" i="5"/>
  <c r="M221" i="5"/>
  <c r="X220" i="5"/>
  <c r="V220" i="5"/>
  <c r="T220" i="5"/>
  <c r="S220" i="5"/>
  <c r="R220" i="5"/>
  <c r="Q220" i="5"/>
  <c r="P220" i="5"/>
  <c r="O220" i="5"/>
  <c r="N220" i="5"/>
  <c r="M220" i="5"/>
  <c r="U220" i="5" s="1"/>
  <c r="X219" i="5"/>
  <c r="V219" i="5"/>
  <c r="T219" i="5"/>
  <c r="S219" i="5"/>
  <c r="R219" i="5"/>
  <c r="Q219" i="5"/>
  <c r="P219" i="5"/>
  <c r="O219" i="5"/>
  <c r="N219" i="5"/>
  <c r="M219" i="5"/>
  <c r="U219" i="5" s="1"/>
  <c r="X218" i="5"/>
  <c r="V218" i="5"/>
  <c r="P218" i="5" s="1"/>
  <c r="T218" i="5"/>
  <c r="S218" i="5"/>
  <c r="R218" i="5"/>
  <c r="Q218" i="5"/>
  <c r="O218" i="5"/>
  <c r="N218" i="5"/>
  <c r="M218" i="5"/>
  <c r="X217" i="5"/>
  <c r="V217" i="5"/>
  <c r="P217" i="5" s="1"/>
  <c r="T217" i="5"/>
  <c r="S217" i="5"/>
  <c r="R217" i="5"/>
  <c r="Q217" i="5"/>
  <c r="O217" i="5"/>
  <c r="N217" i="5"/>
  <c r="M217" i="5"/>
  <c r="U217" i="5" s="1"/>
  <c r="X216" i="5"/>
  <c r="V216" i="5"/>
  <c r="T216" i="5"/>
  <c r="S216" i="5"/>
  <c r="R216" i="5"/>
  <c r="Q216" i="5"/>
  <c r="P216" i="5"/>
  <c r="O216" i="5"/>
  <c r="N216" i="5"/>
  <c r="M216" i="5"/>
  <c r="U216" i="5" s="1"/>
  <c r="X215" i="5"/>
  <c r="V215" i="5"/>
  <c r="T215" i="5"/>
  <c r="S215" i="5"/>
  <c r="R215" i="5"/>
  <c r="Q215" i="5"/>
  <c r="P215" i="5"/>
  <c r="O215" i="5"/>
  <c r="N215" i="5"/>
  <c r="M215" i="5"/>
  <c r="U215" i="5" s="1"/>
  <c r="X214" i="5"/>
  <c r="V214" i="5"/>
  <c r="P214" i="5" s="1"/>
  <c r="T214" i="5"/>
  <c r="S214" i="5"/>
  <c r="R214" i="5"/>
  <c r="Q214" i="5"/>
  <c r="O214" i="5"/>
  <c r="N214" i="5"/>
  <c r="M214" i="5"/>
  <c r="U214" i="5" s="1"/>
  <c r="X213" i="5"/>
  <c r="V213" i="5"/>
  <c r="P213" i="5" s="1"/>
  <c r="T213" i="5"/>
  <c r="S213" i="5"/>
  <c r="R213" i="5"/>
  <c r="Q213" i="5"/>
  <c r="O213" i="5"/>
  <c r="N213" i="5"/>
  <c r="M213" i="5"/>
  <c r="U213" i="5" s="1"/>
  <c r="X212" i="5"/>
  <c r="V212" i="5"/>
  <c r="T212" i="5"/>
  <c r="S212" i="5"/>
  <c r="R212" i="5"/>
  <c r="Q212" i="5"/>
  <c r="P212" i="5"/>
  <c r="O212" i="5"/>
  <c r="N212" i="5"/>
  <c r="M212" i="5"/>
  <c r="U212" i="5" s="1"/>
  <c r="X211" i="5"/>
  <c r="V211" i="5"/>
  <c r="T211" i="5"/>
  <c r="S211" i="5"/>
  <c r="R211" i="5"/>
  <c r="Q211" i="5"/>
  <c r="P211" i="5"/>
  <c r="O211" i="5"/>
  <c r="N211" i="5"/>
  <c r="M211" i="5"/>
  <c r="U211" i="5" s="1"/>
  <c r="X210" i="5"/>
  <c r="V210" i="5"/>
  <c r="P210" i="5" s="1"/>
  <c r="T210" i="5"/>
  <c r="S210" i="5"/>
  <c r="R210" i="5"/>
  <c r="Q210" i="5"/>
  <c r="O210" i="5"/>
  <c r="N210" i="5"/>
  <c r="M210" i="5"/>
  <c r="U210" i="5" s="1"/>
  <c r="X209" i="5"/>
  <c r="V209" i="5"/>
  <c r="P209" i="5" s="1"/>
  <c r="T209" i="5"/>
  <c r="S209" i="5"/>
  <c r="R209" i="5"/>
  <c r="Q209" i="5"/>
  <c r="O209" i="5"/>
  <c r="N209" i="5"/>
  <c r="M209" i="5"/>
  <c r="X208" i="5"/>
  <c r="V208" i="5"/>
  <c r="T208" i="5"/>
  <c r="S208" i="5"/>
  <c r="R208" i="5"/>
  <c r="Q208" i="5"/>
  <c r="P208" i="5"/>
  <c r="O208" i="5"/>
  <c r="N208" i="5"/>
  <c r="M208" i="5"/>
  <c r="U208" i="5" s="1"/>
  <c r="X207" i="5"/>
  <c r="V207" i="5"/>
  <c r="T207" i="5"/>
  <c r="S207" i="5"/>
  <c r="R207" i="5"/>
  <c r="Q207" i="5"/>
  <c r="P207" i="5"/>
  <c r="O207" i="5"/>
  <c r="N207" i="5"/>
  <c r="M207" i="5"/>
  <c r="U207" i="5" s="1"/>
  <c r="X206" i="5"/>
  <c r="V206" i="5"/>
  <c r="P206" i="5" s="1"/>
  <c r="T206" i="5"/>
  <c r="S206" i="5"/>
  <c r="R206" i="5"/>
  <c r="Q206" i="5"/>
  <c r="O206" i="5"/>
  <c r="N206" i="5"/>
  <c r="M206" i="5"/>
  <c r="X205" i="5"/>
  <c r="V205" i="5"/>
  <c r="P205" i="5" s="1"/>
  <c r="T205" i="5"/>
  <c r="S205" i="5"/>
  <c r="R205" i="5"/>
  <c r="Q205" i="5"/>
  <c r="O205" i="5"/>
  <c r="N205" i="5"/>
  <c r="M205" i="5"/>
  <c r="X204" i="5"/>
  <c r="V204" i="5"/>
  <c r="T204" i="5"/>
  <c r="S204" i="5"/>
  <c r="R204" i="5"/>
  <c r="Q204" i="5"/>
  <c r="P204" i="5"/>
  <c r="O204" i="5"/>
  <c r="N204" i="5"/>
  <c r="M204" i="5"/>
  <c r="U204" i="5" s="1"/>
  <c r="X203" i="5"/>
  <c r="V203" i="5"/>
  <c r="T203" i="5"/>
  <c r="S203" i="5"/>
  <c r="R203" i="5"/>
  <c r="Q203" i="5"/>
  <c r="P203" i="5"/>
  <c r="O203" i="5"/>
  <c r="N203" i="5"/>
  <c r="M203" i="5"/>
  <c r="U203" i="5" s="1"/>
  <c r="X202" i="5"/>
  <c r="V202" i="5"/>
  <c r="P202" i="5" s="1"/>
  <c r="T202" i="5"/>
  <c r="S202" i="5"/>
  <c r="R202" i="5"/>
  <c r="Q202" i="5"/>
  <c r="O202" i="5"/>
  <c r="N202" i="5"/>
  <c r="M202" i="5"/>
  <c r="X201" i="5"/>
  <c r="V201" i="5"/>
  <c r="T201" i="5"/>
  <c r="S201" i="5"/>
  <c r="R201" i="5"/>
  <c r="Q201" i="5"/>
  <c r="P201" i="5"/>
  <c r="O201" i="5"/>
  <c r="N201" i="5"/>
  <c r="M201" i="5"/>
  <c r="U201" i="5" s="1"/>
  <c r="X200" i="5"/>
  <c r="V200" i="5"/>
  <c r="T200" i="5"/>
  <c r="S200" i="5"/>
  <c r="R200" i="5"/>
  <c r="Q200" i="5"/>
  <c r="P200" i="5"/>
  <c r="O200" i="5"/>
  <c r="N200" i="5"/>
  <c r="M200" i="5"/>
  <c r="U200" i="5" s="1"/>
  <c r="X199" i="5"/>
  <c r="V199" i="5"/>
  <c r="T199" i="5"/>
  <c r="S199" i="5"/>
  <c r="R199" i="5"/>
  <c r="Q199" i="5"/>
  <c r="P199" i="5"/>
  <c r="O199" i="5"/>
  <c r="N199" i="5"/>
  <c r="M199" i="5"/>
  <c r="U199" i="5" s="1"/>
  <c r="X198" i="5"/>
  <c r="V198" i="5"/>
  <c r="P198" i="5" s="1"/>
  <c r="T198" i="5"/>
  <c r="S198" i="5"/>
  <c r="R198" i="5"/>
  <c r="Q198" i="5"/>
  <c r="O198" i="5"/>
  <c r="N198" i="5"/>
  <c r="M198" i="5"/>
  <c r="U198" i="5" s="1"/>
  <c r="X197" i="5"/>
  <c r="V197" i="5"/>
  <c r="P197" i="5" s="1"/>
  <c r="T197" i="5"/>
  <c r="S197" i="5"/>
  <c r="R197" i="5"/>
  <c r="Q197" i="5"/>
  <c r="O197" i="5"/>
  <c r="N197" i="5"/>
  <c r="M197" i="5"/>
  <c r="X196" i="5"/>
  <c r="V196" i="5"/>
  <c r="T196" i="5"/>
  <c r="S196" i="5"/>
  <c r="R196" i="5"/>
  <c r="Q196" i="5"/>
  <c r="P196" i="5"/>
  <c r="O196" i="5"/>
  <c r="N196" i="5"/>
  <c r="M196" i="5"/>
  <c r="U196" i="5" s="1"/>
  <c r="X195" i="5"/>
  <c r="V195" i="5"/>
  <c r="T195" i="5"/>
  <c r="S195" i="5"/>
  <c r="R195" i="5"/>
  <c r="Q195" i="5"/>
  <c r="P195" i="5"/>
  <c r="O195" i="5"/>
  <c r="N195" i="5"/>
  <c r="M195" i="5"/>
  <c r="U195" i="5" s="1"/>
  <c r="X194" i="5"/>
  <c r="V194" i="5"/>
  <c r="P194" i="5" s="1"/>
  <c r="T194" i="5"/>
  <c r="S194" i="5"/>
  <c r="R194" i="5"/>
  <c r="Q194" i="5"/>
  <c r="O194" i="5"/>
  <c r="N194" i="5"/>
  <c r="M194" i="5"/>
  <c r="X193" i="5"/>
  <c r="V193" i="5"/>
  <c r="P193" i="5" s="1"/>
  <c r="T193" i="5"/>
  <c r="S193" i="5"/>
  <c r="R193" i="5"/>
  <c r="Q193" i="5"/>
  <c r="O193" i="5"/>
  <c r="N193" i="5"/>
  <c r="M193" i="5"/>
  <c r="U193" i="5" s="1"/>
  <c r="X192" i="5"/>
  <c r="V192" i="5"/>
  <c r="T192" i="5"/>
  <c r="S192" i="5"/>
  <c r="R192" i="5"/>
  <c r="Q192" i="5"/>
  <c r="P192" i="5"/>
  <c r="O192" i="5"/>
  <c r="N192" i="5"/>
  <c r="M192" i="5"/>
  <c r="U192" i="5" s="1"/>
  <c r="X191" i="5"/>
  <c r="V191" i="5"/>
  <c r="T191" i="5"/>
  <c r="S191" i="5"/>
  <c r="R191" i="5"/>
  <c r="Q191" i="5"/>
  <c r="P191" i="5"/>
  <c r="O191" i="5"/>
  <c r="N191" i="5"/>
  <c r="M191" i="5"/>
  <c r="U191" i="5" s="1"/>
  <c r="X190" i="5"/>
  <c r="V190" i="5"/>
  <c r="P190" i="5" s="1"/>
  <c r="T190" i="5"/>
  <c r="S190" i="5"/>
  <c r="R190" i="5"/>
  <c r="Q190" i="5"/>
  <c r="O190" i="5"/>
  <c r="N190" i="5"/>
  <c r="M190" i="5"/>
  <c r="X189" i="5"/>
  <c r="V189" i="5"/>
  <c r="P189" i="5" s="1"/>
  <c r="T189" i="5"/>
  <c r="S189" i="5"/>
  <c r="R189" i="5"/>
  <c r="Q189" i="5"/>
  <c r="O189" i="5"/>
  <c r="N189" i="5"/>
  <c r="M189" i="5"/>
  <c r="U189" i="5" s="1"/>
  <c r="X188" i="5"/>
  <c r="V188" i="5"/>
  <c r="T188" i="5"/>
  <c r="S188" i="5"/>
  <c r="R188" i="5"/>
  <c r="Q188" i="5"/>
  <c r="P188" i="5"/>
  <c r="O188" i="5"/>
  <c r="N188" i="5"/>
  <c r="M188" i="5"/>
  <c r="U188" i="5" s="1"/>
  <c r="X187" i="5"/>
  <c r="V187" i="5"/>
  <c r="T187" i="5"/>
  <c r="S187" i="5"/>
  <c r="R187" i="5"/>
  <c r="Q187" i="5"/>
  <c r="P187" i="5"/>
  <c r="O187" i="5"/>
  <c r="N187" i="5"/>
  <c r="M187" i="5"/>
  <c r="U187" i="5" s="1"/>
  <c r="X186" i="5"/>
  <c r="V186" i="5"/>
  <c r="P186" i="5" s="1"/>
  <c r="T186" i="5"/>
  <c r="S186" i="5"/>
  <c r="R186" i="5"/>
  <c r="Q186" i="5"/>
  <c r="O186" i="5"/>
  <c r="N186" i="5"/>
  <c r="M186" i="5"/>
  <c r="U186" i="5" s="1"/>
  <c r="X185" i="5"/>
  <c r="V185" i="5"/>
  <c r="P185" i="5" s="1"/>
  <c r="T185" i="5"/>
  <c r="S185" i="5"/>
  <c r="R185" i="5"/>
  <c r="Q185" i="5"/>
  <c r="O185" i="5"/>
  <c r="N185" i="5"/>
  <c r="M185" i="5"/>
  <c r="X184" i="5"/>
  <c r="V184" i="5"/>
  <c r="T184" i="5"/>
  <c r="S184" i="5"/>
  <c r="R184" i="5"/>
  <c r="Q184" i="5"/>
  <c r="P184" i="5"/>
  <c r="O184" i="5"/>
  <c r="N184" i="5"/>
  <c r="M184" i="5"/>
  <c r="U184" i="5" s="1"/>
  <c r="X183" i="5"/>
  <c r="V183" i="5"/>
  <c r="T183" i="5"/>
  <c r="S183" i="5"/>
  <c r="R183" i="5"/>
  <c r="Q183" i="5"/>
  <c r="P183" i="5"/>
  <c r="O183" i="5"/>
  <c r="N183" i="5"/>
  <c r="M183" i="5"/>
  <c r="U183" i="5" s="1"/>
  <c r="X182" i="5"/>
  <c r="V182" i="5"/>
  <c r="P182" i="5" s="1"/>
  <c r="T182" i="5"/>
  <c r="S182" i="5"/>
  <c r="R182" i="5"/>
  <c r="Q182" i="5"/>
  <c r="O182" i="5"/>
  <c r="N182" i="5"/>
  <c r="M182" i="5"/>
  <c r="U182" i="5" s="1"/>
  <c r="X181" i="5"/>
  <c r="V181" i="5"/>
  <c r="P181" i="5" s="1"/>
  <c r="T181" i="5"/>
  <c r="S181" i="5"/>
  <c r="R181" i="5"/>
  <c r="Q181" i="5"/>
  <c r="O181" i="5"/>
  <c r="N181" i="5"/>
  <c r="M181" i="5"/>
  <c r="X180" i="5"/>
  <c r="V180" i="5"/>
  <c r="T180" i="5"/>
  <c r="S180" i="5"/>
  <c r="R180" i="5"/>
  <c r="Q180" i="5"/>
  <c r="P180" i="5"/>
  <c r="O180" i="5"/>
  <c r="N180" i="5"/>
  <c r="M180" i="5"/>
  <c r="U180" i="5" s="1"/>
  <c r="X179" i="5"/>
  <c r="V179" i="5"/>
  <c r="T179" i="5"/>
  <c r="S179" i="5"/>
  <c r="R179" i="5"/>
  <c r="Q179" i="5"/>
  <c r="P179" i="5"/>
  <c r="O179" i="5"/>
  <c r="N179" i="5"/>
  <c r="M179" i="5"/>
  <c r="U179" i="5" s="1"/>
  <c r="X178" i="5"/>
  <c r="V178" i="5"/>
  <c r="T178" i="5"/>
  <c r="S178" i="5"/>
  <c r="R178" i="5"/>
  <c r="Q178" i="5"/>
  <c r="P178" i="5"/>
  <c r="O178" i="5"/>
  <c r="N178" i="5"/>
  <c r="M178" i="5"/>
  <c r="U178" i="5" s="1"/>
  <c r="X177" i="5"/>
  <c r="V177" i="5"/>
  <c r="P177" i="5" s="1"/>
  <c r="T177" i="5"/>
  <c r="S177" i="5"/>
  <c r="R177" i="5"/>
  <c r="Q177" i="5"/>
  <c r="O177" i="5"/>
  <c r="N177" i="5"/>
  <c r="M177" i="5"/>
  <c r="U177" i="5" s="1"/>
  <c r="X176" i="5"/>
  <c r="V176" i="5"/>
  <c r="T176" i="5"/>
  <c r="S176" i="5"/>
  <c r="R176" i="5"/>
  <c r="Q176" i="5"/>
  <c r="P176" i="5"/>
  <c r="O176" i="5"/>
  <c r="N176" i="5"/>
  <c r="M176" i="5"/>
  <c r="U176" i="5" s="1"/>
  <c r="X175" i="5"/>
  <c r="V175" i="5"/>
  <c r="T175" i="5"/>
  <c r="S175" i="5"/>
  <c r="R175" i="5"/>
  <c r="Q175" i="5"/>
  <c r="P175" i="5"/>
  <c r="O175" i="5"/>
  <c r="N175" i="5"/>
  <c r="M175" i="5"/>
  <c r="U175" i="5" s="1"/>
  <c r="X174" i="5"/>
  <c r="V174" i="5"/>
  <c r="P174" i="5" s="1"/>
  <c r="T174" i="5"/>
  <c r="S174" i="5"/>
  <c r="R174" i="5"/>
  <c r="Q174" i="5"/>
  <c r="O174" i="5"/>
  <c r="N174" i="5"/>
  <c r="M174" i="5"/>
  <c r="U174" i="5" s="1"/>
  <c r="X173" i="5"/>
  <c r="V173" i="5"/>
  <c r="P173" i="5" s="1"/>
  <c r="T173" i="5"/>
  <c r="S173" i="5"/>
  <c r="R173" i="5"/>
  <c r="Q173" i="5"/>
  <c r="O173" i="5"/>
  <c r="N173" i="5"/>
  <c r="M173" i="5"/>
  <c r="X172" i="5"/>
  <c r="V172" i="5"/>
  <c r="T172" i="5"/>
  <c r="S172" i="5"/>
  <c r="R172" i="5"/>
  <c r="Q172" i="5"/>
  <c r="P172" i="5"/>
  <c r="O172" i="5"/>
  <c r="N172" i="5"/>
  <c r="M172" i="5"/>
  <c r="U172" i="5" s="1"/>
  <c r="X171" i="5"/>
  <c r="V171" i="5"/>
  <c r="T171" i="5"/>
  <c r="S171" i="5"/>
  <c r="R171" i="5"/>
  <c r="Q171" i="5"/>
  <c r="P171" i="5"/>
  <c r="O171" i="5"/>
  <c r="N171" i="5"/>
  <c r="M171" i="5"/>
  <c r="U171" i="5" s="1"/>
  <c r="X170" i="5"/>
  <c r="V170" i="5"/>
  <c r="P170" i="5" s="1"/>
  <c r="T170" i="5"/>
  <c r="S170" i="5"/>
  <c r="R170" i="5"/>
  <c r="Q170" i="5"/>
  <c r="O170" i="5"/>
  <c r="N170" i="5"/>
  <c r="M170" i="5"/>
  <c r="X169" i="5"/>
  <c r="V169" i="5"/>
  <c r="P169" i="5" s="1"/>
  <c r="T169" i="5"/>
  <c r="S169" i="5"/>
  <c r="R169" i="5"/>
  <c r="Q169" i="5"/>
  <c r="O169" i="5"/>
  <c r="N169" i="5"/>
  <c r="M169" i="5"/>
  <c r="X168" i="5"/>
  <c r="V168" i="5"/>
  <c r="T168" i="5"/>
  <c r="S168" i="5"/>
  <c r="R168" i="5"/>
  <c r="Q168" i="5"/>
  <c r="P168" i="5"/>
  <c r="O168" i="5"/>
  <c r="N168" i="5"/>
  <c r="M168" i="5"/>
  <c r="U168" i="5" s="1"/>
  <c r="X167" i="5"/>
  <c r="V167" i="5"/>
  <c r="T167" i="5"/>
  <c r="S167" i="5"/>
  <c r="R167" i="5"/>
  <c r="Q167" i="5"/>
  <c r="P167" i="5"/>
  <c r="O167" i="5"/>
  <c r="N167" i="5"/>
  <c r="M167" i="5"/>
  <c r="U167" i="5" s="1"/>
  <c r="X166" i="5"/>
  <c r="V166" i="5"/>
  <c r="P166" i="5" s="1"/>
  <c r="T166" i="5"/>
  <c r="S166" i="5"/>
  <c r="R166" i="5"/>
  <c r="Q166" i="5"/>
  <c r="O166" i="5"/>
  <c r="N166" i="5"/>
  <c r="M166" i="5"/>
  <c r="X165" i="5"/>
  <c r="V165" i="5"/>
  <c r="P165" i="5" s="1"/>
  <c r="T165" i="5"/>
  <c r="S165" i="5"/>
  <c r="R165" i="5"/>
  <c r="Q165" i="5"/>
  <c r="O165" i="5"/>
  <c r="N165" i="5"/>
  <c r="M165" i="5"/>
  <c r="U165" i="5" s="1"/>
  <c r="X164" i="5"/>
  <c r="V164" i="5"/>
  <c r="T164" i="5"/>
  <c r="S164" i="5"/>
  <c r="R164" i="5"/>
  <c r="Q164" i="5"/>
  <c r="P164" i="5"/>
  <c r="O164" i="5"/>
  <c r="N164" i="5"/>
  <c r="M164" i="5"/>
  <c r="U164" i="5" s="1"/>
  <c r="X163" i="5"/>
  <c r="V163" i="5"/>
  <c r="T163" i="5"/>
  <c r="S163" i="5"/>
  <c r="R163" i="5"/>
  <c r="Q163" i="5"/>
  <c r="P163" i="5"/>
  <c r="O163" i="5"/>
  <c r="N163" i="5"/>
  <c r="M163" i="5"/>
  <c r="U163" i="5" s="1"/>
  <c r="X162" i="5"/>
  <c r="V162" i="5"/>
  <c r="P162" i="5" s="1"/>
  <c r="T162" i="5"/>
  <c r="S162" i="5"/>
  <c r="R162" i="5"/>
  <c r="Q162" i="5"/>
  <c r="O162" i="5"/>
  <c r="N162" i="5"/>
  <c r="M162" i="5"/>
  <c r="U162" i="5" s="1"/>
  <c r="X161" i="5"/>
  <c r="V161" i="5"/>
  <c r="P161" i="5" s="1"/>
  <c r="T161" i="5"/>
  <c r="S161" i="5"/>
  <c r="R161" i="5"/>
  <c r="Q161" i="5"/>
  <c r="O161" i="5"/>
  <c r="N161" i="5"/>
  <c r="M161" i="5"/>
  <c r="U161" i="5" s="1"/>
  <c r="X160" i="5"/>
  <c r="V160" i="5"/>
  <c r="T160" i="5"/>
  <c r="S160" i="5"/>
  <c r="R160" i="5"/>
  <c r="Q160" i="5"/>
  <c r="P160" i="5"/>
  <c r="O160" i="5"/>
  <c r="N160" i="5"/>
  <c r="M160" i="5"/>
  <c r="U160" i="5" s="1"/>
  <c r="X159" i="5"/>
  <c r="V159" i="5"/>
  <c r="T159" i="5"/>
  <c r="S159" i="5"/>
  <c r="R159" i="5"/>
  <c r="Q159" i="5"/>
  <c r="P159" i="5"/>
  <c r="O159" i="5"/>
  <c r="N159" i="5"/>
  <c r="M159" i="5"/>
  <c r="U159" i="5" s="1"/>
  <c r="X158" i="5"/>
  <c r="V158" i="5"/>
  <c r="P158" i="5" s="1"/>
  <c r="T158" i="5"/>
  <c r="S158" i="5"/>
  <c r="R158" i="5"/>
  <c r="Q158" i="5"/>
  <c r="O158" i="5"/>
  <c r="N158" i="5"/>
  <c r="M158" i="5"/>
  <c r="U158" i="5" s="1"/>
  <c r="X157" i="5"/>
  <c r="V157" i="5"/>
  <c r="P157" i="5" s="1"/>
  <c r="T157" i="5"/>
  <c r="S157" i="5"/>
  <c r="R157" i="5"/>
  <c r="Q157" i="5"/>
  <c r="O157" i="5"/>
  <c r="N157" i="5"/>
  <c r="M157" i="5"/>
  <c r="X156" i="5"/>
  <c r="V156" i="5"/>
  <c r="T156" i="5"/>
  <c r="S156" i="5"/>
  <c r="R156" i="5"/>
  <c r="Q156" i="5"/>
  <c r="P156" i="5"/>
  <c r="O156" i="5"/>
  <c r="N156" i="5"/>
  <c r="M156" i="5"/>
  <c r="U156" i="5" s="1"/>
  <c r="X155" i="5"/>
  <c r="V155" i="5"/>
  <c r="T155" i="5"/>
  <c r="S155" i="5"/>
  <c r="R155" i="5"/>
  <c r="Q155" i="5"/>
  <c r="P155" i="5"/>
  <c r="O155" i="5"/>
  <c r="N155" i="5"/>
  <c r="M155" i="5"/>
  <c r="U155" i="5" s="1"/>
  <c r="X154" i="5"/>
  <c r="V154" i="5"/>
  <c r="P154" i="5" s="1"/>
  <c r="T154" i="5"/>
  <c r="S154" i="5"/>
  <c r="R154" i="5"/>
  <c r="Q154" i="5"/>
  <c r="O154" i="5"/>
  <c r="N154" i="5"/>
  <c r="M154" i="5"/>
  <c r="X153" i="5"/>
  <c r="V153" i="5"/>
  <c r="P153" i="5" s="1"/>
  <c r="T153" i="5"/>
  <c r="S153" i="5"/>
  <c r="R153" i="5"/>
  <c r="Q153" i="5"/>
  <c r="O153" i="5"/>
  <c r="N153" i="5"/>
  <c r="M153" i="5"/>
  <c r="X152" i="5"/>
  <c r="V152" i="5"/>
  <c r="T152" i="5"/>
  <c r="S152" i="5"/>
  <c r="R152" i="5"/>
  <c r="Q152" i="5"/>
  <c r="P152" i="5"/>
  <c r="O152" i="5"/>
  <c r="N152" i="5"/>
  <c r="M152" i="5"/>
  <c r="U152" i="5" s="1"/>
  <c r="X151" i="5"/>
  <c r="V151" i="5"/>
  <c r="T151" i="5"/>
  <c r="S151" i="5"/>
  <c r="R151" i="5"/>
  <c r="Q151" i="5"/>
  <c r="P151" i="5"/>
  <c r="O151" i="5"/>
  <c r="N151" i="5"/>
  <c r="M151" i="5"/>
  <c r="U151" i="5" s="1"/>
  <c r="X150" i="5"/>
  <c r="V150" i="5"/>
  <c r="P150" i="5" s="1"/>
  <c r="T150" i="5"/>
  <c r="S150" i="5"/>
  <c r="R150" i="5"/>
  <c r="Q150" i="5"/>
  <c r="O150" i="5"/>
  <c r="N150" i="5"/>
  <c r="M150" i="5"/>
  <c r="X149" i="5"/>
  <c r="V149" i="5"/>
  <c r="P149" i="5" s="1"/>
  <c r="T149" i="5"/>
  <c r="S149" i="5"/>
  <c r="R149" i="5"/>
  <c r="Q149" i="5"/>
  <c r="O149" i="5"/>
  <c r="N149" i="5"/>
  <c r="M149" i="5"/>
  <c r="U149" i="5" s="1"/>
  <c r="X148" i="5"/>
  <c r="V148" i="5"/>
  <c r="T148" i="5"/>
  <c r="S148" i="5"/>
  <c r="R148" i="5"/>
  <c r="Q148" i="5"/>
  <c r="P148" i="5"/>
  <c r="O148" i="5"/>
  <c r="N148" i="5"/>
  <c r="M148" i="5"/>
  <c r="U148" i="5" s="1"/>
  <c r="X147" i="5"/>
  <c r="V147" i="5"/>
  <c r="T147" i="5"/>
  <c r="S147" i="5"/>
  <c r="R147" i="5"/>
  <c r="Q147" i="5"/>
  <c r="P147" i="5"/>
  <c r="O147" i="5"/>
  <c r="N147" i="5"/>
  <c r="M147" i="5"/>
  <c r="U147" i="5" s="1"/>
  <c r="X146" i="5"/>
  <c r="V146" i="5"/>
  <c r="P146" i="5" s="1"/>
  <c r="T146" i="5"/>
  <c r="S146" i="5"/>
  <c r="R146" i="5"/>
  <c r="Q146" i="5"/>
  <c r="O146" i="5"/>
  <c r="N146" i="5"/>
  <c r="M146" i="5"/>
  <c r="U146" i="5" s="1"/>
  <c r="X145" i="5"/>
  <c r="V145" i="5"/>
  <c r="P145" i="5" s="1"/>
  <c r="T145" i="5"/>
  <c r="S145" i="5"/>
  <c r="R145" i="5"/>
  <c r="Q145" i="5"/>
  <c r="O145" i="5"/>
  <c r="N145" i="5"/>
  <c r="M145" i="5"/>
  <c r="U145" i="5" s="1"/>
  <c r="X144" i="5"/>
  <c r="V144" i="5"/>
  <c r="T144" i="5"/>
  <c r="S144" i="5"/>
  <c r="R144" i="5"/>
  <c r="Q144" i="5"/>
  <c r="P144" i="5"/>
  <c r="O144" i="5"/>
  <c r="N144" i="5"/>
  <c r="M144" i="5"/>
  <c r="U144" i="5" s="1"/>
  <c r="X143" i="5"/>
  <c r="V143" i="5"/>
  <c r="T143" i="5"/>
  <c r="S143" i="5"/>
  <c r="R143" i="5"/>
  <c r="Q143" i="5"/>
  <c r="P143" i="5"/>
  <c r="O143" i="5"/>
  <c r="N143" i="5"/>
  <c r="M143" i="5"/>
  <c r="U143" i="5" s="1"/>
  <c r="X142" i="5"/>
  <c r="V142" i="5"/>
  <c r="T142" i="5"/>
  <c r="S142" i="5"/>
  <c r="R142" i="5"/>
  <c r="Q142" i="5"/>
  <c r="P142" i="5"/>
  <c r="O142" i="5"/>
  <c r="N142" i="5"/>
  <c r="M142" i="5"/>
  <c r="U142" i="5" s="1"/>
  <c r="X141" i="5"/>
  <c r="V141" i="5"/>
  <c r="P141" i="5" s="1"/>
  <c r="T141" i="5"/>
  <c r="S141" i="5"/>
  <c r="R141" i="5"/>
  <c r="Q141" i="5"/>
  <c r="O141" i="5"/>
  <c r="N141" i="5"/>
  <c r="M141" i="5"/>
  <c r="U141" i="5" s="1"/>
  <c r="X140" i="5"/>
  <c r="V140" i="5"/>
  <c r="T140" i="5"/>
  <c r="S140" i="5"/>
  <c r="R140" i="5"/>
  <c r="Q140" i="5"/>
  <c r="P140" i="5"/>
  <c r="O140" i="5"/>
  <c r="N140" i="5"/>
  <c r="M140" i="5"/>
  <c r="U140" i="5" s="1"/>
  <c r="X139" i="5"/>
  <c r="V139" i="5"/>
  <c r="T139" i="5"/>
  <c r="S139" i="5"/>
  <c r="R139" i="5"/>
  <c r="Q139" i="5"/>
  <c r="P139" i="5"/>
  <c r="O139" i="5"/>
  <c r="N139" i="5"/>
  <c r="M139" i="5"/>
  <c r="U139" i="5" s="1"/>
  <c r="X138" i="5"/>
  <c r="V138" i="5"/>
  <c r="P138" i="5" s="1"/>
  <c r="T138" i="5"/>
  <c r="S138" i="5"/>
  <c r="R138" i="5"/>
  <c r="Q138" i="5"/>
  <c r="O138" i="5"/>
  <c r="N138" i="5"/>
  <c r="M138" i="5"/>
  <c r="X137" i="5"/>
  <c r="V137" i="5"/>
  <c r="P137" i="5" s="1"/>
  <c r="T137" i="5"/>
  <c r="S137" i="5"/>
  <c r="R137" i="5"/>
  <c r="Q137" i="5"/>
  <c r="O137" i="5"/>
  <c r="N137" i="5"/>
  <c r="M137" i="5"/>
  <c r="U137" i="5" s="1"/>
  <c r="X136" i="5"/>
  <c r="V136" i="5"/>
  <c r="T136" i="5"/>
  <c r="S136" i="5"/>
  <c r="R136" i="5"/>
  <c r="Q136" i="5"/>
  <c r="P136" i="5"/>
  <c r="O136" i="5"/>
  <c r="N136" i="5"/>
  <c r="M136" i="5"/>
  <c r="U136" i="5" s="1"/>
  <c r="X135" i="5"/>
  <c r="V135" i="5"/>
  <c r="T135" i="5"/>
  <c r="S135" i="5"/>
  <c r="R135" i="5"/>
  <c r="Q135" i="5"/>
  <c r="P135" i="5"/>
  <c r="O135" i="5"/>
  <c r="N135" i="5"/>
  <c r="M135" i="5"/>
  <c r="U135" i="5" s="1"/>
  <c r="X134" i="5"/>
  <c r="V134" i="5"/>
  <c r="P134" i="5" s="1"/>
  <c r="T134" i="5"/>
  <c r="S134" i="5"/>
  <c r="R134" i="5"/>
  <c r="Q134" i="5"/>
  <c r="O134" i="5"/>
  <c r="N134" i="5"/>
  <c r="M134" i="5"/>
  <c r="U134" i="5" s="1"/>
  <c r="X133" i="5"/>
  <c r="V133" i="5"/>
  <c r="P133" i="5" s="1"/>
  <c r="T133" i="5"/>
  <c r="S133" i="5"/>
  <c r="R133" i="5"/>
  <c r="Q133" i="5"/>
  <c r="O133" i="5"/>
  <c r="N133" i="5"/>
  <c r="M133" i="5"/>
  <c r="X132" i="5"/>
  <c r="V132" i="5"/>
  <c r="T132" i="5"/>
  <c r="S132" i="5"/>
  <c r="R132" i="5"/>
  <c r="Q132" i="5"/>
  <c r="P132" i="5"/>
  <c r="O132" i="5"/>
  <c r="N132" i="5"/>
  <c r="M132" i="5"/>
  <c r="U132" i="5" s="1"/>
  <c r="X131" i="5"/>
  <c r="V131" i="5"/>
  <c r="T131" i="5"/>
  <c r="S131" i="5"/>
  <c r="R131" i="5"/>
  <c r="Q131" i="5"/>
  <c r="P131" i="5"/>
  <c r="O131" i="5"/>
  <c r="N131" i="5"/>
  <c r="M131" i="5"/>
  <c r="U131" i="5" s="1"/>
  <c r="X130" i="5"/>
  <c r="V130" i="5"/>
  <c r="P130" i="5" s="1"/>
  <c r="T130" i="5"/>
  <c r="S130" i="5"/>
  <c r="R130" i="5"/>
  <c r="Q130" i="5"/>
  <c r="O130" i="5"/>
  <c r="N130" i="5"/>
  <c r="M130" i="5"/>
  <c r="U130" i="5" s="1"/>
  <c r="X129" i="5"/>
  <c r="V129" i="5"/>
  <c r="P129" i="5" s="1"/>
  <c r="T129" i="5"/>
  <c r="S129" i="5"/>
  <c r="R129" i="5"/>
  <c r="Q129" i="5"/>
  <c r="O129" i="5"/>
  <c r="N129" i="5"/>
  <c r="M129" i="5"/>
  <c r="X128" i="5"/>
  <c r="V128" i="5"/>
  <c r="T128" i="5"/>
  <c r="S128" i="5"/>
  <c r="R128" i="5"/>
  <c r="Q128" i="5"/>
  <c r="P128" i="5"/>
  <c r="O128" i="5"/>
  <c r="N128" i="5"/>
  <c r="M128" i="5"/>
  <c r="U128" i="5" s="1"/>
  <c r="X127" i="5"/>
  <c r="V127" i="5"/>
  <c r="T127" i="5"/>
  <c r="S127" i="5"/>
  <c r="R127" i="5"/>
  <c r="Q127" i="5"/>
  <c r="P127" i="5"/>
  <c r="O127" i="5"/>
  <c r="N127" i="5"/>
  <c r="M127" i="5"/>
  <c r="U127" i="5" s="1"/>
  <c r="X126" i="5"/>
  <c r="V126" i="5"/>
  <c r="P126" i="5" s="1"/>
  <c r="T126" i="5"/>
  <c r="S126" i="5"/>
  <c r="R126" i="5"/>
  <c r="Q126" i="5"/>
  <c r="O126" i="5"/>
  <c r="N126" i="5"/>
  <c r="M126" i="5"/>
  <c r="X125" i="5"/>
  <c r="V125" i="5"/>
  <c r="P125" i="5" s="1"/>
  <c r="T125" i="5"/>
  <c r="S125" i="5"/>
  <c r="R125" i="5"/>
  <c r="Q125" i="5"/>
  <c r="O125" i="5"/>
  <c r="N125" i="5"/>
  <c r="M125" i="5"/>
  <c r="U125" i="5" s="1"/>
  <c r="X124" i="5"/>
  <c r="V124" i="5"/>
  <c r="T124" i="5"/>
  <c r="S124" i="5"/>
  <c r="R124" i="5"/>
  <c r="Q124" i="5"/>
  <c r="P124" i="5"/>
  <c r="O124" i="5"/>
  <c r="N124" i="5"/>
  <c r="M124" i="5"/>
  <c r="U124" i="5" s="1"/>
  <c r="X123" i="5"/>
  <c r="V123" i="5"/>
  <c r="T123" i="5"/>
  <c r="S123" i="5"/>
  <c r="R123" i="5"/>
  <c r="Q123" i="5"/>
  <c r="P123" i="5"/>
  <c r="O123" i="5"/>
  <c r="N123" i="5"/>
  <c r="M123" i="5"/>
  <c r="U123" i="5" s="1"/>
  <c r="X122" i="5"/>
  <c r="V122" i="5"/>
  <c r="P122" i="5" s="1"/>
  <c r="T122" i="5"/>
  <c r="S122" i="5"/>
  <c r="R122" i="5"/>
  <c r="Q122" i="5"/>
  <c r="O122" i="5"/>
  <c r="N122" i="5"/>
  <c r="M122" i="5"/>
  <c r="X121" i="5"/>
  <c r="V121" i="5"/>
  <c r="P121" i="5" s="1"/>
  <c r="T121" i="5"/>
  <c r="S121" i="5"/>
  <c r="R121" i="5"/>
  <c r="Q121" i="5"/>
  <c r="O121" i="5"/>
  <c r="N121" i="5"/>
  <c r="M121" i="5"/>
  <c r="U121" i="5" s="1"/>
  <c r="X120" i="5"/>
  <c r="V120" i="5"/>
  <c r="T120" i="5"/>
  <c r="S120" i="5"/>
  <c r="R120" i="5"/>
  <c r="Q120" i="5"/>
  <c r="P120" i="5"/>
  <c r="O120" i="5"/>
  <c r="N120" i="5"/>
  <c r="M120" i="5"/>
  <c r="U120" i="5" s="1"/>
  <c r="X119" i="5"/>
  <c r="V119" i="5"/>
  <c r="T119" i="5"/>
  <c r="S119" i="5"/>
  <c r="R119" i="5"/>
  <c r="Q119" i="5"/>
  <c r="P119" i="5"/>
  <c r="O119" i="5"/>
  <c r="N119" i="5"/>
  <c r="M119" i="5"/>
  <c r="U119" i="5" s="1"/>
  <c r="X118" i="5"/>
  <c r="V118" i="5"/>
  <c r="P118" i="5" s="1"/>
  <c r="T118" i="5"/>
  <c r="S118" i="5"/>
  <c r="R118" i="5"/>
  <c r="Q118" i="5"/>
  <c r="O118" i="5"/>
  <c r="N118" i="5"/>
  <c r="M118" i="5"/>
  <c r="U118" i="5" s="1"/>
  <c r="X117" i="5"/>
  <c r="V117" i="5"/>
  <c r="P117" i="5" s="1"/>
  <c r="T117" i="5"/>
  <c r="S117" i="5"/>
  <c r="R117" i="5"/>
  <c r="Q117" i="5"/>
  <c r="O117" i="5"/>
  <c r="N117" i="5"/>
  <c r="M117" i="5"/>
  <c r="X116" i="5"/>
  <c r="V116" i="5"/>
  <c r="T116" i="5"/>
  <c r="S116" i="5"/>
  <c r="R116" i="5"/>
  <c r="Q116" i="5"/>
  <c r="P116" i="5"/>
  <c r="O116" i="5"/>
  <c r="N116" i="5"/>
  <c r="M116" i="5"/>
  <c r="U116" i="5" s="1"/>
  <c r="X115" i="5"/>
  <c r="V115" i="5"/>
  <c r="T115" i="5"/>
  <c r="S115" i="5"/>
  <c r="R115" i="5"/>
  <c r="Q115" i="5"/>
  <c r="P115" i="5"/>
  <c r="O115" i="5"/>
  <c r="N115" i="5"/>
  <c r="M115" i="5"/>
  <c r="U115" i="5" s="1"/>
  <c r="X114" i="5"/>
  <c r="V114" i="5"/>
  <c r="P114" i="5" s="1"/>
  <c r="T114" i="5"/>
  <c r="S114" i="5"/>
  <c r="R114" i="5"/>
  <c r="Q114" i="5"/>
  <c r="O114" i="5"/>
  <c r="N114" i="5"/>
  <c r="M114" i="5"/>
  <c r="U114" i="5" s="1"/>
  <c r="X113" i="5"/>
  <c r="V113" i="5"/>
  <c r="P113" i="5" s="1"/>
  <c r="T113" i="5"/>
  <c r="S113" i="5"/>
  <c r="R113" i="5"/>
  <c r="Q113" i="5"/>
  <c r="O113" i="5"/>
  <c r="N113" i="5"/>
  <c r="M113" i="5"/>
  <c r="X112" i="5"/>
  <c r="V112" i="5"/>
  <c r="T112" i="5"/>
  <c r="S112" i="5"/>
  <c r="R112" i="5"/>
  <c r="Q112" i="5"/>
  <c r="P112" i="5"/>
  <c r="O112" i="5"/>
  <c r="N112" i="5"/>
  <c r="M112" i="5"/>
  <c r="U112" i="5" s="1"/>
  <c r="X111" i="5"/>
  <c r="V111" i="5"/>
  <c r="T111" i="5"/>
  <c r="S111" i="5"/>
  <c r="R111" i="5"/>
  <c r="Q111" i="5"/>
  <c r="P111" i="5"/>
  <c r="O111" i="5"/>
  <c r="N111" i="5"/>
  <c r="M111" i="5"/>
  <c r="U111" i="5" s="1"/>
  <c r="X110" i="5"/>
  <c r="V110" i="5"/>
  <c r="P110" i="5" s="1"/>
  <c r="T110" i="5"/>
  <c r="S110" i="5"/>
  <c r="R110" i="5"/>
  <c r="Q110" i="5"/>
  <c r="O110" i="5"/>
  <c r="N110" i="5"/>
  <c r="M110" i="5"/>
  <c r="X109" i="5"/>
  <c r="V109" i="5"/>
  <c r="P109" i="5" s="1"/>
  <c r="T109" i="5"/>
  <c r="S109" i="5"/>
  <c r="R109" i="5"/>
  <c r="Q109" i="5"/>
  <c r="O109" i="5"/>
  <c r="N109" i="5"/>
  <c r="M109" i="5"/>
  <c r="U109" i="5" s="1"/>
  <c r="X108" i="5"/>
  <c r="V108" i="5"/>
  <c r="T108" i="5"/>
  <c r="S108" i="5"/>
  <c r="R108" i="5"/>
  <c r="Q108" i="5"/>
  <c r="P108" i="5"/>
  <c r="O108" i="5"/>
  <c r="N108" i="5"/>
  <c r="M108" i="5"/>
  <c r="U108" i="5" s="1"/>
  <c r="X107" i="5"/>
  <c r="V107" i="5"/>
  <c r="T107" i="5"/>
  <c r="S107" i="5"/>
  <c r="R107" i="5"/>
  <c r="Q107" i="5"/>
  <c r="P107" i="5"/>
  <c r="O107" i="5"/>
  <c r="N107" i="5"/>
  <c r="M107" i="5"/>
  <c r="U107" i="5" s="1"/>
  <c r="X106" i="5"/>
  <c r="V106" i="5"/>
  <c r="P106" i="5" s="1"/>
  <c r="T106" i="5"/>
  <c r="S106" i="5"/>
  <c r="R106" i="5"/>
  <c r="Q106" i="5"/>
  <c r="O106" i="5"/>
  <c r="N106" i="5"/>
  <c r="M106" i="5"/>
  <c r="X105" i="5"/>
  <c r="V105" i="5"/>
  <c r="P105" i="5" s="1"/>
  <c r="T105" i="5"/>
  <c r="S105" i="5"/>
  <c r="R105" i="5"/>
  <c r="Q105" i="5"/>
  <c r="O105" i="5"/>
  <c r="N105" i="5"/>
  <c r="M105" i="5"/>
  <c r="U105" i="5" s="1"/>
  <c r="X104" i="5"/>
  <c r="V104" i="5"/>
  <c r="T104" i="5"/>
  <c r="S104" i="5"/>
  <c r="R104" i="5"/>
  <c r="Q104" i="5"/>
  <c r="P104" i="5"/>
  <c r="O104" i="5"/>
  <c r="N104" i="5"/>
  <c r="M104" i="5"/>
  <c r="U104" i="5" s="1"/>
  <c r="X103" i="5"/>
  <c r="V103" i="5"/>
  <c r="T103" i="5"/>
  <c r="S103" i="5"/>
  <c r="R103" i="5"/>
  <c r="Q103" i="5"/>
  <c r="P103" i="5"/>
  <c r="O103" i="5"/>
  <c r="N103" i="5"/>
  <c r="M103" i="5"/>
  <c r="U103" i="5" s="1"/>
  <c r="X102" i="5"/>
  <c r="V102" i="5"/>
  <c r="P102" i="5" s="1"/>
  <c r="T102" i="5"/>
  <c r="S102" i="5"/>
  <c r="R102" i="5"/>
  <c r="Q102" i="5"/>
  <c r="O102" i="5"/>
  <c r="N102" i="5"/>
  <c r="M102" i="5"/>
  <c r="U102" i="5" s="1"/>
  <c r="X101" i="5"/>
  <c r="V101" i="5"/>
  <c r="P101" i="5" s="1"/>
  <c r="T101" i="5"/>
  <c r="S101" i="5"/>
  <c r="R101" i="5"/>
  <c r="Q101" i="5"/>
  <c r="O101" i="5"/>
  <c r="N101" i="5"/>
  <c r="M101" i="5"/>
  <c r="X100" i="5"/>
  <c r="V100" i="5"/>
  <c r="T100" i="5"/>
  <c r="S100" i="5"/>
  <c r="R100" i="5"/>
  <c r="Q100" i="5"/>
  <c r="P100" i="5"/>
  <c r="O100" i="5"/>
  <c r="N100" i="5"/>
  <c r="M100" i="5"/>
  <c r="U100" i="5" s="1"/>
  <c r="X99" i="5"/>
  <c r="V99" i="5"/>
  <c r="T99" i="5"/>
  <c r="S99" i="5"/>
  <c r="R99" i="5"/>
  <c r="Q99" i="5"/>
  <c r="P99" i="5"/>
  <c r="O99" i="5"/>
  <c r="N99" i="5"/>
  <c r="M99" i="5"/>
  <c r="U99" i="5" s="1"/>
  <c r="X98" i="5"/>
  <c r="V98" i="5"/>
  <c r="P98" i="5" s="1"/>
  <c r="T98" i="5"/>
  <c r="S98" i="5"/>
  <c r="R98" i="5"/>
  <c r="Q98" i="5"/>
  <c r="O98" i="5"/>
  <c r="N98" i="5"/>
  <c r="M98" i="5"/>
  <c r="U98" i="5" s="1"/>
  <c r="X97" i="5"/>
  <c r="V97" i="5"/>
  <c r="P97" i="5" s="1"/>
  <c r="T97" i="5"/>
  <c r="S97" i="5"/>
  <c r="R97" i="5"/>
  <c r="Q97" i="5"/>
  <c r="O97" i="5"/>
  <c r="N97" i="5"/>
  <c r="M97" i="5"/>
  <c r="X96" i="5"/>
  <c r="V96" i="5"/>
  <c r="T96" i="5"/>
  <c r="S96" i="5"/>
  <c r="R96" i="5"/>
  <c r="Q96" i="5"/>
  <c r="P96" i="5"/>
  <c r="O96" i="5"/>
  <c r="N96" i="5"/>
  <c r="M96" i="5"/>
  <c r="U96" i="5" s="1"/>
  <c r="X95" i="5"/>
  <c r="V95" i="5"/>
  <c r="T95" i="5"/>
  <c r="S95" i="5"/>
  <c r="R95" i="5"/>
  <c r="Q95" i="5"/>
  <c r="P95" i="5"/>
  <c r="O95" i="5"/>
  <c r="N95" i="5"/>
  <c r="M95" i="5"/>
  <c r="U95" i="5" s="1"/>
  <c r="X94" i="5"/>
  <c r="V94" i="5"/>
  <c r="P94" i="5" s="1"/>
  <c r="T94" i="5"/>
  <c r="S94" i="5"/>
  <c r="R94" i="5"/>
  <c r="Q94" i="5"/>
  <c r="O94" i="5"/>
  <c r="N94" i="5"/>
  <c r="M94" i="5"/>
  <c r="X93" i="5"/>
  <c r="V93" i="5"/>
  <c r="P93" i="5" s="1"/>
  <c r="T93" i="5"/>
  <c r="S93" i="5"/>
  <c r="R93" i="5"/>
  <c r="Q93" i="5"/>
  <c r="O93" i="5"/>
  <c r="N93" i="5"/>
  <c r="M93" i="5"/>
  <c r="U93" i="5" s="1"/>
  <c r="X92" i="5"/>
  <c r="V92" i="5"/>
  <c r="T92" i="5"/>
  <c r="S92" i="5"/>
  <c r="R92" i="5"/>
  <c r="Q92" i="5"/>
  <c r="P92" i="5"/>
  <c r="O92" i="5"/>
  <c r="N92" i="5"/>
  <c r="M92" i="5"/>
  <c r="U92" i="5" s="1"/>
  <c r="X91" i="5"/>
  <c r="V91" i="5"/>
  <c r="T91" i="5"/>
  <c r="S91" i="5"/>
  <c r="R91" i="5"/>
  <c r="Q91" i="5"/>
  <c r="P91" i="5"/>
  <c r="O91" i="5"/>
  <c r="N91" i="5"/>
  <c r="M91" i="5"/>
  <c r="U91" i="5" s="1"/>
  <c r="X90" i="5"/>
  <c r="V90" i="5"/>
  <c r="P90" i="5" s="1"/>
  <c r="T90" i="5"/>
  <c r="S90" i="5"/>
  <c r="R90" i="5"/>
  <c r="Q90" i="5"/>
  <c r="O90" i="5"/>
  <c r="N90" i="5"/>
  <c r="M90" i="5"/>
  <c r="X89" i="5"/>
  <c r="V89" i="5"/>
  <c r="P89" i="5" s="1"/>
  <c r="T89" i="5"/>
  <c r="S89" i="5"/>
  <c r="R89" i="5"/>
  <c r="Q89" i="5"/>
  <c r="O89" i="5"/>
  <c r="N89" i="5"/>
  <c r="M89" i="5"/>
  <c r="U89" i="5" s="1"/>
  <c r="X88" i="5"/>
  <c r="V88" i="5"/>
  <c r="T88" i="5"/>
  <c r="S88" i="5"/>
  <c r="R88" i="5"/>
  <c r="Q88" i="5"/>
  <c r="P88" i="5"/>
  <c r="O88" i="5"/>
  <c r="N88" i="5"/>
  <c r="M88" i="5"/>
  <c r="U88" i="5" s="1"/>
  <c r="X87" i="5"/>
  <c r="V87" i="5"/>
  <c r="T87" i="5"/>
  <c r="S87" i="5"/>
  <c r="R87" i="5"/>
  <c r="Q87" i="5"/>
  <c r="P87" i="5"/>
  <c r="O87" i="5"/>
  <c r="N87" i="5"/>
  <c r="M87" i="5"/>
  <c r="U87" i="5" s="1"/>
  <c r="X86" i="5"/>
  <c r="V86" i="5"/>
  <c r="P86" i="5" s="1"/>
  <c r="T86" i="5"/>
  <c r="S86" i="5"/>
  <c r="R86" i="5"/>
  <c r="Q86" i="5"/>
  <c r="O86" i="5"/>
  <c r="N86" i="5"/>
  <c r="M86" i="5"/>
  <c r="U86" i="5" s="1"/>
  <c r="X85" i="5"/>
  <c r="V85" i="5"/>
  <c r="P85" i="5" s="1"/>
  <c r="T85" i="5"/>
  <c r="S85" i="5"/>
  <c r="R85" i="5"/>
  <c r="Q85" i="5"/>
  <c r="O85" i="5"/>
  <c r="N85" i="5"/>
  <c r="M85" i="5"/>
  <c r="X84" i="5"/>
  <c r="V84" i="5"/>
  <c r="T84" i="5"/>
  <c r="S84" i="5"/>
  <c r="R84" i="5"/>
  <c r="Q84" i="5"/>
  <c r="P84" i="5"/>
  <c r="O84" i="5"/>
  <c r="N84" i="5"/>
  <c r="M84" i="5"/>
  <c r="U84" i="5" s="1"/>
  <c r="X83" i="5"/>
  <c r="V83" i="5"/>
  <c r="T83" i="5"/>
  <c r="S83" i="5"/>
  <c r="R83" i="5"/>
  <c r="Q83" i="5"/>
  <c r="P83" i="5"/>
  <c r="O83" i="5"/>
  <c r="N83" i="5"/>
  <c r="M83" i="5"/>
  <c r="U83" i="5" s="1"/>
  <c r="X82" i="5"/>
  <c r="V82" i="5"/>
  <c r="T82" i="5"/>
  <c r="S82" i="5"/>
  <c r="R82" i="5"/>
  <c r="Q82" i="5"/>
  <c r="P82" i="5"/>
  <c r="O82" i="5"/>
  <c r="N82" i="5"/>
  <c r="M82" i="5"/>
  <c r="U82" i="5" s="1"/>
  <c r="X81" i="5"/>
  <c r="V81" i="5"/>
  <c r="P81" i="5" s="1"/>
  <c r="T81" i="5"/>
  <c r="S81" i="5"/>
  <c r="R81" i="5"/>
  <c r="Q81" i="5"/>
  <c r="O81" i="5"/>
  <c r="N81" i="5"/>
  <c r="M81" i="5"/>
  <c r="U81" i="5" s="1"/>
  <c r="X80" i="5"/>
  <c r="V80" i="5"/>
  <c r="T80" i="5"/>
  <c r="S80" i="5"/>
  <c r="R80" i="5"/>
  <c r="Q80" i="5"/>
  <c r="P80" i="5"/>
  <c r="O80" i="5"/>
  <c r="N80" i="5"/>
  <c r="M80" i="5"/>
  <c r="U80" i="5" s="1"/>
  <c r="X79" i="5"/>
  <c r="V79" i="5"/>
  <c r="T79" i="5"/>
  <c r="S79" i="5"/>
  <c r="R79" i="5"/>
  <c r="Q79" i="5"/>
  <c r="P79" i="5"/>
  <c r="O79" i="5"/>
  <c r="N79" i="5"/>
  <c r="M79" i="5"/>
  <c r="U79" i="5" s="1"/>
  <c r="X78" i="5"/>
  <c r="V78" i="5"/>
  <c r="P78" i="5" s="1"/>
  <c r="T78" i="5"/>
  <c r="S78" i="5"/>
  <c r="R78" i="5"/>
  <c r="Q78" i="5"/>
  <c r="O78" i="5"/>
  <c r="N78" i="5"/>
  <c r="M78" i="5"/>
  <c r="U78" i="5" s="1"/>
  <c r="X77" i="5"/>
  <c r="V77" i="5"/>
  <c r="P77" i="5" s="1"/>
  <c r="T77" i="5"/>
  <c r="S77" i="5"/>
  <c r="R77" i="5"/>
  <c r="Q77" i="5"/>
  <c r="O77" i="5"/>
  <c r="N77" i="5"/>
  <c r="M77" i="5"/>
  <c r="U77" i="5" s="1"/>
  <c r="X76" i="5"/>
  <c r="V76" i="5"/>
  <c r="T76" i="5"/>
  <c r="S76" i="5"/>
  <c r="R76" i="5"/>
  <c r="Q76" i="5"/>
  <c r="P76" i="5"/>
  <c r="O76" i="5"/>
  <c r="N76" i="5"/>
  <c r="M76" i="5"/>
  <c r="U76" i="5" s="1"/>
  <c r="X75" i="5"/>
  <c r="V75" i="5"/>
  <c r="T75" i="5"/>
  <c r="S75" i="5"/>
  <c r="R75" i="5"/>
  <c r="Q75" i="5"/>
  <c r="P75" i="5"/>
  <c r="O75" i="5"/>
  <c r="N75" i="5"/>
  <c r="M75" i="5"/>
  <c r="U75" i="5" s="1"/>
  <c r="X74" i="5"/>
  <c r="V74" i="5"/>
  <c r="P74" i="5" s="1"/>
  <c r="T74" i="5"/>
  <c r="S74" i="5"/>
  <c r="R74" i="5"/>
  <c r="Q74" i="5"/>
  <c r="O74" i="5"/>
  <c r="N74" i="5"/>
  <c r="M74" i="5"/>
  <c r="U74" i="5" s="1"/>
  <c r="X73" i="5"/>
  <c r="V73" i="5"/>
  <c r="P73" i="5" s="1"/>
  <c r="T73" i="5"/>
  <c r="S73" i="5"/>
  <c r="R73" i="5"/>
  <c r="Q73" i="5"/>
  <c r="O73" i="5"/>
  <c r="N73" i="5"/>
  <c r="M73" i="5"/>
  <c r="X72" i="5"/>
  <c r="V72" i="5"/>
  <c r="T72" i="5"/>
  <c r="S72" i="5"/>
  <c r="R72" i="5"/>
  <c r="Q72" i="5"/>
  <c r="P72" i="5"/>
  <c r="O72" i="5"/>
  <c r="N72" i="5"/>
  <c r="M72" i="5"/>
  <c r="U72" i="5" s="1"/>
  <c r="X71" i="5"/>
  <c r="V71" i="5"/>
  <c r="T71" i="5"/>
  <c r="S71" i="5"/>
  <c r="R71" i="5"/>
  <c r="Q71" i="5"/>
  <c r="P71" i="5"/>
  <c r="O71" i="5"/>
  <c r="N71" i="5"/>
  <c r="M71" i="5"/>
  <c r="U71" i="5" s="1"/>
  <c r="X70" i="5"/>
  <c r="V70" i="5"/>
  <c r="T70" i="5"/>
  <c r="S70" i="5"/>
  <c r="R70" i="5"/>
  <c r="Q70" i="5"/>
  <c r="P70" i="5"/>
  <c r="O70" i="5"/>
  <c r="N70" i="5"/>
  <c r="M70" i="5"/>
  <c r="U70" i="5" s="1"/>
  <c r="X69" i="5"/>
  <c r="V69" i="5"/>
  <c r="P69" i="5" s="1"/>
  <c r="T69" i="5"/>
  <c r="S69" i="5"/>
  <c r="R69" i="5"/>
  <c r="Q69" i="5"/>
  <c r="O69" i="5"/>
  <c r="N69" i="5"/>
  <c r="M69" i="5"/>
  <c r="U69" i="5" s="1"/>
  <c r="X68" i="5"/>
  <c r="V68" i="5"/>
  <c r="T68" i="5"/>
  <c r="S68" i="5"/>
  <c r="R68" i="5"/>
  <c r="Q68" i="5"/>
  <c r="P68" i="5"/>
  <c r="O68" i="5"/>
  <c r="N68" i="5"/>
  <c r="M68" i="5"/>
  <c r="U68" i="5" s="1"/>
  <c r="X67" i="5"/>
  <c r="V67" i="5"/>
  <c r="T67" i="5"/>
  <c r="S67" i="5"/>
  <c r="R67" i="5"/>
  <c r="Q67" i="5"/>
  <c r="P67" i="5"/>
  <c r="O67" i="5"/>
  <c r="N67" i="5"/>
  <c r="M67" i="5"/>
  <c r="U67" i="5" s="1"/>
  <c r="X66" i="5"/>
  <c r="V66" i="5"/>
  <c r="P66" i="5" s="1"/>
  <c r="T66" i="5"/>
  <c r="S66" i="5"/>
  <c r="R66" i="5"/>
  <c r="Q66" i="5"/>
  <c r="O66" i="5"/>
  <c r="N66" i="5"/>
  <c r="M66" i="5"/>
  <c r="U66" i="5" s="1"/>
  <c r="X65" i="5"/>
  <c r="V65" i="5"/>
  <c r="P65" i="5" s="1"/>
  <c r="T65" i="5"/>
  <c r="S65" i="5"/>
  <c r="R65" i="5"/>
  <c r="Q65" i="5"/>
  <c r="O65" i="5"/>
  <c r="N65" i="5"/>
  <c r="M65" i="5"/>
  <c r="X64" i="5"/>
  <c r="V64" i="5"/>
  <c r="T64" i="5"/>
  <c r="S64" i="5"/>
  <c r="R64" i="5"/>
  <c r="Q64" i="5"/>
  <c r="P64" i="5"/>
  <c r="O64" i="5"/>
  <c r="N64" i="5"/>
  <c r="M64" i="5"/>
  <c r="U64" i="5" s="1"/>
  <c r="X63" i="5"/>
  <c r="V63" i="5"/>
  <c r="T63" i="5"/>
  <c r="S63" i="5"/>
  <c r="R63" i="5"/>
  <c r="Q63" i="5"/>
  <c r="P63" i="5"/>
  <c r="O63" i="5"/>
  <c r="N63" i="5"/>
  <c r="M63" i="5"/>
  <c r="U63" i="5" s="1"/>
  <c r="X62" i="5"/>
  <c r="V62" i="5"/>
  <c r="P62" i="5" s="1"/>
  <c r="T62" i="5"/>
  <c r="S62" i="5"/>
  <c r="R62" i="5"/>
  <c r="Q62" i="5"/>
  <c r="O62" i="5"/>
  <c r="N62" i="5"/>
  <c r="M62" i="5"/>
  <c r="U62" i="5" s="1"/>
  <c r="X61" i="5"/>
  <c r="V61" i="5"/>
  <c r="P61" i="5" s="1"/>
  <c r="T61" i="5"/>
  <c r="S61" i="5"/>
  <c r="R61" i="5"/>
  <c r="Q61" i="5"/>
  <c r="O61" i="5"/>
  <c r="N61" i="5"/>
  <c r="M61" i="5"/>
  <c r="X60" i="5"/>
  <c r="V60" i="5"/>
  <c r="T60" i="5"/>
  <c r="S60" i="5"/>
  <c r="R60" i="5"/>
  <c r="Q60" i="5"/>
  <c r="P60" i="5"/>
  <c r="O60" i="5"/>
  <c r="N60" i="5"/>
  <c r="M60" i="5"/>
  <c r="U60" i="5" s="1"/>
  <c r="X59" i="5"/>
  <c r="V59" i="5"/>
  <c r="T59" i="5"/>
  <c r="S59" i="5"/>
  <c r="R59" i="5"/>
  <c r="Q59" i="5"/>
  <c r="P59" i="5"/>
  <c r="O59" i="5"/>
  <c r="N59" i="5"/>
  <c r="M59" i="5"/>
  <c r="U59" i="5" s="1"/>
  <c r="X58" i="5"/>
  <c r="V58" i="5"/>
  <c r="P58" i="5" s="1"/>
  <c r="T58" i="5"/>
  <c r="S58" i="5"/>
  <c r="R58" i="5"/>
  <c r="Q58" i="5"/>
  <c r="O58" i="5"/>
  <c r="N58" i="5"/>
  <c r="M58" i="5"/>
  <c r="X57" i="5"/>
  <c r="V57" i="5"/>
  <c r="P57" i="5" s="1"/>
  <c r="T57" i="5"/>
  <c r="S57" i="5"/>
  <c r="R57" i="5"/>
  <c r="Q57" i="5"/>
  <c r="O57" i="5"/>
  <c r="N57" i="5"/>
  <c r="M57" i="5"/>
  <c r="U57" i="5" s="1"/>
  <c r="X56" i="5"/>
  <c r="V56" i="5"/>
  <c r="T56" i="5"/>
  <c r="S56" i="5"/>
  <c r="R56" i="5"/>
  <c r="Q56" i="5"/>
  <c r="P56" i="5"/>
  <c r="O56" i="5"/>
  <c r="N56" i="5"/>
  <c r="M56" i="5"/>
  <c r="U56" i="5" s="1"/>
  <c r="X55" i="5"/>
  <c r="V55" i="5"/>
  <c r="T55" i="5"/>
  <c r="S55" i="5"/>
  <c r="R55" i="5"/>
  <c r="Q55" i="5"/>
  <c r="P55" i="5"/>
  <c r="O55" i="5"/>
  <c r="N55" i="5"/>
  <c r="M55" i="5"/>
  <c r="U55" i="5" s="1"/>
  <c r="X54" i="5"/>
  <c r="V54" i="5"/>
  <c r="P54" i="5" s="1"/>
  <c r="T54" i="5"/>
  <c r="S54" i="5"/>
  <c r="R54" i="5"/>
  <c r="Q54" i="5"/>
  <c r="O54" i="5"/>
  <c r="N54" i="5"/>
  <c r="M54" i="5"/>
  <c r="X53" i="5"/>
  <c r="V53" i="5"/>
  <c r="P53" i="5" s="1"/>
  <c r="T53" i="5"/>
  <c r="S53" i="5"/>
  <c r="R53" i="5"/>
  <c r="Q53" i="5"/>
  <c r="O53" i="5"/>
  <c r="N53" i="5"/>
  <c r="M53" i="5"/>
  <c r="U53" i="5" s="1"/>
  <c r="X52" i="5"/>
  <c r="V52" i="5"/>
  <c r="T52" i="5"/>
  <c r="S52" i="5"/>
  <c r="R52" i="5"/>
  <c r="Q52" i="5"/>
  <c r="P52" i="5"/>
  <c r="O52" i="5"/>
  <c r="N52" i="5"/>
  <c r="M52" i="5"/>
  <c r="U52" i="5" s="1"/>
  <c r="X51" i="5"/>
  <c r="V51" i="5"/>
  <c r="T51" i="5"/>
  <c r="S51" i="5"/>
  <c r="R51" i="5"/>
  <c r="Q51" i="5"/>
  <c r="P51" i="5"/>
  <c r="O51" i="5"/>
  <c r="N51" i="5"/>
  <c r="M51" i="5"/>
  <c r="U51" i="5" s="1"/>
  <c r="X50" i="5"/>
  <c r="V50" i="5"/>
  <c r="P50" i="5" s="1"/>
  <c r="T50" i="5"/>
  <c r="S50" i="5"/>
  <c r="R50" i="5"/>
  <c r="Q50" i="5"/>
  <c r="O50" i="5"/>
  <c r="N50" i="5"/>
  <c r="M50" i="5"/>
  <c r="U50" i="5" s="1"/>
  <c r="X49" i="5"/>
  <c r="V49" i="5"/>
  <c r="P49" i="5" s="1"/>
  <c r="T49" i="5"/>
  <c r="S49" i="5"/>
  <c r="R49" i="5"/>
  <c r="Q49" i="5"/>
  <c r="O49" i="5"/>
  <c r="N49" i="5"/>
  <c r="M49" i="5"/>
  <c r="X48" i="5"/>
  <c r="V48" i="5"/>
  <c r="T48" i="5"/>
  <c r="S48" i="5"/>
  <c r="R48" i="5"/>
  <c r="Q48" i="5"/>
  <c r="P48" i="5"/>
  <c r="O48" i="5"/>
  <c r="N48" i="5"/>
  <c r="M48" i="5"/>
  <c r="U48" i="5" s="1"/>
  <c r="X47" i="5"/>
  <c r="V47" i="5"/>
  <c r="T47" i="5"/>
  <c r="S47" i="5"/>
  <c r="R47" i="5"/>
  <c r="Q47" i="5"/>
  <c r="P47" i="5"/>
  <c r="O47" i="5"/>
  <c r="N47" i="5"/>
  <c r="M47" i="5"/>
  <c r="U47" i="5" s="1"/>
  <c r="X46" i="5"/>
  <c r="V46" i="5"/>
  <c r="P46" i="5" s="1"/>
  <c r="T46" i="5"/>
  <c r="S46" i="5"/>
  <c r="R46" i="5"/>
  <c r="Q46" i="5"/>
  <c r="O46" i="5"/>
  <c r="N46" i="5"/>
  <c r="M46" i="5"/>
  <c r="U46" i="5" s="1"/>
  <c r="X45" i="5"/>
  <c r="V45" i="5"/>
  <c r="P45" i="5" s="1"/>
  <c r="T45" i="5"/>
  <c r="S45" i="5"/>
  <c r="R45" i="5"/>
  <c r="Q45" i="5"/>
  <c r="O45" i="5"/>
  <c r="N45" i="5"/>
  <c r="M45" i="5"/>
  <c r="X44" i="5"/>
  <c r="V44" i="5"/>
  <c r="T44" i="5"/>
  <c r="S44" i="5"/>
  <c r="R44" i="5"/>
  <c r="Q44" i="5"/>
  <c r="P44" i="5"/>
  <c r="O44" i="5"/>
  <c r="N44" i="5"/>
  <c r="M44" i="5"/>
  <c r="U44" i="5" s="1"/>
  <c r="X43" i="5"/>
  <c r="V43" i="5"/>
  <c r="T43" i="5"/>
  <c r="S43" i="5"/>
  <c r="R43" i="5"/>
  <c r="Q43" i="5"/>
  <c r="P43" i="5"/>
  <c r="O43" i="5"/>
  <c r="N43" i="5"/>
  <c r="M43" i="5"/>
  <c r="U43" i="5" s="1"/>
  <c r="X42" i="5"/>
  <c r="V42" i="5"/>
  <c r="P42" i="5" s="1"/>
  <c r="T42" i="5"/>
  <c r="S42" i="5"/>
  <c r="R42" i="5"/>
  <c r="Q42" i="5"/>
  <c r="O42" i="5"/>
  <c r="N42" i="5"/>
  <c r="M42" i="5"/>
  <c r="X41" i="5"/>
  <c r="V41" i="5"/>
  <c r="P41" i="5" s="1"/>
  <c r="T41" i="5"/>
  <c r="S41" i="5"/>
  <c r="R41" i="5"/>
  <c r="Q41" i="5"/>
  <c r="O41" i="5"/>
  <c r="N41" i="5"/>
  <c r="M41" i="5"/>
  <c r="U41" i="5" s="1"/>
  <c r="X40" i="5"/>
  <c r="V40" i="5"/>
  <c r="T40" i="5"/>
  <c r="S40" i="5"/>
  <c r="R40" i="5"/>
  <c r="Q40" i="5"/>
  <c r="P40" i="5"/>
  <c r="O40" i="5"/>
  <c r="N40" i="5"/>
  <c r="M40" i="5"/>
  <c r="X39" i="5"/>
  <c r="V39" i="5"/>
  <c r="T39" i="5"/>
  <c r="S39" i="5"/>
  <c r="R39" i="5"/>
  <c r="Q39" i="5"/>
  <c r="P39" i="5"/>
  <c r="O39" i="5"/>
  <c r="N39" i="5"/>
  <c r="M39" i="5"/>
  <c r="X38" i="5"/>
  <c r="V38" i="5"/>
  <c r="P38" i="5" s="1"/>
  <c r="T38" i="5"/>
  <c r="S38" i="5"/>
  <c r="R38" i="5"/>
  <c r="Q38" i="5"/>
  <c r="O38" i="5"/>
  <c r="N38" i="5"/>
  <c r="M38" i="5"/>
  <c r="U38" i="5" s="1"/>
  <c r="X37" i="5"/>
  <c r="V37" i="5"/>
  <c r="P37" i="5" s="1"/>
  <c r="T37" i="5"/>
  <c r="S37" i="5"/>
  <c r="R37" i="5"/>
  <c r="Q37" i="5"/>
  <c r="O37" i="5"/>
  <c r="N37" i="5"/>
  <c r="M37" i="5"/>
  <c r="X36" i="5"/>
  <c r="V36" i="5"/>
  <c r="T36" i="5"/>
  <c r="S36" i="5"/>
  <c r="R36" i="5"/>
  <c r="Q36" i="5"/>
  <c r="P36" i="5"/>
  <c r="O36" i="5"/>
  <c r="N36" i="5"/>
  <c r="M36" i="5"/>
  <c r="U36" i="5" s="1"/>
  <c r="X35" i="5"/>
  <c r="V35" i="5"/>
  <c r="T35" i="5"/>
  <c r="S35" i="5"/>
  <c r="R35" i="5"/>
  <c r="Q35" i="5"/>
  <c r="P35" i="5"/>
  <c r="O35" i="5"/>
  <c r="N35" i="5"/>
  <c r="M35" i="5"/>
  <c r="X34" i="5"/>
  <c r="V34" i="5"/>
  <c r="P34" i="5" s="1"/>
  <c r="T34" i="5"/>
  <c r="S34" i="5"/>
  <c r="R34" i="5"/>
  <c r="Q34" i="5"/>
  <c r="O34" i="5"/>
  <c r="N34" i="5"/>
  <c r="M34" i="5"/>
  <c r="X33" i="5"/>
  <c r="V33" i="5"/>
  <c r="T33" i="5"/>
  <c r="S33" i="5"/>
  <c r="R33" i="5"/>
  <c r="Q33" i="5"/>
  <c r="P33" i="5"/>
  <c r="O33" i="5"/>
  <c r="N33" i="5"/>
  <c r="M33" i="5"/>
  <c r="U33" i="5" s="1"/>
  <c r="X32" i="5"/>
  <c r="V32" i="5"/>
  <c r="T32" i="5"/>
  <c r="S32" i="5"/>
  <c r="R32" i="5"/>
  <c r="Q32" i="5"/>
  <c r="P32" i="5"/>
  <c r="O32" i="5"/>
  <c r="N32" i="5"/>
  <c r="M32" i="5"/>
  <c r="U32" i="5" s="1"/>
  <c r="X31" i="5"/>
  <c r="V31" i="5"/>
  <c r="T31" i="5"/>
  <c r="S31" i="5"/>
  <c r="R31" i="5"/>
  <c r="Q31" i="5"/>
  <c r="P31" i="5"/>
  <c r="O31" i="5"/>
  <c r="N31" i="5"/>
  <c r="M31" i="5"/>
  <c r="X30" i="5"/>
  <c r="V30" i="5"/>
  <c r="P30" i="5" s="1"/>
  <c r="T30" i="5"/>
  <c r="S30" i="5"/>
  <c r="R30" i="5"/>
  <c r="Q30" i="5"/>
  <c r="O30" i="5"/>
  <c r="N30" i="5"/>
  <c r="M30" i="5"/>
  <c r="U30" i="5" s="1"/>
  <c r="X29" i="5"/>
  <c r="V29" i="5"/>
  <c r="P29" i="5" s="1"/>
  <c r="T29" i="5"/>
  <c r="S29" i="5"/>
  <c r="R29" i="5"/>
  <c r="Q29" i="5"/>
  <c r="O29" i="5"/>
  <c r="N29" i="5"/>
  <c r="M29" i="5"/>
  <c r="U29" i="5" s="1"/>
  <c r="X28" i="5"/>
  <c r="V28" i="5"/>
  <c r="T28" i="5"/>
  <c r="S28" i="5"/>
  <c r="R28" i="5"/>
  <c r="Q28" i="5"/>
  <c r="P28" i="5"/>
  <c r="O28" i="5"/>
  <c r="N28" i="5"/>
  <c r="M28" i="5"/>
  <c r="U28" i="5" s="1"/>
  <c r="X27" i="5"/>
  <c r="V27" i="5"/>
  <c r="T27" i="5"/>
  <c r="S27" i="5"/>
  <c r="R27" i="5"/>
  <c r="Q27" i="5"/>
  <c r="P27" i="5"/>
  <c r="O27" i="5"/>
  <c r="N27" i="5"/>
  <c r="M27" i="5"/>
  <c r="X26" i="5"/>
  <c r="V26" i="5"/>
  <c r="P26" i="5" s="1"/>
  <c r="U26" i="5"/>
  <c r="T26" i="5"/>
  <c r="S26" i="5"/>
  <c r="R26" i="5"/>
  <c r="Q26" i="5"/>
  <c r="O26" i="5"/>
  <c r="N26" i="5"/>
  <c r="M26" i="5"/>
  <c r="X25" i="5"/>
  <c r="V25" i="5"/>
  <c r="T25" i="5"/>
  <c r="S25" i="5"/>
  <c r="R25" i="5"/>
  <c r="Q25" i="5"/>
  <c r="P25" i="5"/>
  <c r="O25" i="5"/>
  <c r="N25" i="5"/>
  <c r="M25" i="5"/>
  <c r="U25" i="5" s="1"/>
  <c r="X24" i="5"/>
  <c r="V24" i="5"/>
  <c r="T24" i="5"/>
  <c r="S24" i="5"/>
  <c r="R24" i="5"/>
  <c r="Q24" i="5"/>
  <c r="P24" i="5"/>
  <c r="O24" i="5"/>
  <c r="N24" i="5"/>
  <c r="M24" i="5"/>
  <c r="U24" i="5" s="1"/>
  <c r="X23" i="5"/>
  <c r="V23" i="5"/>
  <c r="P23" i="5" s="1"/>
  <c r="T23" i="5"/>
  <c r="S23" i="5"/>
  <c r="R23" i="5"/>
  <c r="Q23" i="5"/>
  <c r="O23" i="5"/>
  <c r="N23" i="5"/>
  <c r="M23" i="5"/>
  <c r="X22" i="5"/>
  <c r="V22" i="5"/>
  <c r="P22" i="5" s="1"/>
  <c r="T22" i="5"/>
  <c r="S22" i="5"/>
  <c r="R22" i="5"/>
  <c r="Q22" i="5"/>
  <c r="O22" i="5"/>
  <c r="N22" i="5"/>
  <c r="M22" i="5"/>
  <c r="X21" i="5"/>
  <c r="V21" i="5"/>
  <c r="P21" i="5" s="1"/>
  <c r="T21" i="5"/>
  <c r="S21" i="5"/>
  <c r="R21" i="5"/>
  <c r="Q21" i="5"/>
  <c r="U21" i="5" s="1"/>
  <c r="O21" i="5"/>
  <c r="N21" i="5"/>
  <c r="M21" i="5"/>
  <c r="X20" i="5"/>
  <c r="V20" i="5"/>
  <c r="T20" i="5"/>
  <c r="S20" i="5"/>
  <c r="R20" i="5"/>
  <c r="Q20" i="5"/>
  <c r="P20" i="5"/>
  <c r="O20" i="5"/>
  <c r="N20" i="5"/>
  <c r="M20" i="5"/>
  <c r="U20" i="5" s="1"/>
  <c r="X19" i="5"/>
  <c r="V19" i="5"/>
  <c r="P19" i="5" s="1"/>
  <c r="T19" i="5"/>
  <c r="S19" i="5"/>
  <c r="R19" i="5"/>
  <c r="Q19" i="5"/>
  <c r="O19" i="5"/>
  <c r="N19" i="5"/>
  <c r="M19" i="5"/>
  <c r="X18" i="5"/>
  <c r="V18" i="5"/>
  <c r="P18" i="5" s="1"/>
  <c r="T18" i="5"/>
  <c r="S18" i="5"/>
  <c r="R18" i="5"/>
  <c r="Q18" i="5"/>
  <c r="O18" i="5"/>
  <c r="N18" i="5"/>
  <c r="U18" i="5" s="1"/>
  <c r="M18" i="5"/>
  <c r="X17" i="5"/>
  <c r="V17" i="5"/>
  <c r="T17" i="5"/>
  <c r="S17" i="5"/>
  <c r="R17" i="5"/>
  <c r="Q17" i="5"/>
  <c r="P17" i="5"/>
  <c r="O17" i="5"/>
  <c r="N17" i="5"/>
  <c r="M17" i="5"/>
  <c r="U17" i="5" s="1"/>
  <c r="X16" i="5"/>
  <c r="V16" i="5"/>
  <c r="T16" i="5"/>
  <c r="S16" i="5"/>
  <c r="R16" i="5"/>
  <c r="Q16" i="5"/>
  <c r="P16" i="5"/>
  <c r="O16" i="5"/>
  <c r="N16" i="5"/>
  <c r="M16" i="5"/>
  <c r="U16" i="5" s="1"/>
  <c r="X15" i="5"/>
  <c r="V15" i="5"/>
  <c r="T15" i="5"/>
  <c r="S15" i="5"/>
  <c r="R15" i="5"/>
  <c r="Q15" i="5"/>
  <c r="P15" i="5"/>
  <c r="O15" i="5"/>
  <c r="N15" i="5"/>
  <c r="M15" i="5"/>
  <c r="X14" i="5"/>
  <c r="V14" i="5"/>
  <c r="P14" i="5" s="1"/>
  <c r="T14" i="5"/>
  <c r="S14" i="5"/>
  <c r="R14" i="5"/>
  <c r="Q14" i="5"/>
  <c r="O14" i="5"/>
  <c r="N14" i="5"/>
  <c r="M14" i="5"/>
  <c r="X13" i="5"/>
  <c r="V13" i="5"/>
  <c r="P13" i="5" s="1"/>
  <c r="T13" i="5"/>
  <c r="S13" i="5"/>
  <c r="R13" i="5"/>
  <c r="Q13" i="5"/>
  <c r="O13" i="5"/>
  <c r="N13" i="5"/>
  <c r="M13" i="5"/>
  <c r="X12" i="5"/>
  <c r="V12" i="5"/>
  <c r="T12" i="5"/>
  <c r="S12" i="5"/>
  <c r="R12" i="5"/>
  <c r="Q12" i="5"/>
  <c r="P12" i="5"/>
  <c r="O12" i="5"/>
  <c r="N12" i="5"/>
  <c r="M12" i="5"/>
  <c r="U12" i="5" s="1"/>
  <c r="X11" i="5"/>
  <c r="V11" i="5"/>
  <c r="T11" i="5"/>
  <c r="S11" i="5"/>
  <c r="R11" i="5"/>
  <c r="Q11" i="5"/>
  <c r="P11" i="5"/>
  <c r="O11" i="5"/>
  <c r="N11" i="5"/>
  <c r="M11" i="5"/>
  <c r="U11" i="5" s="1"/>
  <c r="X10" i="5"/>
  <c r="V10" i="5"/>
  <c r="P10" i="5" s="1"/>
  <c r="T10" i="5"/>
  <c r="S10" i="5"/>
  <c r="R10" i="5"/>
  <c r="Q10" i="5"/>
  <c r="O10" i="5"/>
  <c r="N10" i="5"/>
  <c r="M10" i="5"/>
  <c r="X9" i="5"/>
  <c r="V9" i="5"/>
  <c r="T9" i="5"/>
  <c r="S9" i="5"/>
  <c r="R9" i="5"/>
  <c r="Q9" i="5"/>
  <c r="P9" i="5"/>
  <c r="O9" i="5"/>
  <c r="N9" i="5"/>
  <c r="M9" i="5"/>
  <c r="U9" i="5" s="1"/>
  <c r="X8" i="5"/>
  <c r="V8" i="5"/>
  <c r="T8" i="5"/>
  <c r="S8" i="5"/>
  <c r="R8" i="5"/>
  <c r="Q8" i="5"/>
  <c r="P8" i="5"/>
  <c r="O8" i="5"/>
  <c r="N8" i="5"/>
  <c r="M8" i="5"/>
  <c r="U8" i="5" s="1"/>
  <c r="X7" i="5"/>
  <c r="V7" i="5"/>
  <c r="T7" i="5"/>
  <c r="S7" i="5"/>
  <c r="R7" i="5"/>
  <c r="Q7" i="5"/>
  <c r="P7" i="5"/>
  <c r="O7" i="5"/>
  <c r="N7" i="5"/>
  <c r="M7" i="5"/>
  <c r="U7" i="5" s="1"/>
  <c r="X6" i="5"/>
  <c r="V6" i="5"/>
  <c r="P6" i="5" s="1"/>
  <c r="T6" i="5"/>
  <c r="S6" i="5"/>
  <c r="R6" i="5"/>
  <c r="Q6" i="5"/>
  <c r="O6" i="5"/>
  <c r="N6" i="5"/>
  <c r="M6" i="5"/>
  <c r="X5" i="5"/>
  <c r="V5" i="5"/>
  <c r="P5" i="5" s="1"/>
  <c r="T5" i="5"/>
  <c r="S5" i="5"/>
  <c r="R5" i="5"/>
  <c r="Q5" i="5"/>
  <c r="O5" i="5"/>
  <c r="N5" i="5"/>
  <c r="M5" i="5"/>
  <c r="U5" i="5" s="1"/>
  <c r="X4" i="5"/>
  <c r="V4" i="5"/>
  <c r="T4" i="5"/>
  <c r="S4" i="5"/>
  <c r="R4" i="5"/>
  <c r="Q4" i="5"/>
  <c r="P4" i="5"/>
  <c r="O4" i="5"/>
  <c r="N4" i="5"/>
  <c r="M4" i="5"/>
  <c r="U4" i="5" s="1"/>
  <c r="X3" i="5"/>
  <c r="V3" i="5"/>
  <c r="T3" i="5"/>
  <c r="S3" i="5"/>
  <c r="R3" i="5"/>
  <c r="D10" i="3" s="1"/>
  <c r="E10" i="3" s="1"/>
  <c r="Q3" i="5"/>
  <c r="P3" i="5"/>
  <c r="O3" i="5"/>
  <c r="N3" i="5"/>
  <c r="M3" i="5"/>
  <c r="U3" i="5" s="1"/>
  <c r="X2" i="5"/>
  <c r="V2" i="5"/>
  <c r="P2" i="5" s="1"/>
  <c r="D8" i="3" s="1"/>
  <c r="E8" i="3" s="1"/>
  <c r="T2" i="5"/>
  <c r="S2" i="5"/>
  <c r="R2" i="5"/>
  <c r="Q2" i="5"/>
  <c r="O2" i="5"/>
  <c r="N2" i="5"/>
  <c r="M2" i="5"/>
  <c r="G12" i="3"/>
  <c r="F12" i="3"/>
  <c r="J12" i="3" s="1"/>
  <c r="D12" i="3"/>
  <c r="E12" i="3" s="1"/>
  <c r="C12" i="3"/>
  <c r="G11" i="3"/>
  <c r="F11" i="3"/>
  <c r="J11" i="3" s="1"/>
  <c r="D11" i="3"/>
  <c r="E11" i="3" s="1"/>
  <c r="C11" i="3"/>
  <c r="G10" i="3"/>
  <c r="F10" i="3"/>
  <c r="J10" i="3" s="1"/>
  <c r="C10" i="3"/>
  <c r="G9" i="3"/>
  <c r="F9" i="3"/>
  <c r="J9" i="3" s="1"/>
  <c r="D9" i="3"/>
  <c r="E9" i="3" s="1"/>
  <c r="C9" i="3"/>
  <c r="G8" i="3"/>
  <c r="F8" i="3"/>
  <c r="J8" i="3" s="1"/>
  <c r="C8" i="3"/>
  <c r="G7" i="3"/>
  <c r="F7" i="3"/>
  <c r="J7" i="3" s="1"/>
  <c r="D7" i="3"/>
  <c r="E7" i="3" s="1"/>
  <c r="C7" i="3"/>
  <c r="G6" i="3"/>
  <c r="F6" i="3"/>
  <c r="J6" i="3" s="1"/>
  <c r="D6" i="3"/>
  <c r="E6" i="3" s="1"/>
  <c r="C6" i="3"/>
  <c r="G5" i="3"/>
  <c r="F5" i="3"/>
  <c r="J5" i="3" s="1"/>
  <c r="J13" i="3" s="1"/>
  <c r="C5" i="3"/>
  <c r="C14" i="2"/>
  <c r="B14" i="2"/>
  <c r="B11" i="2"/>
  <c r="B10" i="2"/>
  <c r="B9" i="2"/>
  <c r="B5" i="2"/>
  <c r="B4" i="2"/>
  <c r="B6" i="2" s="1"/>
  <c r="U10" i="5" l="1"/>
  <c r="U6" i="5"/>
  <c r="U2" i="5"/>
  <c r="U13" i="5"/>
  <c r="U14" i="5"/>
  <c r="U15" i="5"/>
  <c r="U22" i="5"/>
  <c r="U19" i="5"/>
  <c r="U23" i="5"/>
  <c r="U37" i="5"/>
  <c r="U42" i="5"/>
  <c r="U58" i="5"/>
  <c r="U73" i="5"/>
  <c r="U94" i="5"/>
  <c r="U110" i="5"/>
  <c r="U126" i="5"/>
  <c r="U157" i="5"/>
  <c r="U173" i="5"/>
  <c r="U194" i="5"/>
  <c r="U209" i="5"/>
  <c r="U225" i="5"/>
  <c r="U4" i="6"/>
  <c r="U18" i="6"/>
  <c r="U34" i="6"/>
  <c r="U50" i="6"/>
  <c r="U66" i="6"/>
  <c r="U82" i="6"/>
  <c r="U100" i="6"/>
  <c r="U27" i="5"/>
  <c r="U31" i="5"/>
  <c r="U34" i="5"/>
  <c r="U39" i="5"/>
  <c r="U54" i="5"/>
  <c r="U90" i="5"/>
  <c r="U106" i="5"/>
  <c r="U122" i="5"/>
  <c r="U138" i="5"/>
  <c r="U153" i="5"/>
  <c r="U169" i="5"/>
  <c r="U190" i="5"/>
  <c r="U205" i="5"/>
  <c r="U221" i="5"/>
  <c r="U8" i="6"/>
  <c r="U22" i="6"/>
  <c r="U38" i="6"/>
  <c r="U54" i="6"/>
  <c r="U70" i="6"/>
  <c r="U86" i="6"/>
  <c r="D5" i="3"/>
  <c r="E5" i="3" s="1"/>
  <c r="E13" i="3" s="1"/>
  <c r="B7" i="2" s="1"/>
  <c r="H5" i="3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U35" i="5"/>
  <c r="U49" i="5"/>
  <c r="U65" i="5"/>
  <c r="U85" i="5"/>
  <c r="U101" i="5"/>
  <c r="U117" i="5"/>
  <c r="U133" i="5"/>
  <c r="U154" i="5"/>
  <c r="U170" i="5"/>
  <c r="U185" i="5"/>
  <c r="U206" i="5"/>
  <c r="U222" i="5"/>
  <c r="U10" i="6"/>
  <c r="U24" i="6"/>
  <c r="U40" i="6"/>
  <c r="U56" i="6"/>
  <c r="U72" i="6"/>
  <c r="U40" i="5"/>
  <c r="U45" i="5"/>
  <c r="U61" i="5"/>
  <c r="U97" i="5"/>
  <c r="U113" i="5"/>
  <c r="U129" i="5"/>
  <c r="U150" i="5"/>
  <c r="U166" i="5"/>
  <c r="U181" i="5"/>
  <c r="U197" i="5"/>
  <c r="U202" i="5"/>
  <c r="U218" i="5"/>
  <c r="U28" i="6"/>
  <c r="U44" i="6"/>
  <c r="U60" i="6"/>
  <c r="U76" i="6"/>
  <c r="U92" i="6"/>
  <c r="U153" i="6"/>
  <c r="U154" i="6"/>
  <c r="U169" i="6"/>
  <c r="U170" i="6"/>
  <c r="M149" i="10"/>
  <c r="L149" i="10"/>
  <c r="M15" i="10"/>
  <c r="L15" i="10"/>
  <c r="M18" i="10"/>
  <c r="L18" i="10"/>
  <c r="M31" i="10"/>
  <c r="L31" i="10"/>
  <c r="U97" i="6"/>
  <c r="U125" i="6"/>
  <c r="U126" i="6"/>
  <c r="U127" i="6"/>
  <c r="M34" i="10"/>
  <c r="L34" i="10"/>
  <c r="M43" i="10"/>
  <c r="L43" i="10"/>
  <c r="M51" i="10"/>
  <c r="L51" i="10"/>
  <c r="U109" i="6"/>
  <c r="U117" i="6"/>
  <c r="U128" i="6"/>
  <c r="U157" i="6"/>
  <c r="U158" i="6"/>
  <c r="U173" i="6"/>
  <c r="M3" i="10"/>
  <c r="L3" i="10"/>
  <c r="M6" i="10"/>
  <c r="L6" i="10"/>
  <c r="M19" i="10"/>
  <c r="L19" i="10"/>
  <c r="M22" i="10"/>
  <c r="L22" i="10"/>
  <c r="U110" i="6"/>
  <c r="U111" i="6"/>
  <c r="U118" i="6"/>
  <c r="U119" i="6"/>
  <c r="U129" i="6"/>
  <c r="U130" i="6"/>
  <c r="U131" i="6"/>
  <c r="M35" i="10"/>
  <c r="L35" i="10"/>
  <c r="M46" i="10"/>
  <c r="L46" i="10"/>
  <c r="M54" i="10"/>
  <c r="L54" i="10"/>
  <c r="U132" i="6"/>
  <c r="U146" i="6"/>
  <c r="U161" i="6"/>
  <c r="U162" i="6"/>
  <c r="M7" i="10"/>
  <c r="L7" i="10"/>
  <c r="M10" i="10"/>
  <c r="L10" i="10"/>
  <c r="M23" i="10"/>
  <c r="L23" i="10"/>
  <c r="M26" i="10"/>
  <c r="L26" i="10"/>
  <c r="M38" i="10"/>
  <c r="L38" i="10"/>
  <c r="U105" i="6"/>
  <c r="M47" i="10"/>
  <c r="L47" i="10"/>
  <c r="M55" i="10"/>
  <c r="L55" i="10"/>
  <c r="U113" i="6"/>
  <c r="U121" i="6"/>
  <c r="U122" i="6"/>
  <c r="U149" i="6"/>
  <c r="U150" i="6"/>
  <c r="U165" i="6"/>
  <c r="U166" i="6"/>
  <c r="M11" i="10"/>
  <c r="L11" i="10"/>
  <c r="M14" i="10"/>
  <c r="L14" i="10"/>
  <c r="M27" i="10"/>
  <c r="L27" i="10"/>
  <c r="M30" i="10"/>
  <c r="L30" i="10"/>
  <c r="M39" i="10"/>
  <c r="L39" i="10"/>
  <c r="U101" i="6"/>
  <c r="U107" i="6"/>
  <c r="U114" i="6"/>
  <c r="M42" i="10"/>
  <c r="L42" i="10"/>
  <c r="M50" i="10"/>
  <c r="L50" i="10"/>
  <c r="M58" i="10"/>
  <c r="L58" i="10"/>
  <c r="G2" i="10"/>
  <c r="G6" i="10"/>
  <c r="G10" i="10"/>
  <c r="G14" i="10"/>
  <c r="G18" i="10"/>
  <c r="G22" i="10"/>
  <c r="G26" i="10"/>
  <c r="G30" i="10"/>
  <c r="G34" i="10"/>
  <c r="G38" i="10"/>
  <c r="G42" i="10"/>
  <c r="G46" i="10"/>
  <c r="G50" i="10"/>
  <c r="G54" i="10"/>
  <c r="G58" i="10"/>
  <c r="G61" i="10"/>
  <c r="K66" i="10"/>
  <c r="I66" i="10"/>
  <c r="G69" i="10"/>
  <c r="K74" i="10"/>
  <c r="I74" i="10"/>
  <c r="I82" i="10"/>
  <c r="K118" i="10"/>
  <c r="K123" i="10"/>
  <c r="H123" i="10"/>
  <c r="I123" i="10" s="1"/>
  <c r="G123" i="10"/>
  <c r="K125" i="10"/>
  <c r="K148" i="10"/>
  <c r="I155" i="10"/>
  <c r="K155" i="10"/>
  <c r="H155" i="10"/>
  <c r="G155" i="10"/>
  <c r="H2" i="10"/>
  <c r="H6" i="10"/>
  <c r="H10" i="10"/>
  <c r="H14" i="10"/>
  <c r="H18" i="10"/>
  <c r="H22" i="10"/>
  <c r="H26" i="10"/>
  <c r="H30" i="10"/>
  <c r="H34" i="10"/>
  <c r="H38" i="10"/>
  <c r="H42" i="10"/>
  <c r="H46" i="10"/>
  <c r="H50" i="10"/>
  <c r="H54" i="10"/>
  <c r="H58" i="10"/>
  <c r="K63" i="10"/>
  <c r="G66" i="10"/>
  <c r="K71" i="10"/>
  <c r="G74" i="10"/>
  <c r="H103" i="10"/>
  <c r="I103" i="10" s="1"/>
  <c r="G103" i="10"/>
  <c r="K116" i="10"/>
  <c r="K136" i="10"/>
  <c r="K143" i="10"/>
  <c r="H143" i="10"/>
  <c r="I143" i="10" s="1"/>
  <c r="G143" i="10"/>
  <c r="K145" i="10"/>
  <c r="K157" i="10"/>
  <c r="K60" i="10"/>
  <c r="I60" i="10"/>
  <c r="K68" i="10"/>
  <c r="K76" i="10"/>
  <c r="K124" i="10"/>
  <c r="K131" i="10"/>
  <c r="H131" i="10"/>
  <c r="I131" i="10" s="1"/>
  <c r="G131" i="10"/>
  <c r="K133" i="10"/>
  <c r="K156" i="10"/>
  <c r="K2" i="10"/>
  <c r="I4" i="10"/>
  <c r="H5" i="10"/>
  <c r="I5" i="10" s="1"/>
  <c r="I8" i="10"/>
  <c r="H9" i="10"/>
  <c r="I9" i="10" s="1"/>
  <c r="I12" i="10"/>
  <c r="H13" i="10"/>
  <c r="I13" i="10" s="1"/>
  <c r="I16" i="10"/>
  <c r="H17" i="10"/>
  <c r="I17" i="10" s="1"/>
  <c r="I20" i="10"/>
  <c r="H21" i="10"/>
  <c r="I21" i="10" s="1"/>
  <c r="I24" i="10"/>
  <c r="H25" i="10"/>
  <c r="I25" i="10" s="1"/>
  <c r="I28" i="10"/>
  <c r="H29" i="10"/>
  <c r="I29" i="10" s="1"/>
  <c r="I32" i="10"/>
  <c r="H33" i="10"/>
  <c r="I33" i="10" s="1"/>
  <c r="I36" i="10"/>
  <c r="H37" i="10"/>
  <c r="I37" i="10" s="1"/>
  <c r="I40" i="10"/>
  <c r="H41" i="10"/>
  <c r="I41" i="10" s="1"/>
  <c r="I44" i="10"/>
  <c r="H45" i="10"/>
  <c r="I45" i="10" s="1"/>
  <c r="I48" i="10"/>
  <c r="H49" i="10"/>
  <c r="I49" i="10" s="1"/>
  <c r="I52" i="10"/>
  <c r="H53" i="10"/>
  <c r="I53" i="10" s="1"/>
  <c r="I56" i="10"/>
  <c r="H57" i="10"/>
  <c r="I57" i="10" s="1"/>
  <c r="G60" i="10"/>
  <c r="H63" i="10"/>
  <c r="I63" i="10" s="1"/>
  <c r="K65" i="10"/>
  <c r="I65" i="10"/>
  <c r="G68" i="10"/>
  <c r="H71" i="10"/>
  <c r="I71" i="10" s="1"/>
  <c r="K73" i="10"/>
  <c r="K103" i="10"/>
  <c r="K119" i="10"/>
  <c r="H119" i="10"/>
  <c r="I119" i="10" s="1"/>
  <c r="G119" i="10"/>
  <c r="K121" i="10"/>
  <c r="K144" i="10"/>
  <c r="K151" i="10"/>
  <c r="H151" i="10"/>
  <c r="I151" i="10" s="1"/>
  <c r="G151" i="10"/>
  <c r="K153" i="10"/>
  <c r="G4" i="10"/>
  <c r="G8" i="10"/>
  <c r="G12" i="10"/>
  <c r="G16" i="10"/>
  <c r="G20" i="10"/>
  <c r="G24" i="10"/>
  <c r="G28" i="10"/>
  <c r="G32" i="10"/>
  <c r="G36" i="10"/>
  <c r="G40" i="10"/>
  <c r="G44" i="10"/>
  <c r="G48" i="10"/>
  <c r="G52" i="10"/>
  <c r="G56" i="10"/>
  <c r="H60" i="10"/>
  <c r="K62" i="10"/>
  <c r="I62" i="10"/>
  <c r="G65" i="10"/>
  <c r="H68" i="10"/>
  <c r="I68" i="10" s="1"/>
  <c r="K70" i="10"/>
  <c r="I70" i="10"/>
  <c r="G73" i="10"/>
  <c r="I78" i="10"/>
  <c r="I86" i="10"/>
  <c r="I100" i="10"/>
  <c r="G106" i="10"/>
  <c r="K106" i="10"/>
  <c r="H106" i="10"/>
  <c r="I106" i="10" s="1"/>
  <c r="K110" i="10"/>
  <c r="K132" i="10"/>
  <c r="I139" i="10"/>
  <c r="K139" i="10"/>
  <c r="H139" i="10"/>
  <c r="G139" i="10"/>
  <c r="K141" i="10"/>
  <c r="K5" i="10"/>
  <c r="K9" i="10"/>
  <c r="K13" i="10"/>
  <c r="K17" i="10"/>
  <c r="K21" i="10"/>
  <c r="K25" i="10"/>
  <c r="K29" i="10"/>
  <c r="I31" i="10"/>
  <c r="K33" i="10"/>
  <c r="I35" i="10"/>
  <c r="K37" i="10"/>
  <c r="I39" i="10"/>
  <c r="K41" i="10"/>
  <c r="I43" i="10"/>
  <c r="K45" i="10"/>
  <c r="I47" i="10"/>
  <c r="K49" i="10"/>
  <c r="I51" i="10"/>
  <c r="K53" i="10"/>
  <c r="I55" i="10"/>
  <c r="K57" i="10"/>
  <c r="K59" i="10"/>
  <c r="I59" i="10"/>
  <c r="K67" i="10"/>
  <c r="I67" i="10"/>
  <c r="H73" i="10"/>
  <c r="I73" i="10" s="1"/>
  <c r="K75" i="10"/>
  <c r="I83" i="10"/>
  <c r="K108" i="10"/>
  <c r="K120" i="10"/>
  <c r="K127" i="10"/>
  <c r="H127" i="10"/>
  <c r="I127" i="10" s="1"/>
  <c r="G127" i="10"/>
  <c r="K129" i="10"/>
  <c r="K152" i="10"/>
  <c r="G3" i="10"/>
  <c r="G7" i="10"/>
  <c r="G11" i="10"/>
  <c r="G15" i="10"/>
  <c r="G19" i="10"/>
  <c r="G23" i="10"/>
  <c r="G27" i="10"/>
  <c r="G31" i="10"/>
  <c r="G35" i="10"/>
  <c r="G39" i="10"/>
  <c r="K64" i="10"/>
  <c r="I64" i="10"/>
  <c r="K72" i="10"/>
  <c r="I72" i="10"/>
  <c r="G98" i="10"/>
  <c r="K98" i="10"/>
  <c r="H98" i="10"/>
  <c r="K102" i="10"/>
  <c r="K140" i="10"/>
  <c r="K147" i="10"/>
  <c r="H147" i="10"/>
  <c r="I147" i="10" s="1"/>
  <c r="G147" i="10"/>
  <c r="K485" i="10"/>
  <c r="K477" i="10"/>
  <c r="K469" i="10"/>
  <c r="K487" i="10"/>
  <c r="K479" i="10"/>
  <c r="K471" i="10"/>
  <c r="K508" i="10"/>
  <c r="K504" i="10"/>
  <c r="K500" i="10"/>
  <c r="K496" i="10"/>
  <c r="K492" i="10"/>
  <c r="K481" i="10"/>
  <c r="K473" i="10"/>
  <c r="K465" i="10"/>
  <c r="K457" i="10"/>
  <c r="K509" i="10"/>
  <c r="K505" i="10"/>
  <c r="K501" i="10"/>
  <c r="K497" i="10"/>
  <c r="K493" i="10"/>
  <c r="K489" i="10"/>
  <c r="K463" i="10"/>
  <c r="K445" i="10"/>
  <c r="K429" i="10"/>
  <c r="K475" i="10"/>
  <c r="K461" i="10"/>
  <c r="K443" i="10"/>
  <c r="K435" i="10"/>
  <c r="K425" i="10"/>
  <c r="K417" i="10"/>
  <c r="K459" i="10"/>
  <c r="K455" i="10"/>
  <c r="K441" i="10"/>
  <c r="K427" i="10"/>
  <c r="K426" i="10"/>
  <c r="K453" i="10"/>
  <c r="K433" i="10"/>
  <c r="K451" i="10"/>
  <c r="K439" i="10"/>
  <c r="K483" i="10"/>
  <c r="K449" i="10"/>
  <c r="K431" i="10"/>
  <c r="K467" i="10"/>
  <c r="K437" i="10"/>
  <c r="K434" i="10"/>
  <c r="K423" i="10"/>
  <c r="K415" i="10"/>
  <c r="K407" i="10"/>
  <c r="K422" i="10"/>
  <c r="K406" i="10"/>
  <c r="K387" i="10"/>
  <c r="K379" i="10"/>
  <c r="K371" i="10"/>
  <c r="K363" i="10"/>
  <c r="K414" i="10"/>
  <c r="K401" i="10"/>
  <c r="K393" i="10"/>
  <c r="K409" i="10"/>
  <c r="K399" i="10"/>
  <c r="K341" i="10"/>
  <c r="K336" i="10"/>
  <c r="K328" i="10"/>
  <c r="K375" i="10"/>
  <c r="K355" i="10"/>
  <c r="K330" i="10"/>
  <c r="K322" i="10"/>
  <c r="K314" i="10"/>
  <c r="K367" i="10"/>
  <c r="K339" i="10"/>
  <c r="K447" i="10"/>
  <c r="K343" i="10"/>
  <c r="K332" i="10"/>
  <c r="K324" i="10"/>
  <c r="K316" i="10"/>
  <c r="K308" i="10"/>
  <c r="K300" i="10"/>
  <c r="K292" i="10"/>
  <c r="K291" i="10"/>
  <c r="K290" i="10"/>
  <c r="K289" i="10"/>
  <c r="K288" i="10"/>
  <c r="K350" i="10"/>
  <c r="K347" i="10"/>
  <c r="K359" i="10"/>
  <c r="K354" i="10"/>
  <c r="K335" i="10"/>
  <c r="K327" i="10"/>
  <c r="K319" i="10"/>
  <c r="K311" i="10"/>
  <c r="K304" i="10"/>
  <c r="K301" i="10"/>
  <c r="K326" i="10"/>
  <c r="K294" i="10"/>
  <c r="K351" i="10"/>
  <c r="K302" i="10"/>
  <c r="K295" i="10"/>
  <c r="K383" i="10"/>
  <c r="K334" i="10"/>
  <c r="K312" i="10"/>
  <c r="K303" i="10"/>
  <c r="K310" i="10"/>
  <c r="K293" i="10"/>
  <c r="K390" i="10"/>
  <c r="K320" i="10"/>
  <c r="K318" i="10"/>
  <c r="K158" i="10"/>
  <c r="K154" i="10"/>
  <c r="K150" i="10"/>
  <c r="K146" i="10"/>
  <c r="K142" i="10"/>
  <c r="K138" i="10"/>
  <c r="K134" i="10"/>
  <c r="K130" i="10"/>
  <c r="K126" i="10"/>
  <c r="K122" i="10"/>
  <c r="K159" i="10"/>
  <c r="K112" i="10"/>
  <c r="K104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160" i="10"/>
  <c r="K113" i="10"/>
  <c r="K105" i="10"/>
  <c r="K97" i="10"/>
  <c r="I2" i="10"/>
  <c r="K161" i="10"/>
  <c r="K115" i="10"/>
  <c r="K107" i="10"/>
  <c r="K99" i="10"/>
  <c r="K162" i="10"/>
  <c r="K117" i="10"/>
  <c r="K109" i="10"/>
  <c r="K101" i="10"/>
  <c r="H3" i="10"/>
  <c r="I3" i="10" s="1"/>
  <c r="K4" i="10"/>
  <c r="I6" i="10"/>
  <c r="H7" i="10"/>
  <c r="I7" i="10" s="1"/>
  <c r="K8" i="10"/>
  <c r="I10" i="10"/>
  <c r="H11" i="10"/>
  <c r="I11" i="10" s="1"/>
  <c r="K12" i="10"/>
  <c r="I14" i="10"/>
  <c r="H15" i="10"/>
  <c r="I15" i="10" s="1"/>
  <c r="K16" i="10"/>
  <c r="I18" i="10"/>
  <c r="H19" i="10"/>
  <c r="I19" i="10" s="1"/>
  <c r="K20" i="10"/>
  <c r="I22" i="10"/>
  <c r="H23" i="10"/>
  <c r="I23" i="10" s="1"/>
  <c r="K24" i="10"/>
  <c r="I26" i="10"/>
  <c r="H27" i="10"/>
  <c r="I27" i="10" s="1"/>
  <c r="K28" i="10"/>
  <c r="I30" i="10"/>
  <c r="K32" i="10"/>
  <c r="I34" i="10"/>
  <c r="K36" i="10"/>
  <c r="I38" i="10"/>
  <c r="K40" i="10"/>
  <c r="I42" i="10"/>
  <c r="K44" i="10"/>
  <c r="I46" i="10"/>
  <c r="K48" i="10"/>
  <c r="I50" i="10"/>
  <c r="K52" i="10"/>
  <c r="I54" i="10"/>
  <c r="K56" i="10"/>
  <c r="I58" i="10"/>
  <c r="K61" i="10"/>
  <c r="I61" i="10"/>
  <c r="G64" i="10"/>
  <c r="K69" i="10"/>
  <c r="I69" i="10"/>
  <c r="G72" i="10"/>
  <c r="I98" i="10"/>
  <c r="K100" i="10"/>
  <c r="K111" i="10"/>
  <c r="H111" i="10"/>
  <c r="I111" i="10" s="1"/>
  <c r="G111" i="10"/>
  <c r="K128" i="10"/>
  <c r="I135" i="10"/>
  <c r="K135" i="10"/>
  <c r="H135" i="10"/>
  <c r="G135" i="10"/>
  <c r="K137" i="10"/>
  <c r="I99" i="10"/>
  <c r="I107" i="10"/>
  <c r="H114" i="10"/>
  <c r="I114" i="10" s="1"/>
  <c r="I115" i="10"/>
  <c r="G120" i="10"/>
  <c r="G124" i="10"/>
  <c r="G128" i="10"/>
  <c r="G132" i="10"/>
  <c r="G136" i="10"/>
  <c r="G140" i="10"/>
  <c r="G144" i="10"/>
  <c r="G148" i="10"/>
  <c r="G152" i="10"/>
  <c r="G156" i="10"/>
  <c r="K177" i="10"/>
  <c r="G177" i="10"/>
  <c r="K186" i="10"/>
  <c r="H186" i="10"/>
  <c r="I186" i="10" s="1"/>
  <c r="K193" i="10"/>
  <c r="G193" i="10"/>
  <c r="K166" i="10"/>
  <c r="H166" i="10"/>
  <c r="I166" i="10"/>
  <c r="K169" i="10"/>
  <c r="G169" i="10"/>
  <c r="K183" i="10"/>
  <c r="H183" i="10"/>
  <c r="I183" i="10" s="1"/>
  <c r="K202" i="10"/>
  <c r="H202" i="10"/>
  <c r="G202" i="10"/>
  <c r="K218" i="10"/>
  <c r="H218" i="10"/>
  <c r="G218" i="10"/>
  <c r="I75" i="10"/>
  <c r="I76" i="10"/>
  <c r="G102" i="10"/>
  <c r="G110" i="10"/>
  <c r="K114" i="10"/>
  <c r="G118" i="10"/>
  <c r="I122" i="10"/>
  <c r="I126" i="10"/>
  <c r="I130" i="10"/>
  <c r="I134" i="10"/>
  <c r="I138" i="10"/>
  <c r="I142" i="10"/>
  <c r="I146" i="10"/>
  <c r="I150" i="10"/>
  <c r="I154" i="10"/>
  <c r="G166" i="10"/>
  <c r="H169" i="10"/>
  <c r="K174" i="10"/>
  <c r="H174" i="10"/>
  <c r="G174" i="10"/>
  <c r="I174" i="10"/>
  <c r="G183" i="10"/>
  <c r="K190" i="10"/>
  <c r="H190" i="10"/>
  <c r="I190" i="10" s="1"/>
  <c r="G190" i="10"/>
  <c r="I202" i="10"/>
  <c r="K207" i="10"/>
  <c r="I207" i="10"/>
  <c r="H207" i="10"/>
  <c r="G207" i="10"/>
  <c r="I218" i="10"/>
  <c r="I169" i="10"/>
  <c r="K178" i="10"/>
  <c r="H178" i="10"/>
  <c r="I178" i="10" s="1"/>
  <c r="K185" i="10"/>
  <c r="G185" i="10"/>
  <c r="K194" i="10"/>
  <c r="H194" i="10"/>
  <c r="I194" i="10" s="1"/>
  <c r="K226" i="10"/>
  <c r="H226" i="10"/>
  <c r="I226" i="10" s="1"/>
  <c r="G226" i="10"/>
  <c r="G100" i="10"/>
  <c r="I102" i="10"/>
  <c r="G108" i="10"/>
  <c r="I110" i="10"/>
  <c r="G116" i="10"/>
  <c r="I118" i="10"/>
  <c r="I121" i="10"/>
  <c r="I129" i="10"/>
  <c r="I141" i="10"/>
  <c r="I153" i="10"/>
  <c r="I157" i="10"/>
  <c r="G178" i="10"/>
  <c r="H185" i="10"/>
  <c r="I185" i="10" s="1"/>
  <c r="G194" i="10"/>
  <c r="K165" i="10"/>
  <c r="G165" i="10"/>
  <c r="H165" i="10"/>
  <c r="K167" i="10"/>
  <c r="I167" i="10"/>
  <c r="K170" i="10"/>
  <c r="H170" i="10"/>
  <c r="I170" i="10" s="1"/>
  <c r="K175" i="10"/>
  <c r="I175" i="10"/>
  <c r="H175" i="10"/>
  <c r="K191" i="10"/>
  <c r="I191" i="10"/>
  <c r="H191" i="10"/>
  <c r="K210" i="10"/>
  <c r="H210" i="10"/>
  <c r="G210" i="10"/>
  <c r="K234" i="10"/>
  <c r="H234" i="10"/>
  <c r="I234" i="10" s="1"/>
  <c r="G234" i="10"/>
  <c r="I120" i="10"/>
  <c r="H121" i="10"/>
  <c r="I124" i="10"/>
  <c r="H125" i="10"/>
  <c r="I125" i="10" s="1"/>
  <c r="I128" i="10"/>
  <c r="H129" i="10"/>
  <c r="I132" i="10"/>
  <c r="H133" i="10"/>
  <c r="I133" i="10" s="1"/>
  <c r="I136" i="10"/>
  <c r="H137" i="10"/>
  <c r="I137" i="10" s="1"/>
  <c r="I140" i="10"/>
  <c r="H141" i="10"/>
  <c r="I144" i="10"/>
  <c r="H145" i="10"/>
  <c r="I145" i="10" s="1"/>
  <c r="I148" i="10"/>
  <c r="H149" i="10"/>
  <c r="I149" i="10" s="1"/>
  <c r="I152" i="10"/>
  <c r="H153" i="10"/>
  <c r="I156" i="10"/>
  <c r="I165" i="10"/>
  <c r="G167" i="10"/>
  <c r="G170" i="10"/>
  <c r="G175" i="10"/>
  <c r="K182" i="10"/>
  <c r="H182" i="10"/>
  <c r="G182" i="10"/>
  <c r="I182" i="10"/>
  <c r="G191" i="10"/>
  <c r="K199" i="10"/>
  <c r="H199" i="10"/>
  <c r="I199" i="10" s="1"/>
  <c r="G199" i="10"/>
  <c r="I210" i="10"/>
  <c r="K215" i="10"/>
  <c r="H215" i="10"/>
  <c r="I215" i="10" s="1"/>
  <c r="G215" i="10"/>
  <c r="I246" i="10"/>
  <c r="I278" i="10"/>
  <c r="K163" i="10"/>
  <c r="K171" i="10"/>
  <c r="K179" i="10"/>
  <c r="K187" i="10"/>
  <c r="K195" i="10"/>
  <c r="K203" i="10"/>
  <c r="K211" i="10"/>
  <c r="K219" i="10"/>
  <c r="K227" i="10"/>
  <c r="K235" i="10"/>
  <c r="K243" i="10"/>
  <c r="K251" i="10"/>
  <c r="K259" i="10"/>
  <c r="K267" i="10"/>
  <c r="K275" i="10"/>
  <c r="K283" i="10"/>
  <c r="I295" i="10"/>
  <c r="H299" i="10"/>
  <c r="I299" i="10" s="1"/>
  <c r="K307" i="10"/>
  <c r="I307" i="10"/>
  <c r="K323" i="10"/>
  <c r="I336" i="10"/>
  <c r="K362" i="10"/>
  <c r="H362" i="10"/>
  <c r="I362" i="10" s="1"/>
  <c r="G362" i="10"/>
  <c r="K242" i="10"/>
  <c r="K250" i="10"/>
  <c r="K258" i="10"/>
  <c r="K266" i="10"/>
  <c r="K274" i="10"/>
  <c r="K282" i="10"/>
  <c r="K305" i="10"/>
  <c r="H305" i="10"/>
  <c r="I305" i="10" s="1"/>
  <c r="G305" i="10"/>
  <c r="K315" i="10"/>
  <c r="G315" i="10"/>
  <c r="K321" i="10"/>
  <c r="H321" i="10"/>
  <c r="I321" i="10" s="1"/>
  <c r="G321" i="10"/>
  <c r="K346" i="10"/>
  <c r="K201" i="10"/>
  <c r="K209" i="10"/>
  <c r="K217" i="10"/>
  <c r="K225" i="10"/>
  <c r="K233" i="10"/>
  <c r="K241" i="10"/>
  <c r="G242" i="10"/>
  <c r="K249" i="10"/>
  <c r="G250" i="10"/>
  <c r="K257" i="10"/>
  <c r="G258" i="10"/>
  <c r="K265" i="10"/>
  <c r="G266" i="10"/>
  <c r="K273" i="10"/>
  <c r="G274" i="10"/>
  <c r="K281" i="10"/>
  <c r="K296" i="10"/>
  <c r="G298" i="10"/>
  <c r="G309" i="10"/>
  <c r="K309" i="10"/>
  <c r="I311" i="10"/>
  <c r="H315" i="10"/>
  <c r="I315" i="10" s="1"/>
  <c r="K337" i="10"/>
  <c r="I337" i="10"/>
  <c r="H337" i="10"/>
  <c r="G337" i="10"/>
  <c r="H349" i="10"/>
  <c r="I349" i="10" s="1"/>
  <c r="K349" i="10"/>
  <c r="G349" i="10"/>
  <c r="K168" i="10"/>
  <c r="K176" i="10"/>
  <c r="K184" i="10"/>
  <c r="K192" i="10"/>
  <c r="K200" i="10"/>
  <c r="G201" i="10"/>
  <c r="K208" i="10"/>
  <c r="G209" i="10"/>
  <c r="K216" i="10"/>
  <c r="G217" i="10"/>
  <c r="K224" i="10"/>
  <c r="G225" i="10"/>
  <c r="K232" i="10"/>
  <c r="G233" i="10"/>
  <c r="K240" i="10"/>
  <c r="G241" i="10"/>
  <c r="H242" i="10"/>
  <c r="K248" i="10"/>
  <c r="G249" i="10"/>
  <c r="H250" i="10"/>
  <c r="K256" i="10"/>
  <c r="G257" i="10"/>
  <c r="H258" i="10"/>
  <c r="K264" i="10"/>
  <c r="G265" i="10"/>
  <c r="H266" i="10"/>
  <c r="I266" i="10" s="1"/>
  <c r="K272" i="10"/>
  <c r="G273" i="10"/>
  <c r="H274" i="10"/>
  <c r="K280" i="10"/>
  <c r="G281" i="10"/>
  <c r="G294" i="10"/>
  <c r="H298" i="10"/>
  <c r="I298" i="10" s="1"/>
  <c r="K299" i="10"/>
  <c r="H309" i="10"/>
  <c r="I309" i="10" s="1"/>
  <c r="K313" i="10"/>
  <c r="I313" i="10"/>
  <c r="H313" i="10"/>
  <c r="G313" i="10"/>
  <c r="K223" i="10"/>
  <c r="K231" i="10"/>
  <c r="K239" i="10"/>
  <c r="I242" i="10"/>
  <c r="K247" i="10"/>
  <c r="I250" i="10"/>
  <c r="K255" i="10"/>
  <c r="I258" i="10"/>
  <c r="K263" i="10"/>
  <c r="K271" i="10"/>
  <c r="I274" i="10"/>
  <c r="K279" i="10"/>
  <c r="K287" i="10"/>
  <c r="K297" i="10"/>
  <c r="H297" i="10"/>
  <c r="I306" i="10"/>
  <c r="H306" i="10"/>
  <c r="K331" i="10"/>
  <c r="K338" i="10"/>
  <c r="K198" i="10"/>
  <c r="K206" i="10"/>
  <c r="K214" i="10"/>
  <c r="K222" i="10"/>
  <c r="G223" i="10"/>
  <c r="K230" i="10"/>
  <c r="G231" i="10"/>
  <c r="K238" i="10"/>
  <c r="G239" i="10"/>
  <c r="K246" i="10"/>
  <c r="G247" i="10"/>
  <c r="K254" i="10"/>
  <c r="G255" i="10"/>
  <c r="K262" i="10"/>
  <c r="G263" i="10"/>
  <c r="K270" i="10"/>
  <c r="G271" i="10"/>
  <c r="K278" i="10"/>
  <c r="G279" i="10"/>
  <c r="K286" i="10"/>
  <c r="G297" i="10"/>
  <c r="K298" i="10"/>
  <c r="G306" i="10"/>
  <c r="K372" i="10"/>
  <c r="H398" i="10"/>
  <c r="I398" i="10"/>
  <c r="K398" i="10"/>
  <c r="G398" i="10"/>
  <c r="K173" i="10"/>
  <c r="K181" i="10"/>
  <c r="K189" i="10"/>
  <c r="K197" i="10"/>
  <c r="G198" i="10"/>
  <c r="K205" i="10"/>
  <c r="G206" i="10"/>
  <c r="K213" i="10"/>
  <c r="G214" i="10"/>
  <c r="K221" i="10"/>
  <c r="G222" i="10"/>
  <c r="H223" i="10"/>
  <c r="K229" i="10"/>
  <c r="G230" i="10"/>
  <c r="H231" i="10"/>
  <c r="K237" i="10"/>
  <c r="G238" i="10"/>
  <c r="H239" i="10"/>
  <c r="K245" i="10"/>
  <c r="G246" i="10"/>
  <c r="H247" i="10"/>
  <c r="I247" i="10" s="1"/>
  <c r="K253" i="10"/>
  <c r="G254" i="10"/>
  <c r="H255" i="10"/>
  <c r="K261" i="10"/>
  <c r="G262" i="10"/>
  <c r="H263" i="10"/>
  <c r="I263" i="10" s="1"/>
  <c r="K269" i="10"/>
  <c r="G270" i="10"/>
  <c r="H271" i="10"/>
  <c r="K277" i="10"/>
  <c r="G278" i="10"/>
  <c r="H279" i="10"/>
  <c r="I279" i="10" s="1"/>
  <c r="K285" i="10"/>
  <c r="I297" i="10"/>
  <c r="I314" i="10"/>
  <c r="K329" i="10"/>
  <c r="I329" i="10"/>
  <c r="H329" i="10"/>
  <c r="G329" i="10"/>
  <c r="K164" i="10"/>
  <c r="K172" i="10"/>
  <c r="G173" i="10"/>
  <c r="K180" i="10"/>
  <c r="G181" i="10"/>
  <c r="K188" i="10"/>
  <c r="G189" i="10"/>
  <c r="K196" i="10"/>
  <c r="G197" i="10"/>
  <c r="H198" i="10"/>
  <c r="I198" i="10" s="1"/>
  <c r="K204" i="10"/>
  <c r="G205" i="10"/>
  <c r="H206" i="10"/>
  <c r="I206" i="10" s="1"/>
  <c r="K212" i="10"/>
  <c r="G213" i="10"/>
  <c r="H214" i="10"/>
  <c r="I214" i="10" s="1"/>
  <c r="K220" i="10"/>
  <c r="G221" i="10"/>
  <c r="H222" i="10"/>
  <c r="I222" i="10" s="1"/>
  <c r="I223" i="10"/>
  <c r="K228" i="10"/>
  <c r="G229" i="10"/>
  <c r="H230" i="10"/>
  <c r="I230" i="10" s="1"/>
  <c r="I231" i="10"/>
  <c r="K236" i="10"/>
  <c r="G237" i="10"/>
  <c r="H238" i="10"/>
  <c r="I238" i="10" s="1"/>
  <c r="I239" i="10"/>
  <c r="K244" i="10"/>
  <c r="G245" i="10"/>
  <c r="H246" i="10"/>
  <c r="K252" i="10"/>
  <c r="G253" i="10"/>
  <c r="H254" i="10"/>
  <c r="I254" i="10" s="1"/>
  <c r="I255" i="10"/>
  <c r="K260" i="10"/>
  <c r="G261" i="10"/>
  <c r="H262" i="10"/>
  <c r="I262" i="10" s="1"/>
  <c r="K268" i="10"/>
  <c r="G269" i="10"/>
  <c r="H270" i="10"/>
  <c r="I270" i="10" s="1"/>
  <c r="I271" i="10"/>
  <c r="K276" i="10"/>
  <c r="G277" i="10"/>
  <c r="H278" i="10"/>
  <c r="K284" i="10"/>
  <c r="I293" i="10"/>
  <c r="H296" i="10"/>
  <c r="I296" i="10" s="1"/>
  <c r="K306" i="10"/>
  <c r="I317" i="10"/>
  <c r="G323" i="10"/>
  <c r="I325" i="10"/>
  <c r="G331" i="10"/>
  <c r="I333" i="10"/>
  <c r="I342" i="10"/>
  <c r="G346" i="10"/>
  <c r="K353" i="10"/>
  <c r="H353" i="10"/>
  <c r="I353" i="10" s="1"/>
  <c r="K356" i="10"/>
  <c r="H358" i="10"/>
  <c r="I358" i="10"/>
  <c r="K369" i="10"/>
  <c r="K386" i="10"/>
  <c r="I386" i="10"/>
  <c r="H386" i="10"/>
  <c r="G386" i="10"/>
  <c r="H314" i="10"/>
  <c r="K317" i="10"/>
  <c r="I323" i="10"/>
  <c r="K325" i="10"/>
  <c r="I331" i="10"/>
  <c r="K333" i="10"/>
  <c r="K370" i="10"/>
  <c r="H370" i="10"/>
  <c r="I370" i="10" s="1"/>
  <c r="G370" i="10"/>
  <c r="K377" i="10"/>
  <c r="I384" i="10"/>
  <c r="G304" i="10"/>
  <c r="G312" i="10"/>
  <c r="G320" i="10"/>
  <c r="G328" i="10"/>
  <c r="G336" i="10"/>
  <c r="I338" i="10"/>
  <c r="G345" i="10"/>
  <c r="G352" i="10"/>
  <c r="K352" i="10"/>
  <c r="K358" i="10"/>
  <c r="H336" i="10"/>
  <c r="K342" i="10"/>
  <c r="I345" i="10"/>
  <c r="K348" i="10"/>
  <c r="G348" i="10"/>
  <c r="I354" i="10"/>
  <c r="K380" i="10"/>
  <c r="K394" i="10"/>
  <c r="G344" i="10"/>
  <c r="K344" i="10"/>
  <c r="H348" i="10"/>
  <c r="G357" i="10"/>
  <c r="K357" i="10"/>
  <c r="H357" i="10"/>
  <c r="I357" i="10" s="1"/>
  <c r="K378" i="10"/>
  <c r="I378" i="10"/>
  <c r="H378" i="10"/>
  <c r="G378" i="10"/>
  <c r="K385" i="10"/>
  <c r="K340" i="10"/>
  <c r="G340" i="10"/>
  <c r="H344" i="10"/>
  <c r="I344" i="10" s="1"/>
  <c r="K345" i="10"/>
  <c r="I348" i="10"/>
  <c r="I350" i="10"/>
  <c r="H354" i="10"/>
  <c r="I346" i="10"/>
  <c r="K361" i="10"/>
  <c r="K364" i="10"/>
  <c r="K388" i="10"/>
  <c r="K397" i="10"/>
  <c r="G356" i="10"/>
  <c r="K360" i="10"/>
  <c r="G364" i="10"/>
  <c r="H365" i="10"/>
  <c r="I365" i="10" s="1"/>
  <c r="I366" i="10"/>
  <c r="K368" i="10"/>
  <c r="G372" i="10"/>
  <c r="H373" i="10"/>
  <c r="I373" i="10" s="1"/>
  <c r="I374" i="10"/>
  <c r="K376" i="10"/>
  <c r="G380" i="10"/>
  <c r="H381" i="10"/>
  <c r="I381" i="10" s="1"/>
  <c r="I382" i="10"/>
  <c r="K384" i="10"/>
  <c r="G388" i="10"/>
  <c r="H389" i="10"/>
  <c r="I389" i="10" s="1"/>
  <c r="H393" i="10"/>
  <c r="I393" i="10" s="1"/>
  <c r="G393" i="10"/>
  <c r="H403" i="10"/>
  <c r="I403" i="10" s="1"/>
  <c r="K403" i="10"/>
  <c r="H405" i="10"/>
  <c r="I405" i="10" s="1"/>
  <c r="G405" i="10"/>
  <c r="K405" i="10"/>
  <c r="H418" i="10"/>
  <c r="I418" i="10" s="1"/>
  <c r="K418" i="10"/>
  <c r="G418" i="10"/>
  <c r="K366" i="10"/>
  <c r="K374" i="10"/>
  <c r="K382" i="10"/>
  <c r="H395" i="10"/>
  <c r="I395" i="10" s="1"/>
  <c r="K395" i="10"/>
  <c r="G361" i="10"/>
  <c r="K365" i="10"/>
  <c r="G369" i="10"/>
  <c r="K373" i="10"/>
  <c r="K381" i="10"/>
  <c r="K389" i="10"/>
  <c r="H410" i="10"/>
  <c r="I410" i="10" s="1"/>
  <c r="K410" i="10"/>
  <c r="G410" i="10"/>
  <c r="H361" i="10"/>
  <c r="G368" i="10"/>
  <c r="H369" i="10"/>
  <c r="G376" i="10"/>
  <c r="H377" i="10"/>
  <c r="G384" i="10"/>
  <c r="H385" i="10"/>
  <c r="G391" i="10"/>
  <c r="I361" i="10"/>
  <c r="I369" i="10"/>
  <c r="I377" i="10"/>
  <c r="H384" i="10"/>
  <c r="I385" i="10"/>
  <c r="I391" i="10"/>
  <c r="H394" i="10"/>
  <c r="I394" i="10" s="1"/>
  <c r="H397" i="10"/>
  <c r="I397" i="10" s="1"/>
  <c r="G397" i="10"/>
  <c r="H402" i="10"/>
  <c r="I402" i="10" s="1"/>
  <c r="K402" i="10"/>
  <c r="G402" i="10"/>
  <c r="H413" i="10"/>
  <c r="G413" i="10"/>
  <c r="K413" i="10"/>
  <c r="I413" i="10"/>
  <c r="K438" i="10"/>
  <c r="I438" i="10"/>
  <c r="H438" i="10"/>
  <c r="G438" i="10"/>
  <c r="K391" i="10"/>
  <c r="K488" i="10"/>
  <c r="I421" i="10"/>
  <c r="K430" i="10"/>
  <c r="I430" i="10"/>
  <c r="I436" i="10"/>
  <c r="G436" i="10"/>
  <c r="K436" i="10"/>
  <c r="K446" i="10"/>
  <c r="I446" i="10"/>
  <c r="G446" i="10"/>
  <c r="K464" i="10"/>
  <c r="I464" i="10"/>
  <c r="G464" i="10"/>
  <c r="K470" i="10"/>
  <c r="I470" i="10"/>
  <c r="H470" i="10"/>
  <c r="G470" i="10"/>
  <c r="I411" i="10"/>
  <c r="I419" i="10"/>
  <c r="K421" i="10"/>
  <c r="H430" i="10"/>
  <c r="K448" i="10"/>
  <c r="G448" i="10"/>
  <c r="K486" i="10"/>
  <c r="I486" i="10"/>
  <c r="H486" i="10"/>
  <c r="G486" i="10"/>
  <c r="K396" i="10"/>
  <c r="G401" i="10"/>
  <c r="K404" i="10"/>
  <c r="G409" i="10"/>
  <c r="K412" i="10"/>
  <c r="G417" i="10"/>
  <c r="K420" i="10"/>
  <c r="K432" i="10"/>
  <c r="G432" i="10"/>
  <c r="H448" i="10"/>
  <c r="I448" i="10" s="1"/>
  <c r="G450" i="10"/>
  <c r="K450" i="10"/>
  <c r="I450" i="10"/>
  <c r="I401" i="10"/>
  <c r="I409" i="10"/>
  <c r="K411" i="10"/>
  <c r="I417" i="10"/>
  <c r="K419" i="10"/>
  <c r="K440" i="10"/>
  <c r="G440" i="10"/>
  <c r="I452" i="10"/>
  <c r="G452" i="10"/>
  <c r="K452" i="10"/>
  <c r="G434" i="10"/>
  <c r="I434" i="10"/>
  <c r="G437" i="10"/>
  <c r="K454" i="10"/>
  <c r="I454" i="10"/>
  <c r="H454" i="10"/>
  <c r="G454" i="10"/>
  <c r="K480" i="10"/>
  <c r="G442" i="10"/>
  <c r="K442" i="10"/>
  <c r="K456" i="10"/>
  <c r="G456" i="10"/>
  <c r="G458" i="10"/>
  <c r="K458" i="10"/>
  <c r="I458" i="10"/>
  <c r="K478" i="10"/>
  <c r="I478" i="10"/>
  <c r="H478" i="10"/>
  <c r="G478" i="10"/>
  <c r="K392" i="10"/>
  <c r="K400" i="10"/>
  <c r="I406" i="10"/>
  <c r="K408" i="10"/>
  <c r="I414" i="10"/>
  <c r="K416" i="10"/>
  <c r="G421" i="10"/>
  <c r="I422" i="10"/>
  <c r="K424" i="10"/>
  <c r="I428" i="10"/>
  <c r="G428" i="10"/>
  <c r="K428" i="10"/>
  <c r="H442" i="10"/>
  <c r="I442" i="10" s="1"/>
  <c r="I444" i="10"/>
  <c r="G444" i="10"/>
  <c r="K444" i="10"/>
  <c r="H456" i="10"/>
  <c r="I456" i="10" s="1"/>
  <c r="H458" i="10"/>
  <c r="K462" i="10"/>
  <c r="I462" i="10"/>
  <c r="H462" i="10"/>
  <c r="G462" i="10"/>
  <c r="K472" i="10"/>
  <c r="K460" i="10"/>
  <c r="I466" i="10"/>
  <c r="K468" i="10"/>
  <c r="G472" i="10"/>
  <c r="I474" i="10"/>
  <c r="K476" i="10"/>
  <c r="G480" i="10"/>
  <c r="I482" i="10"/>
  <c r="K484" i="10"/>
  <c r="G488" i="10"/>
  <c r="I489" i="10"/>
  <c r="K490" i="10"/>
  <c r="I493" i="10"/>
  <c r="K494" i="10"/>
  <c r="I497" i="10"/>
  <c r="K498" i="10"/>
  <c r="I501" i="10"/>
  <c r="K502" i="10"/>
  <c r="I505" i="10"/>
  <c r="K506" i="10"/>
  <c r="I509" i="10"/>
  <c r="K510" i="10"/>
  <c r="K466" i="10"/>
  <c r="I472" i="10"/>
  <c r="K474" i="10"/>
  <c r="I480" i="10"/>
  <c r="K482" i="10"/>
  <c r="I488" i="10"/>
  <c r="G499" i="10"/>
  <c r="G503" i="10"/>
  <c r="G507" i="10"/>
  <c r="G511" i="10"/>
  <c r="G460" i="10"/>
  <c r="G468" i="10"/>
  <c r="G476" i="10"/>
  <c r="G484" i="10"/>
  <c r="I491" i="10"/>
  <c r="I495" i="10"/>
  <c r="I499" i="10"/>
  <c r="I503" i="10"/>
  <c r="I507" i="10"/>
  <c r="I511" i="10"/>
  <c r="I490" i="10"/>
  <c r="K491" i="10"/>
  <c r="I494" i="10"/>
  <c r="K495" i="10"/>
  <c r="I498" i="10"/>
  <c r="K499" i="10"/>
  <c r="I502" i="10"/>
  <c r="K503" i="10"/>
  <c r="I506" i="10"/>
  <c r="K507" i="10"/>
  <c r="I510" i="10"/>
  <c r="K511" i="10"/>
  <c r="L425" i="10" l="1"/>
  <c r="M425" i="10"/>
  <c r="M489" i="10"/>
  <c r="L489" i="10"/>
  <c r="M473" i="10"/>
  <c r="L473" i="10"/>
  <c r="M479" i="10"/>
  <c r="L479" i="10"/>
  <c r="M49" i="10"/>
  <c r="L49" i="10"/>
  <c r="M33" i="10"/>
  <c r="L33" i="10"/>
  <c r="M17" i="10"/>
  <c r="L17" i="10"/>
  <c r="M141" i="10"/>
  <c r="L141" i="10"/>
  <c r="M106" i="10"/>
  <c r="L106" i="10"/>
  <c r="M144" i="10"/>
  <c r="L144" i="10"/>
  <c r="M73" i="10"/>
  <c r="L73" i="10"/>
  <c r="M131" i="10"/>
  <c r="L131" i="10"/>
  <c r="M157" i="10"/>
  <c r="L157" i="10"/>
  <c r="M63" i="10"/>
  <c r="L63" i="10"/>
  <c r="M155" i="10"/>
  <c r="L155" i="10"/>
  <c r="M118" i="10"/>
  <c r="L118" i="10"/>
  <c r="L408" i="10"/>
  <c r="M408" i="10"/>
  <c r="L382" i="10"/>
  <c r="M382" i="10"/>
  <c r="M245" i="10"/>
  <c r="L245" i="10"/>
  <c r="M299" i="10"/>
  <c r="L299" i="10"/>
  <c r="L201" i="10"/>
  <c r="M201" i="10"/>
  <c r="M191" i="10"/>
  <c r="L191" i="10"/>
  <c r="M101" i="10"/>
  <c r="L101" i="10"/>
  <c r="C16" i="2"/>
  <c r="B16" i="2"/>
  <c r="C15" i="2"/>
  <c r="B15" i="2"/>
  <c r="M138" i="10"/>
  <c r="L138" i="10"/>
  <c r="M468" i="10"/>
  <c r="L468" i="10"/>
  <c r="L373" i="10"/>
  <c r="M373" i="10"/>
  <c r="L368" i="10"/>
  <c r="M368" i="10"/>
  <c r="M325" i="10"/>
  <c r="L325" i="10"/>
  <c r="M252" i="10"/>
  <c r="L252" i="10"/>
  <c r="M261" i="10"/>
  <c r="L261" i="10"/>
  <c r="M264" i="10"/>
  <c r="L264" i="10"/>
  <c r="M259" i="10"/>
  <c r="L259" i="10"/>
  <c r="L165" i="10"/>
  <c r="M165" i="10"/>
  <c r="M178" i="10"/>
  <c r="L178" i="10"/>
  <c r="M202" i="10"/>
  <c r="L202" i="10"/>
  <c r="M186" i="10"/>
  <c r="L186" i="10"/>
  <c r="M48" i="10"/>
  <c r="L48" i="10"/>
  <c r="M117" i="10"/>
  <c r="L117" i="10"/>
  <c r="M82" i="10"/>
  <c r="L82" i="10"/>
  <c r="M90" i="10"/>
  <c r="L90" i="10"/>
  <c r="M310" i="10"/>
  <c r="L310" i="10"/>
  <c r="M294" i="10"/>
  <c r="L294" i="10"/>
  <c r="M292" i="10"/>
  <c r="L292" i="10"/>
  <c r="M336" i="10"/>
  <c r="L336" i="10"/>
  <c r="M434" i="10"/>
  <c r="L434" i="10"/>
  <c r="M433" i="10"/>
  <c r="L433" i="10"/>
  <c r="M503" i="10"/>
  <c r="L503" i="10"/>
  <c r="M502" i="10"/>
  <c r="L502" i="10"/>
  <c r="L424" i="10"/>
  <c r="M424" i="10"/>
  <c r="M392" i="10"/>
  <c r="L392" i="10"/>
  <c r="M412" i="10"/>
  <c r="L412" i="10"/>
  <c r="M486" i="10"/>
  <c r="L486" i="10"/>
  <c r="M488" i="10"/>
  <c r="L488" i="10"/>
  <c r="L361" i="10"/>
  <c r="M361" i="10"/>
  <c r="L357" i="10"/>
  <c r="M357" i="10"/>
  <c r="L377" i="10"/>
  <c r="M377" i="10"/>
  <c r="M196" i="10"/>
  <c r="L196" i="10"/>
  <c r="M237" i="10"/>
  <c r="L237" i="10"/>
  <c r="L213" i="10"/>
  <c r="M213" i="10"/>
  <c r="M286" i="10"/>
  <c r="L286" i="10"/>
  <c r="M254" i="10"/>
  <c r="L254" i="10"/>
  <c r="M222" i="10"/>
  <c r="L222" i="10"/>
  <c r="M240" i="10"/>
  <c r="L240" i="10"/>
  <c r="L208" i="10"/>
  <c r="M208" i="10"/>
  <c r="L273" i="10"/>
  <c r="M273" i="10"/>
  <c r="L241" i="10"/>
  <c r="M241" i="10"/>
  <c r="M242" i="10"/>
  <c r="L242" i="10"/>
  <c r="M307" i="10"/>
  <c r="L307" i="10"/>
  <c r="M251" i="10"/>
  <c r="L251" i="10"/>
  <c r="M187" i="10"/>
  <c r="L187" i="10"/>
  <c r="M175" i="10"/>
  <c r="L175" i="10"/>
  <c r="M174" i="10"/>
  <c r="L174" i="10"/>
  <c r="M137" i="10"/>
  <c r="L137" i="10"/>
  <c r="M8" i="10"/>
  <c r="L8" i="10"/>
  <c r="M162" i="10"/>
  <c r="L162" i="10"/>
  <c r="M113" i="10"/>
  <c r="L113" i="10"/>
  <c r="M83" i="10"/>
  <c r="L83" i="10"/>
  <c r="M91" i="10"/>
  <c r="L91" i="10"/>
  <c r="M159" i="10"/>
  <c r="L159" i="10"/>
  <c r="M150" i="10"/>
  <c r="L150" i="10"/>
  <c r="M303" i="10"/>
  <c r="L303" i="10"/>
  <c r="M326" i="10"/>
  <c r="L326" i="10"/>
  <c r="L359" i="10"/>
  <c r="M359" i="10"/>
  <c r="M300" i="10"/>
  <c r="L300" i="10"/>
  <c r="L367" i="10"/>
  <c r="M367" i="10"/>
  <c r="L341" i="10"/>
  <c r="M341" i="10"/>
  <c r="L379" i="10"/>
  <c r="M379" i="10"/>
  <c r="M437" i="10"/>
  <c r="L437" i="10"/>
  <c r="M453" i="10"/>
  <c r="L453" i="10"/>
  <c r="M435" i="10"/>
  <c r="L435" i="10"/>
  <c r="M493" i="10"/>
  <c r="L493" i="10"/>
  <c r="M481" i="10"/>
  <c r="L481" i="10"/>
  <c r="M487" i="10"/>
  <c r="L487" i="10"/>
  <c r="M140" i="10"/>
  <c r="L140" i="10"/>
  <c r="M64" i="10"/>
  <c r="L64" i="10"/>
  <c r="M127" i="10"/>
  <c r="L127" i="10"/>
  <c r="M67" i="10"/>
  <c r="L67" i="10"/>
  <c r="M121" i="10"/>
  <c r="L121" i="10"/>
  <c r="M145" i="10"/>
  <c r="L145" i="10"/>
  <c r="M421" i="10"/>
  <c r="L421" i="10"/>
  <c r="M397" i="10"/>
  <c r="L397" i="10"/>
  <c r="M296" i="10"/>
  <c r="L296" i="10"/>
  <c r="M211" i="10"/>
  <c r="L211" i="10"/>
  <c r="L185" i="10"/>
  <c r="M185" i="10"/>
  <c r="M52" i="10"/>
  <c r="L52" i="10"/>
  <c r="M80" i="10"/>
  <c r="L80" i="10"/>
  <c r="M327" i="10"/>
  <c r="L327" i="10"/>
  <c r="L366" i="10"/>
  <c r="M366" i="10"/>
  <c r="L369" i="10"/>
  <c r="M369" i="10"/>
  <c r="M236" i="10"/>
  <c r="L236" i="10"/>
  <c r="M164" i="10"/>
  <c r="L164" i="10"/>
  <c r="M223" i="10"/>
  <c r="L223" i="10"/>
  <c r="M250" i="10"/>
  <c r="L250" i="10"/>
  <c r="M199" i="10"/>
  <c r="L199" i="10"/>
  <c r="M234" i="10"/>
  <c r="L234" i="10"/>
  <c r="M166" i="10"/>
  <c r="L166" i="10"/>
  <c r="M32" i="10"/>
  <c r="L32" i="10"/>
  <c r="M20" i="10"/>
  <c r="L20" i="10"/>
  <c r="M105" i="10"/>
  <c r="L105" i="10"/>
  <c r="M112" i="10"/>
  <c r="L112" i="10"/>
  <c r="M146" i="10"/>
  <c r="L146" i="10"/>
  <c r="L354" i="10"/>
  <c r="M354" i="10"/>
  <c r="L339" i="10"/>
  <c r="M339" i="10"/>
  <c r="L371" i="10"/>
  <c r="M371" i="10"/>
  <c r="M474" i="10"/>
  <c r="L474" i="10"/>
  <c r="M484" i="10"/>
  <c r="L484" i="10"/>
  <c r="M460" i="10"/>
  <c r="L460" i="10"/>
  <c r="M444" i="10"/>
  <c r="L444" i="10"/>
  <c r="M450" i="10"/>
  <c r="L450" i="10"/>
  <c r="M446" i="10"/>
  <c r="L446" i="10"/>
  <c r="L391" i="10"/>
  <c r="M391" i="10"/>
  <c r="L365" i="10"/>
  <c r="M365" i="10"/>
  <c r="L403" i="10"/>
  <c r="M403" i="10"/>
  <c r="L340" i="10"/>
  <c r="M340" i="10"/>
  <c r="L348" i="10"/>
  <c r="M348" i="10"/>
  <c r="M317" i="10"/>
  <c r="L317" i="10"/>
  <c r="M277" i="10"/>
  <c r="L277" i="10"/>
  <c r="M398" i="10"/>
  <c r="L398" i="10"/>
  <c r="M214" i="10"/>
  <c r="L214" i="10"/>
  <c r="M297" i="10"/>
  <c r="L297" i="10"/>
  <c r="M255" i="10"/>
  <c r="L255" i="10"/>
  <c r="M280" i="10"/>
  <c r="L280" i="10"/>
  <c r="L349" i="10"/>
  <c r="M349" i="10"/>
  <c r="L233" i="10"/>
  <c r="M233" i="10"/>
  <c r="M305" i="10"/>
  <c r="L305" i="10"/>
  <c r="M243" i="10"/>
  <c r="L243" i="10"/>
  <c r="M179" i="10"/>
  <c r="L179" i="10"/>
  <c r="M226" i="10"/>
  <c r="L226" i="10"/>
  <c r="L177" i="10"/>
  <c r="M177" i="10"/>
  <c r="M111" i="10"/>
  <c r="L111" i="10"/>
  <c r="M61" i="10"/>
  <c r="L61" i="10"/>
  <c r="M44" i="10"/>
  <c r="L44" i="10"/>
  <c r="M28" i="10"/>
  <c r="L28" i="10"/>
  <c r="M99" i="10"/>
  <c r="L99" i="10"/>
  <c r="M160" i="10"/>
  <c r="L160" i="10"/>
  <c r="M84" i="10"/>
  <c r="L84" i="10"/>
  <c r="M92" i="10"/>
  <c r="L92" i="10"/>
  <c r="M122" i="10"/>
  <c r="L122" i="10"/>
  <c r="M154" i="10"/>
  <c r="L154" i="10"/>
  <c r="M312" i="10"/>
  <c r="L312" i="10"/>
  <c r="M301" i="10"/>
  <c r="L301" i="10"/>
  <c r="L347" i="10"/>
  <c r="M347" i="10"/>
  <c r="M308" i="10"/>
  <c r="L308" i="10"/>
  <c r="M314" i="10"/>
  <c r="L314" i="10"/>
  <c r="M399" i="10"/>
  <c r="L399" i="10"/>
  <c r="L387" i="10"/>
  <c r="M387" i="10"/>
  <c r="M467" i="10"/>
  <c r="L467" i="10"/>
  <c r="M426" i="10"/>
  <c r="L426" i="10"/>
  <c r="M443" i="10"/>
  <c r="L443" i="10"/>
  <c r="M497" i="10"/>
  <c r="L497" i="10"/>
  <c r="M492" i="10"/>
  <c r="L492" i="10"/>
  <c r="M469" i="10"/>
  <c r="L469" i="10"/>
  <c r="M102" i="10"/>
  <c r="L102" i="10"/>
  <c r="M45" i="10"/>
  <c r="L45" i="10"/>
  <c r="M29" i="10"/>
  <c r="L29" i="10"/>
  <c r="M13" i="10"/>
  <c r="L13" i="10"/>
  <c r="M124" i="10"/>
  <c r="L124" i="10"/>
  <c r="M148" i="10"/>
  <c r="L148" i="10"/>
  <c r="G14" i="3"/>
  <c r="H14" i="3" s="1"/>
  <c r="M432" i="10"/>
  <c r="L432" i="10"/>
  <c r="M405" i="10"/>
  <c r="L405" i="10"/>
  <c r="M204" i="10"/>
  <c r="L204" i="10"/>
  <c r="M239" i="10"/>
  <c r="L239" i="10"/>
  <c r="L176" i="10"/>
  <c r="M176" i="10"/>
  <c r="M390" i="10"/>
  <c r="L390" i="10"/>
  <c r="L400" i="10"/>
  <c r="M400" i="10"/>
  <c r="L384" i="10"/>
  <c r="M384" i="10"/>
  <c r="M284" i="10"/>
  <c r="L284" i="10"/>
  <c r="M220" i="10"/>
  <c r="L220" i="10"/>
  <c r="M263" i="10"/>
  <c r="L263" i="10"/>
  <c r="M499" i="10"/>
  <c r="L499" i="10"/>
  <c r="M498" i="10"/>
  <c r="L498" i="10"/>
  <c r="M472" i="10"/>
  <c r="L472" i="10"/>
  <c r="M456" i="10"/>
  <c r="L456" i="10"/>
  <c r="M454" i="10"/>
  <c r="L454" i="10"/>
  <c r="M440" i="10"/>
  <c r="L440" i="10"/>
  <c r="M404" i="10"/>
  <c r="L404" i="10"/>
  <c r="M436" i="10"/>
  <c r="L436" i="10"/>
  <c r="M418" i="10"/>
  <c r="L418" i="10"/>
  <c r="L385" i="10"/>
  <c r="M385" i="10"/>
  <c r="L356" i="10"/>
  <c r="M356" i="10"/>
  <c r="M212" i="10"/>
  <c r="L212" i="10"/>
  <c r="M188" i="10"/>
  <c r="L188" i="10"/>
  <c r="M253" i="10"/>
  <c r="L253" i="10"/>
  <c r="L205" i="10"/>
  <c r="M205" i="10"/>
  <c r="M278" i="10"/>
  <c r="L278" i="10"/>
  <c r="M246" i="10"/>
  <c r="L246" i="10"/>
  <c r="M206" i="10"/>
  <c r="L206" i="10"/>
  <c r="M287" i="10"/>
  <c r="L287" i="10"/>
  <c r="M256" i="10"/>
  <c r="L256" i="10"/>
  <c r="L232" i="10"/>
  <c r="M232" i="10"/>
  <c r="L200" i="10"/>
  <c r="M200" i="10"/>
  <c r="M309" i="10"/>
  <c r="L309" i="10"/>
  <c r="L265" i="10"/>
  <c r="M265" i="10"/>
  <c r="L225" i="10"/>
  <c r="M225" i="10"/>
  <c r="M321" i="10"/>
  <c r="L321" i="10"/>
  <c r="M235" i="10"/>
  <c r="L235" i="10"/>
  <c r="L171" i="10"/>
  <c r="M171" i="10"/>
  <c r="M215" i="10"/>
  <c r="L215" i="10"/>
  <c r="M210" i="10"/>
  <c r="L210" i="10"/>
  <c r="M170" i="10"/>
  <c r="L170" i="10"/>
  <c r="M183" i="10"/>
  <c r="L183" i="10"/>
  <c r="M100" i="10"/>
  <c r="L100" i="10"/>
  <c r="M16" i="10"/>
  <c r="L16" i="10"/>
  <c r="M107" i="10"/>
  <c r="L107" i="10"/>
  <c r="M77" i="10"/>
  <c r="L77" i="10"/>
  <c r="M85" i="10"/>
  <c r="L85" i="10"/>
  <c r="M93" i="10"/>
  <c r="L93" i="10"/>
  <c r="M126" i="10"/>
  <c r="L126" i="10"/>
  <c r="M158" i="10"/>
  <c r="L158" i="10"/>
  <c r="M334" i="10"/>
  <c r="L334" i="10"/>
  <c r="M304" i="10"/>
  <c r="L304" i="10"/>
  <c r="L350" i="10"/>
  <c r="M350" i="10"/>
  <c r="M316" i="10"/>
  <c r="L316" i="10"/>
  <c r="M322" i="10"/>
  <c r="L322" i="10"/>
  <c r="L409" i="10"/>
  <c r="M409" i="10"/>
  <c r="M406" i="10"/>
  <c r="L406" i="10"/>
  <c r="M431" i="10"/>
  <c r="L431" i="10"/>
  <c r="M427" i="10"/>
  <c r="L427" i="10"/>
  <c r="M461" i="10"/>
  <c r="L461" i="10"/>
  <c r="M501" i="10"/>
  <c r="L501" i="10"/>
  <c r="M496" i="10"/>
  <c r="L496" i="10"/>
  <c r="M477" i="10"/>
  <c r="L477" i="10"/>
  <c r="M120" i="10"/>
  <c r="L120" i="10"/>
  <c r="M59" i="10"/>
  <c r="L59" i="10"/>
  <c r="M139" i="10"/>
  <c r="L139" i="10"/>
  <c r="M62" i="10"/>
  <c r="L62" i="10"/>
  <c r="M153" i="10"/>
  <c r="L153" i="10"/>
  <c r="M2" i="10"/>
  <c r="L2" i="10"/>
  <c r="M76" i="10"/>
  <c r="L76" i="10"/>
  <c r="M125" i="10"/>
  <c r="L125" i="10"/>
  <c r="M74" i="10"/>
  <c r="L74" i="10"/>
  <c r="M428" i="10"/>
  <c r="L428" i="10"/>
  <c r="L389" i="10"/>
  <c r="M389" i="10"/>
  <c r="M333" i="10"/>
  <c r="L333" i="10"/>
  <c r="L189" i="10"/>
  <c r="M189" i="10"/>
  <c r="M248" i="10"/>
  <c r="L248" i="10"/>
  <c r="M275" i="10"/>
  <c r="L275" i="10"/>
  <c r="M128" i="10"/>
  <c r="L128" i="10"/>
  <c r="M88" i="10"/>
  <c r="L88" i="10"/>
  <c r="M482" i="10"/>
  <c r="L482" i="10"/>
  <c r="M413" i="10"/>
  <c r="L413" i="10"/>
  <c r="L364" i="10"/>
  <c r="M364" i="10"/>
  <c r="M268" i="10"/>
  <c r="L268" i="10"/>
  <c r="L173" i="10"/>
  <c r="M173" i="10"/>
  <c r="M195" i="10"/>
  <c r="L195" i="10"/>
  <c r="M466" i="10"/>
  <c r="L466" i="10"/>
  <c r="L416" i="10"/>
  <c r="M416" i="10"/>
  <c r="M419" i="10"/>
  <c r="L419" i="10"/>
  <c r="M448" i="10"/>
  <c r="L448" i="10"/>
  <c r="M470" i="10"/>
  <c r="L470" i="10"/>
  <c r="M410" i="10"/>
  <c r="L410" i="10"/>
  <c r="M395" i="10"/>
  <c r="L395" i="10"/>
  <c r="L376" i="10"/>
  <c r="M376" i="10"/>
  <c r="L360" i="10"/>
  <c r="M360" i="10"/>
  <c r="L344" i="10"/>
  <c r="M344" i="10"/>
  <c r="L342" i="10"/>
  <c r="M342" i="10"/>
  <c r="M276" i="10"/>
  <c r="L276" i="10"/>
  <c r="M260" i="10"/>
  <c r="L260" i="10"/>
  <c r="M244" i="10"/>
  <c r="L244" i="10"/>
  <c r="M228" i="10"/>
  <c r="L228" i="10"/>
  <c r="M329" i="10"/>
  <c r="L329" i="10"/>
  <c r="M229" i="10"/>
  <c r="L229" i="10"/>
  <c r="M198" i="10"/>
  <c r="L198" i="10"/>
  <c r="M279" i="10"/>
  <c r="L279" i="10"/>
  <c r="M247" i="10"/>
  <c r="L247" i="10"/>
  <c r="M313" i="10"/>
  <c r="L313" i="10"/>
  <c r="L192" i="10"/>
  <c r="M192" i="10"/>
  <c r="L217" i="10"/>
  <c r="M217" i="10"/>
  <c r="M282" i="10"/>
  <c r="L282" i="10"/>
  <c r="M227" i="10"/>
  <c r="L227" i="10"/>
  <c r="M163" i="10"/>
  <c r="L163" i="10"/>
  <c r="M194" i="10"/>
  <c r="L194" i="10"/>
  <c r="M190" i="10"/>
  <c r="L190" i="10"/>
  <c r="M135" i="10"/>
  <c r="L135" i="10"/>
  <c r="M56" i="10"/>
  <c r="L56" i="10"/>
  <c r="M40" i="10"/>
  <c r="L40" i="10"/>
  <c r="M4" i="10"/>
  <c r="L4" i="10"/>
  <c r="M115" i="10"/>
  <c r="L115" i="10"/>
  <c r="M78" i="10"/>
  <c r="L78" i="10"/>
  <c r="M86" i="10"/>
  <c r="L86" i="10"/>
  <c r="M94" i="10"/>
  <c r="L94" i="10"/>
  <c r="M130" i="10"/>
  <c r="L130" i="10"/>
  <c r="M318" i="10"/>
  <c r="L318" i="10"/>
  <c r="L383" i="10"/>
  <c r="M383" i="10"/>
  <c r="M311" i="10"/>
  <c r="L311" i="10"/>
  <c r="M288" i="10"/>
  <c r="L288" i="10"/>
  <c r="M324" i="10"/>
  <c r="L324" i="10"/>
  <c r="M330" i="10"/>
  <c r="L330" i="10"/>
  <c r="L393" i="10"/>
  <c r="M393" i="10"/>
  <c r="M422" i="10"/>
  <c r="L422" i="10"/>
  <c r="M449" i="10"/>
  <c r="L449" i="10"/>
  <c r="M441" i="10"/>
  <c r="L441" i="10"/>
  <c r="M475" i="10"/>
  <c r="L475" i="10"/>
  <c r="M505" i="10"/>
  <c r="L505" i="10"/>
  <c r="M500" i="10"/>
  <c r="L500" i="10"/>
  <c r="M485" i="10"/>
  <c r="L485" i="10"/>
  <c r="M98" i="10"/>
  <c r="L98" i="10"/>
  <c r="M108" i="10"/>
  <c r="L108" i="10"/>
  <c r="M57" i="10"/>
  <c r="L57" i="10"/>
  <c r="M41" i="10"/>
  <c r="L41" i="10"/>
  <c r="M25" i="10"/>
  <c r="L25" i="10"/>
  <c r="M9" i="10"/>
  <c r="L9" i="10"/>
  <c r="M119" i="10"/>
  <c r="L119" i="10"/>
  <c r="M65" i="10"/>
  <c r="L65" i="10"/>
  <c r="M156" i="10"/>
  <c r="L156" i="10"/>
  <c r="M143" i="10"/>
  <c r="L143" i="10"/>
  <c r="M438" i="10"/>
  <c r="L438" i="10"/>
  <c r="L358" i="10"/>
  <c r="M358" i="10"/>
  <c r="M271" i="10"/>
  <c r="L271" i="10"/>
  <c r="M315" i="10"/>
  <c r="L315" i="10"/>
  <c r="M114" i="10"/>
  <c r="L114" i="10"/>
  <c r="M302" i="10"/>
  <c r="L302" i="10"/>
  <c r="M511" i="10"/>
  <c r="L511" i="10"/>
  <c r="M495" i="10"/>
  <c r="L495" i="10"/>
  <c r="M510" i="10"/>
  <c r="L510" i="10"/>
  <c r="M494" i="10"/>
  <c r="L494" i="10"/>
  <c r="M476" i="10"/>
  <c r="L476" i="10"/>
  <c r="M478" i="10"/>
  <c r="L478" i="10"/>
  <c r="M442" i="10"/>
  <c r="L442" i="10"/>
  <c r="L396" i="10"/>
  <c r="M396" i="10"/>
  <c r="M402" i="10"/>
  <c r="L402" i="10"/>
  <c r="L370" i="10"/>
  <c r="M370" i="10"/>
  <c r="L353" i="10"/>
  <c r="M353" i="10"/>
  <c r="M306" i="10"/>
  <c r="L306" i="10"/>
  <c r="M180" i="10"/>
  <c r="L180" i="10"/>
  <c r="M269" i="10"/>
  <c r="L269" i="10"/>
  <c r="L197" i="10"/>
  <c r="M197" i="10"/>
  <c r="L372" i="10"/>
  <c r="M372" i="10"/>
  <c r="M270" i="10"/>
  <c r="L270" i="10"/>
  <c r="M238" i="10"/>
  <c r="L238" i="10"/>
  <c r="L338" i="10"/>
  <c r="M338" i="10"/>
  <c r="M272" i="10"/>
  <c r="L272" i="10"/>
  <c r="L224" i="10"/>
  <c r="M224" i="10"/>
  <c r="L184" i="10"/>
  <c r="M184" i="10"/>
  <c r="L257" i="10"/>
  <c r="M257" i="10"/>
  <c r="L209" i="10"/>
  <c r="M209" i="10"/>
  <c r="M274" i="10"/>
  <c r="L274" i="10"/>
  <c r="L362" i="10"/>
  <c r="M362" i="10"/>
  <c r="M283" i="10"/>
  <c r="L283" i="10"/>
  <c r="M219" i="10"/>
  <c r="L219" i="10"/>
  <c r="M182" i="10"/>
  <c r="L182" i="10"/>
  <c r="M167" i="10"/>
  <c r="L167" i="10"/>
  <c r="M218" i="10"/>
  <c r="L218" i="10"/>
  <c r="L169" i="10"/>
  <c r="M169" i="10"/>
  <c r="M24" i="10"/>
  <c r="L24" i="10"/>
  <c r="M161" i="10"/>
  <c r="L161" i="10"/>
  <c r="M79" i="10"/>
  <c r="L79" i="10"/>
  <c r="M87" i="10"/>
  <c r="L87" i="10"/>
  <c r="M95" i="10"/>
  <c r="L95" i="10"/>
  <c r="M134" i="10"/>
  <c r="L134" i="10"/>
  <c r="M320" i="10"/>
  <c r="L320" i="10"/>
  <c r="M295" i="10"/>
  <c r="L295" i="10"/>
  <c r="M319" i="10"/>
  <c r="L319" i="10"/>
  <c r="L289" i="10"/>
  <c r="M289" i="10"/>
  <c r="M332" i="10"/>
  <c r="L332" i="10"/>
  <c r="L355" i="10"/>
  <c r="M355" i="10"/>
  <c r="L401" i="10"/>
  <c r="M401" i="10"/>
  <c r="M407" i="10"/>
  <c r="L407" i="10"/>
  <c r="M483" i="10"/>
  <c r="L483" i="10"/>
  <c r="M455" i="10"/>
  <c r="L455" i="10"/>
  <c r="M429" i="10"/>
  <c r="L429" i="10"/>
  <c r="M509" i="10"/>
  <c r="L509" i="10"/>
  <c r="M504" i="10"/>
  <c r="L504" i="10"/>
  <c r="M152" i="10"/>
  <c r="L152" i="10"/>
  <c r="M132" i="10"/>
  <c r="L132" i="10"/>
  <c r="M133" i="10"/>
  <c r="L133" i="10"/>
  <c r="M68" i="10"/>
  <c r="L68" i="10"/>
  <c r="M71" i="10"/>
  <c r="L71" i="10"/>
  <c r="D14" i="3"/>
  <c r="E14" i="3" s="1"/>
  <c r="L375" i="10"/>
  <c r="M375" i="10"/>
  <c r="M414" i="10"/>
  <c r="L414" i="10"/>
  <c r="M415" i="10"/>
  <c r="L415" i="10"/>
  <c r="M439" i="10"/>
  <c r="L439" i="10"/>
  <c r="M459" i="10"/>
  <c r="L459" i="10"/>
  <c r="M445" i="10"/>
  <c r="L445" i="10"/>
  <c r="M457" i="10"/>
  <c r="L457" i="10"/>
  <c r="M508" i="10"/>
  <c r="L508" i="10"/>
  <c r="M129" i="10"/>
  <c r="L129" i="10"/>
  <c r="M75" i="10"/>
  <c r="L75" i="10"/>
  <c r="M53" i="10"/>
  <c r="L53" i="10"/>
  <c r="M37" i="10"/>
  <c r="L37" i="10"/>
  <c r="M21" i="10"/>
  <c r="L21" i="10"/>
  <c r="M5" i="10"/>
  <c r="L5" i="10"/>
  <c r="M110" i="10"/>
  <c r="L110" i="10"/>
  <c r="M151" i="10"/>
  <c r="L151" i="10"/>
  <c r="M103" i="10"/>
  <c r="L103" i="10"/>
  <c r="M136" i="10"/>
  <c r="L136" i="10"/>
  <c r="M123" i="10"/>
  <c r="L123" i="10"/>
  <c r="M66" i="10"/>
  <c r="L66" i="10"/>
  <c r="I5" i="3"/>
  <c r="H13" i="3"/>
  <c r="L411" i="10"/>
  <c r="M411" i="10"/>
  <c r="M394" i="10"/>
  <c r="L394" i="10"/>
  <c r="M331" i="10"/>
  <c r="L331" i="10"/>
  <c r="M266" i="10"/>
  <c r="L266" i="10"/>
  <c r="L193" i="10"/>
  <c r="M193" i="10"/>
  <c r="M36" i="10"/>
  <c r="L36" i="10"/>
  <c r="M12" i="10"/>
  <c r="L12" i="10"/>
  <c r="M96" i="10"/>
  <c r="L96" i="10"/>
  <c r="M290" i="10"/>
  <c r="L290" i="10"/>
  <c r="L343" i="10"/>
  <c r="M343" i="10"/>
  <c r="M507" i="10"/>
  <c r="L507" i="10"/>
  <c r="M491" i="10"/>
  <c r="L491" i="10"/>
  <c r="M506" i="10"/>
  <c r="L506" i="10"/>
  <c r="M490" i="10"/>
  <c r="L490" i="10"/>
  <c r="M462" i="10"/>
  <c r="L462" i="10"/>
  <c r="M458" i="10"/>
  <c r="L458" i="10"/>
  <c r="M480" i="10"/>
  <c r="L480" i="10"/>
  <c r="M452" i="10"/>
  <c r="L452" i="10"/>
  <c r="M420" i="10"/>
  <c r="L420" i="10"/>
  <c r="M464" i="10"/>
  <c r="L464" i="10"/>
  <c r="M430" i="10"/>
  <c r="L430" i="10"/>
  <c r="L381" i="10"/>
  <c r="M381" i="10"/>
  <c r="L374" i="10"/>
  <c r="M374" i="10"/>
  <c r="L388" i="10"/>
  <c r="M388" i="10"/>
  <c r="L345" i="10"/>
  <c r="M345" i="10"/>
  <c r="L378" i="10"/>
  <c r="M378" i="10"/>
  <c r="L380" i="10"/>
  <c r="M380" i="10"/>
  <c r="L352" i="10"/>
  <c r="M352" i="10"/>
  <c r="L386" i="10"/>
  <c r="M386" i="10"/>
  <c r="M172" i="10"/>
  <c r="L172" i="10"/>
  <c r="M285" i="10"/>
  <c r="L285" i="10"/>
  <c r="M221" i="10"/>
  <c r="L221" i="10"/>
  <c r="L181" i="10"/>
  <c r="M181" i="10"/>
  <c r="M298" i="10"/>
  <c r="L298" i="10"/>
  <c r="M262" i="10"/>
  <c r="L262" i="10"/>
  <c r="M230" i="10"/>
  <c r="L230" i="10"/>
  <c r="M231" i="10"/>
  <c r="L231" i="10"/>
  <c r="L216" i="10"/>
  <c r="M216" i="10"/>
  <c r="L168" i="10"/>
  <c r="M168" i="10"/>
  <c r="M337" i="10"/>
  <c r="L337" i="10"/>
  <c r="L281" i="10"/>
  <c r="M281" i="10"/>
  <c r="L249" i="10"/>
  <c r="M249" i="10"/>
  <c r="L346" i="10"/>
  <c r="M346" i="10"/>
  <c r="M258" i="10"/>
  <c r="L258" i="10"/>
  <c r="M323" i="10"/>
  <c r="L323" i="10"/>
  <c r="M267" i="10"/>
  <c r="L267" i="10"/>
  <c r="M203" i="10"/>
  <c r="L203" i="10"/>
  <c r="M207" i="10"/>
  <c r="L207" i="10"/>
  <c r="M69" i="10"/>
  <c r="L69" i="10"/>
  <c r="M109" i="10"/>
  <c r="L109" i="10"/>
  <c r="M97" i="10"/>
  <c r="L97" i="10"/>
  <c r="M81" i="10"/>
  <c r="L81" i="10"/>
  <c r="M89" i="10"/>
  <c r="L89" i="10"/>
  <c r="M104" i="10"/>
  <c r="L104" i="10"/>
  <c r="M142" i="10"/>
  <c r="L142" i="10"/>
  <c r="M293" i="10"/>
  <c r="L293" i="10"/>
  <c r="L351" i="10"/>
  <c r="M351" i="10"/>
  <c r="M335" i="10"/>
  <c r="L335" i="10"/>
  <c r="M291" i="10"/>
  <c r="L291" i="10"/>
  <c r="M447" i="10"/>
  <c r="L447" i="10"/>
  <c r="M328" i="10"/>
  <c r="L328" i="10"/>
  <c r="L363" i="10"/>
  <c r="M363" i="10"/>
  <c r="M423" i="10"/>
  <c r="L423" i="10"/>
  <c r="M451" i="10"/>
  <c r="L451" i="10"/>
  <c r="L417" i="10"/>
  <c r="M417" i="10"/>
  <c r="M463" i="10"/>
  <c r="L463" i="10"/>
  <c r="M465" i="10"/>
  <c r="L465" i="10"/>
  <c r="M471" i="10"/>
  <c r="L471" i="10"/>
  <c r="M147" i="10"/>
  <c r="L147" i="10"/>
  <c r="M72" i="10"/>
  <c r="L72" i="10"/>
  <c r="M70" i="10"/>
  <c r="L70" i="10"/>
  <c r="M60" i="10"/>
  <c r="L60" i="10"/>
  <c r="M116" i="10"/>
  <c r="L116" i="10"/>
  <c r="C20" i="2" l="1"/>
  <c r="B20" i="2"/>
  <c r="C18" i="2"/>
  <c r="C19" i="2"/>
  <c r="C17" i="2"/>
  <c r="B18" i="2"/>
  <c r="B17" i="2"/>
  <c r="B19" i="2"/>
  <c r="B8" i="2"/>
  <c r="I13" i="3"/>
  <c r="I14" i="3"/>
</calcChain>
</file>

<file path=xl/sharedStrings.xml><?xml version="1.0" encoding="utf-8"?>
<sst xmlns="http://schemas.openxmlformats.org/spreadsheetml/2006/main" count="9314" uniqueCount="3027">
  <si>
    <t>Vendor Master &amp; AP Data Governance - Dashboard</t>
  </si>
  <si>
    <t>Finance Operations | Synthetic data | All KPIs are live formulas</t>
  </si>
  <si>
    <t>Vendor master KPI</t>
  </si>
  <si>
    <t>Value</t>
  </si>
  <si>
    <t>Raw vendor records</t>
  </si>
  <si>
    <t>Golden (unique) vendors</t>
  </si>
  <si>
    <t>Duplicate records merged</t>
  </si>
  <si>
    <t>Avg DQ pass % (before)</t>
  </si>
  <si>
    <t>Avg DQ pass % (after)</t>
  </si>
  <si>
    <t>Vendors needing steward action</t>
  </si>
  <si>
    <t>High-priority steward cases</t>
  </si>
  <si>
    <t>Near-duplicate pairs to review</t>
  </si>
  <si>
    <t>AP invoice KPI</t>
  </si>
  <si>
    <t>Count</t>
  </si>
  <si>
    <t>Amount (INR)</t>
  </si>
  <si>
    <t>Total invoices</t>
  </si>
  <si>
    <t>Orphan vendor ID (not in master)</t>
  </si>
  <si>
    <t>Invoices on inactive vendors</t>
  </si>
  <si>
    <t>Duplicate invoices (after MDM)</t>
  </si>
  <si>
    <t xml:space="preserve">  of which duplicate already Paid</t>
  </si>
  <si>
    <t xml:space="preserve">  of which still Pending (stoppable)</t>
  </si>
  <si>
    <t>Duplicates found ONLY after vendor merge</t>
  </si>
  <si>
    <t>Vendor Master Data Quality Scorecard - Before vs After</t>
  </si>
  <si>
    <t>All figures are live formulas over Vendor_Master_Raw (before) and Vendor_Master_Golden (after).</t>
  </si>
  <si>
    <t>Rule</t>
  </si>
  <si>
    <t>Check column</t>
  </si>
  <si>
    <t>Records (Before)</t>
  </si>
  <si>
    <t>Valid (Before)</t>
  </si>
  <si>
    <t>Pass % (Before)</t>
  </si>
  <si>
    <t>Records (After)</t>
  </si>
  <si>
    <t>Valid (After)</t>
  </si>
  <si>
    <t>Pass % (After)</t>
  </si>
  <si>
    <t>Improvement (pts)</t>
  </si>
  <si>
    <t>Open issues (After)</t>
  </si>
  <si>
    <t>PAN</t>
  </si>
  <si>
    <t>PAN_Check</t>
  </si>
  <si>
    <t>GSTIN</t>
  </si>
  <si>
    <t>GSTIN_Check</t>
  </si>
  <si>
    <t>Email</t>
  </si>
  <si>
    <t>Email_Check</t>
  </si>
  <si>
    <t>Phone</t>
  </si>
  <si>
    <t>Phone_Check</t>
  </si>
  <si>
    <t>Bank Account</t>
  </si>
  <si>
    <t>Bank_Check</t>
  </si>
  <si>
    <t>IFSC</t>
  </si>
  <si>
    <t>IFSC_Check</t>
  </si>
  <si>
    <t>Country</t>
  </si>
  <si>
    <t>Country_Check</t>
  </si>
  <si>
    <t>Payment Terms</t>
  </si>
  <si>
    <t>Terms_Check</t>
  </si>
  <si>
    <t>Average pass %</t>
  </si>
  <si>
    <t>Records with zero issues</t>
  </si>
  <si>
    <t>Note: 'After' improves on format/standardisation and duplicates. Missing or unverifiable PAN, GSTIN, bank and IFSC values are NOT invented - they go to Steward_Queue.</t>
  </si>
  <si>
    <t>Rule_ID</t>
  </si>
  <si>
    <t>Field / Area</t>
  </si>
  <si>
    <t>Validation Rule</t>
  </si>
  <si>
    <t>Severity</t>
  </si>
  <si>
    <t>Treatment</t>
  </si>
  <si>
    <t>R01</t>
  </si>
  <si>
    <t>Not blank; 10 chars: 5 capital letters + 4 digits + 1 capital letter</t>
  </si>
  <si>
    <t>High</t>
  </si>
  <si>
    <t>Uppercase automatically; blanks need vendor document</t>
  </si>
  <si>
    <t>R02</t>
  </si>
  <si>
    <t>15 chars, 14th char = Z, characters 3-12 must equal the vendor's PAN. Fails as 'PAN Mismatch' if PAN is missing or different</t>
  </si>
  <si>
    <t>Cannot be auto-fixed - confirm with vendor / GST portal</t>
  </si>
  <si>
    <t>R03</t>
  </si>
  <si>
    <t>Not blank; contains @; a dot after the @; no spaces</t>
  </si>
  <si>
    <t>Medium</t>
  </si>
  <si>
    <t>Lowercase automatically; invalid needs vendor confirmation</t>
  </si>
  <si>
    <t>R04</t>
  </si>
  <si>
    <t>Digits only after removing space, hyphen, +; 10 digits (or 12 starting 91); first digit 6-9</t>
  </si>
  <si>
    <t>Re-formatted to +91 XXXXXXXXXX when valid</t>
  </si>
  <si>
    <t>R05</t>
  </si>
  <si>
    <t>Bank_Account</t>
  </si>
  <si>
    <t>Not blank; digits only; 9-18 digits</t>
  </si>
  <si>
    <t>Cannot be auto-fixed - needs bank proof</t>
  </si>
  <si>
    <t>R06</t>
  </si>
  <si>
    <t>11 chars: 4 capital letters + '0' + 6 characters</t>
  </si>
  <si>
    <t>Uppercase automatically; invalid needs bank proof</t>
  </si>
  <si>
    <t>R07</t>
  </si>
  <si>
    <t>Must equal 'India' (standard value)</t>
  </si>
  <si>
    <t>Low</t>
  </si>
  <si>
    <t>IN / INDIA / india mapped to India</t>
  </si>
  <si>
    <t>R08</t>
  </si>
  <si>
    <t>Payment_Terms</t>
  </si>
  <si>
    <t>Standard values only: Net 15 / Net 30 / Net 45 / Net 60</t>
  </si>
  <si>
    <t>30D, NET30, 30 Days mapped to Net 30</t>
  </si>
  <si>
    <t>R09</t>
  </si>
  <si>
    <t>Duplicate vendor</t>
  </si>
  <si>
    <t>Same normalised name (case, punctuation, Pvt/Private/Ltd/Limited/LLP ignored) OR same valid PAN</t>
  </si>
  <si>
    <t>Auto-merged to one golden record; most complete record survives</t>
  </si>
  <si>
    <t>R10</t>
  </si>
  <si>
    <t>Near-duplicate</t>
  </si>
  <si>
    <t>Name similarity &gt;= 0.90 but no exact name/PAN match</t>
  </si>
  <si>
    <t>Listed in Duplicate_Review - NOT auto-merged</t>
  </si>
  <si>
    <t>R11</t>
  </si>
  <si>
    <t>Invoice vendor</t>
  </si>
  <si>
    <t>Invoice Vendor_ID must exist in vendor master</t>
  </si>
  <si>
    <t>Orphan IDs routed to vendor onboarding</t>
  </si>
  <si>
    <t>R12</t>
  </si>
  <si>
    <t>Duplicate invoice</t>
  </si>
  <si>
    <t>Same golden vendor + Invoice_No + amount appears more than once</t>
  </si>
  <si>
    <t>Hold duplicate before payment run</t>
  </si>
  <si>
    <t>Vendor_ID</t>
  </si>
  <si>
    <t>Vendor_Name</t>
  </si>
  <si>
    <t>Status</t>
  </si>
  <si>
    <t>Created_Date</t>
  </si>
  <si>
    <t>Issue_Count</t>
  </si>
  <si>
    <t>Phone_Digits_(helper)</t>
  </si>
  <si>
    <t>Golden_Vendor_ID (from Python de-dup)</t>
  </si>
  <si>
    <t>Dup_Flag</t>
  </si>
  <si>
    <t>V1079</t>
  </si>
  <si>
    <t>Falcon Landscaping Pvt Ltd</t>
  </si>
  <si>
    <t>NPMCL8617Z</t>
  </si>
  <si>
    <t>19NPMCL8617Z1ZO</t>
  </si>
  <si>
    <t>accounts@falconlandscaping.in</t>
  </si>
  <si>
    <t>+91 91040 54115</t>
  </si>
  <si>
    <t>621815997062</t>
  </si>
  <si>
    <t>KKBK0620153</t>
  </si>
  <si>
    <t>IN</t>
  </si>
  <si>
    <t>net 30</t>
  </si>
  <si>
    <t>Active</t>
  </si>
  <si>
    <t>2025-03-19</t>
  </si>
  <si>
    <t>V1109</t>
  </si>
  <si>
    <t>Sunrise Housekeeping LLP</t>
  </si>
  <si>
    <t>QAXCW1184X</t>
  </si>
  <si>
    <t>19QAXCW1184X1Z9</t>
  </si>
  <si>
    <t>ACCOUNTS@SUNRISEHOUSEKEEPING.IN</t>
  </si>
  <si>
    <t>+91 84393 76904</t>
  </si>
  <si>
    <t>KKBK0476973</t>
  </si>
  <si>
    <t>India</t>
  </si>
  <si>
    <t>NET45</t>
  </si>
  <si>
    <t>2024-02-23</t>
  </si>
  <si>
    <t>V1054</t>
  </si>
  <si>
    <t>Quantum Stationers Pvt Ltd</t>
  </si>
  <si>
    <t>IRSCS6423K</t>
  </si>
  <si>
    <t>29IRSCS6423K1ZY</t>
  </si>
  <si>
    <t>accounts@quantumstationers.in</t>
  </si>
  <si>
    <t>98547-77252</t>
  </si>
  <si>
    <t>872808010062</t>
  </si>
  <si>
    <t>ICIC0120387</t>
  </si>
  <si>
    <t>Net 45</t>
  </si>
  <si>
    <t>Inactive</t>
  </si>
  <si>
    <t>2024-06-02</t>
  </si>
  <si>
    <t>V1209</t>
  </si>
  <si>
    <t>BLUEWAVE FACILITY SERVICES L.L.P.</t>
  </si>
  <si>
    <t>WYUCY2965O</t>
  </si>
  <si>
    <t>07WYUCY2965O1ZI</t>
  </si>
  <si>
    <t>accounts@bluewavefacilityservices.in</t>
  </si>
  <si>
    <t>79543-16526</t>
  </si>
  <si>
    <t>93008931734206</t>
  </si>
  <si>
    <t>KKBK0694215</t>
  </si>
  <si>
    <t>INDIA</t>
  </si>
  <si>
    <t>NET30</t>
  </si>
  <si>
    <t>2021-04-22</t>
  </si>
  <si>
    <t>V1174</t>
  </si>
  <si>
    <t>V1137</t>
  </si>
  <si>
    <t xml:space="preserve">  Redwood Electricals Private Limited </t>
  </si>
  <si>
    <t>UGKCG3448K</t>
  </si>
  <si>
    <t>19UGKCG3448K</t>
  </si>
  <si>
    <t>accounts@redwoodelectricals.in</t>
  </si>
  <si>
    <t>+91 82241 09881</t>
  </si>
  <si>
    <t>858542493214</t>
  </si>
  <si>
    <t>KKBK0587020</t>
  </si>
  <si>
    <t>Net 60</t>
  </si>
  <si>
    <t>2019-07-26</t>
  </si>
  <si>
    <t>V1047</t>
  </si>
  <si>
    <t>Nova Pest Control Private Limited</t>
  </si>
  <si>
    <t>YCUCS3802N</t>
  </si>
  <si>
    <t>19YCUCS3802N1ZL</t>
  </si>
  <si>
    <t>accounts@novapestcontrol.in</t>
  </si>
  <si>
    <t>+91 97240 04991</t>
  </si>
  <si>
    <t>4788728743152</t>
  </si>
  <si>
    <t>UTIB0420549</t>
  </si>
  <si>
    <t>Net 30</t>
  </si>
  <si>
    <t>2023-07-19</t>
  </si>
  <si>
    <t>V1180</t>
  </si>
  <si>
    <t>Bluewave Water Solutions Limited</t>
  </si>
  <si>
    <t>KOVCH2788C</t>
  </si>
  <si>
    <t>33KOVCH2788C1Z3</t>
  </si>
  <si>
    <t>accounts@bluewavewatersolutions.in</t>
  </si>
  <si>
    <t>+91 67422 43864</t>
  </si>
  <si>
    <t>81081866179</t>
  </si>
  <si>
    <t>SBIN0549180</t>
  </si>
  <si>
    <t>15 Days</t>
  </si>
  <si>
    <t>2024-03-10</t>
  </si>
  <si>
    <t>V1186</t>
  </si>
  <si>
    <t>Titan Stationers Private Limited</t>
  </si>
  <si>
    <t>NZHCE6667Q</t>
  </si>
  <si>
    <t>19NZHCE6667Q1ZX</t>
  </si>
  <si>
    <t>accounts@titanstationers.in</t>
  </si>
  <si>
    <t>+91 92081 15562</t>
  </si>
  <si>
    <t>06029084668455</t>
  </si>
  <si>
    <t>HDFC0489267</t>
  </si>
  <si>
    <t>30 Days</t>
  </si>
  <si>
    <t>2023-12-17</t>
  </si>
  <si>
    <t>V1108</t>
  </si>
  <si>
    <t>Western Water Solutions Private Limited</t>
  </si>
  <si>
    <t>ZCECP9611I</t>
  </si>
  <si>
    <t>29ZCECP9611I1ZX</t>
  </si>
  <si>
    <t>accounts@westernwatersolutions.in</t>
  </si>
  <si>
    <t>6669849027</t>
  </si>
  <si>
    <t>03843098839205</t>
  </si>
  <si>
    <t>ICIC0021465</t>
  </si>
  <si>
    <t>60 Days</t>
  </si>
  <si>
    <t>2021-03-31</t>
  </si>
  <si>
    <t>V1022</t>
  </si>
  <si>
    <t>Sunrise Printing Pvt Ltd</t>
  </si>
  <si>
    <t>AVMCI0909X</t>
  </si>
  <si>
    <t>07AVMCI0909X1ZS</t>
  </si>
  <si>
    <t>accounts@sunriseprinting</t>
  </si>
  <si>
    <t>83394-21047</t>
  </si>
  <si>
    <t>95214562328</t>
  </si>
  <si>
    <t>sbin0884247</t>
  </si>
  <si>
    <t>2022-10-19</t>
  </si>
  <si>
    <t>V1083</t>
  </si>
  <si>
    <t>Jupiter Maintenance Limited</t>
  </si>
  <si>
    <t>TTVCW6065W</t>
  </si>
  <si>
    <t>29TTVCW6065W1ZD</t>
  </si>
  <si>
    <t>accounts@jupitermaintenance.in</t>
  </si>
  <si>
    <t>85054-44713</t>
  </si>
  <si>
    <t>475469137367</t>
  </si>
  <si>
    <t>KKBK0508214</t>
  </si>
  <si>
    <t>2024-11-17</t>
  </si>
  <si>
    <t>V1051</t>
  </si>
  <si>
    <t>Western Electricals Pvt Ltd</t>
  </si>
  <si>
    <t>OLECI3106T</t>
  </si>
  <si>
    <t>accounts@westernelectricals.in</t>
  </si>
  <si>
    <t>+91 71190 79030</t>
  </si>
  <si>
    <t>73830284395995</t>
  </si>
  <si>
    <t>ICIC0428364</t>
  </si>
  <si>
    <t>net 45</t>
  </si>
  <si>
    <t>2020-12-18</t>
  </si>
  <si>
    <t>V1203</t>
  </si>
  <si>
    <t>V1179</t>
  </si>
  <si>
    <t>Bluewave Printing Pvt Ltd</t>
  </si>
  <si>
    <t>TMCCM4236C</t>
  </si>
  <si>
    <t>27TMCCM4236C1ZN</t>
  </si>
  <si>
    <t>ACCOUNTS@BLUEWAVEPRINTING.IN</t>
  </si>
  <si>
    <t>+91 96421 47649</t>
  </si>
  <si>
    <t>515837767499</t>
  </si>
  <si>
    <t>UTIB0165926</t>
  </si>
  <si>
    <t>india</t>
  </si>
  <si>
    <t>60D</t>
  </si>
  <si>
    <t>2024-10-03</t>
  </si>
  <si>
    <t>V1073</t>
  </si>
  <si>
    <t>Delta IT Services Limited</t>
  </si>
  <si>
    <t>CSSCB6234I</t>
  </si>
  <si>
    <t>19CSSCB6234I1ZU</t>
  </si>
  <si>
    <t>accounts@deltaitservices.in</t>
  </si>
  <si>
    <t>+91 85743 13291</t>
  </si>
  <si>
    <t>127756185374</t>
  </si>
  <si>
    <t>UTIB0411249</t>
  </si>
  <si>
    <t>15D</t>
  </si>
  <si>
    <t>2022-09-04</t>
  </si>
  <si>
    <t>V1131</t>
  </si>
  <si>
    <t>Falcon Power Systems Private Limited</t>
  </si>
  <si>
    <t>OSWCG7145W</t>
  </si>
  <si>
    <t>36OSWCG7145W1ZK</t>
  </si>
  <si>
    <t>ACCOUNTS@FALCONPOWERSYSTEMS.IN</t>
  </si>
  <si>
    <t>+91 61751 86892</t>
  </si>
  <si>
    <t>86025922220644</t>
  </si>
  <si>
    <t>UTIB0421230</t>
  </si>
  <si>
    <t>2024-07-31</t>
  </si>
  <si>
    <t>V1198</t>
  </si>
  <si>
    <t>Western Engineering Works Limited</t>
  </si>
  <si>
    <t>MDTCY6399A</t>
  </si>
  <si>
    <t>07MDTCY6399A1ZY</t>
  </si>
  <si>
    <t>ACCOUNTS@WESTERNENGINEERINGWORKS.IN</t>
  </si>
  <si>
    <t>UTIB0797232</t>
  </si>
  <si>
    <t>NET15</t>
  </si>
  <si>
    <t>2022-06-30</t>
  </si>
  <si>
    <t>V1161</t>
  </si>
  <si>
    <t>Falcon Pest Control Limited</t>
  </si>
  <si>
    <t>SBECK7252B</t>
  </si>
  <si>
    <t>33SBECK7252B1ZX</t>
  </si>
  <si>
    <t>ACCOUNTS@FALCONPESTCONTROL.IN</t>
  </si>
  <si>
    <t>8044818321</t>
  </si>
  <si>
    <t>855445189520</t>
  </si>
  <si>
    <t>ICIC0845765</t>
  </si>
  <si>
    <t>2020-09-25</t>
  </si>
  <si>
    <t>V1010</t>
  </si>
  <si>
    <t>Delta Maintenance Limited</t>
  </si>
  <si>
    <t>KROCN0366Y</t>
  </si>
  <si>
    <t>24KROCN0366Y1ZB</t>
  </si>
  <si>
    <t>accounts@deltamaintenance.in</t>
  </si>
  <si>
    <t>+91 90546 68893</t>
  </si>
  <si>
    <t>34670656272980</t>
  </si>
  <si>
    <t>UTIB0990162</t>
  </si>
  <si>
    <t>net 60</t>
  </si>
  <si>
    <t>2021-12-01</t>
  </si>
  <si>
    <t>V1104</t>
  </si>
  <si>
    <t>Crestline Logistics LLP</t>
  </si>
  <si>
    <t>PZPCT0827F</t>
  </si>
  <si>
    <t>29PGCQQ0827F1ZE</t>
  </si>
  <si>
    <t>accounts@crestlinelogistics.in</t>
  </si>
  <si>
    <t>+91 72225 91365</t>
  </si>
  <si>
    <t>77739260302</t>
  </si>
  <si>
    <t>2021-11-23</t>
  </si>
  <si>
    <t>V1199</t>
  </si>
  <si>
    <t>Sunrise Landscaping Limited</t>
  </si>
  <si>
    <t>SNQCU5498Y</t>
  </si>
  <si>
    <t>29SNQCU5498Y1ZJ</t>
  </si>
  <si>
    <t>ACCOUNTS@SUNRISELANDSCAPING.IN</t>
  </si>
  <si>
    <t>8954508920</t>
  </si>
  <si>
    <t>880653331537</t>
  </si>
  <si>
    <t>UTIB0959959</t>
  </si>
  <si>
    <t>2020-10-26</t>
  </si>
  <si>
    <t>V1082</t>
  </si>
  <si>
    <t>Horizon IT Services LLP</t>
  </si>
  <si>
    <t>GUECT4511M</t>
  </si>
  <si>
    <t>24GUECT4511M1ZZ</t>
  </si>
  <si>
    <t>accounts@horizonitservices.in</t>
  </si>
  <si>
    <t>88709-98616</t>
  </si>
  <si>
    <t>299911914856</t>
  </si>
  <si>
    <t>2020-08-12</t>
  </si>
  <si>
    <t>V1024</t>
  </si>
  <si>
    <t>Apex Landscaping Limited</t>
  </si>
  <si>
    <t>MOLCV8692N</t>
  </si>
  <si>
    <t>36MOLCV8692N1ZG</t>
  </si>
  <si>
    <t>accounts@apexlandscaping.in</t>
  </si>
  <si>
    <t>9405377351</t>
  </si>
  <si>
    <t>8506431713900</t>
  </si>
  <si>
    <t>SBIN0329318</t>
  </si>
  <si>
    <t>2021-08-12</t>
  </si>
  <si>
    <t>V1163</t>
  </si>
  <si>
    <t>Lotus Stationers LLP</t>
  </si>
  <si>
    <t>BZVCQ9071I</t>
  </si>
  <si>
    <t>ACCOUNTS@LOTUSSTATIONERS.IN</t>
  </si>
  <si>
    <t>61193-93250</t>
  </si>
  <si>
    <t>24955289389</t>
  </si>
  <si>
    <t>HDFC0190833</t>
  </si>
  <si>
    <t>2025-01-09</t>
  </si>
  <si>
    <t>V1095</t>
  </si>
  <si>
    <t>Unity Logistics LLP</t>
  </si>
  <si>
    <t>IMKCJ7226T</t>
  </si>
  <si>
    <t>36IMKCJ7226T1Z6</t>
  </si>
  <si>
    <t>ACCOUNTS@UNITYLOGISTICS.IN</t>
  </si>
  <si>
    <t>88333-94522</t>
  </si>
  <si>
    <t>1587996846081</t>
  </si>
  <si>
    <t>HDFC0620034</t>
  </si>
  <si>
    <t>2021-10-23</t>
  </si>
  <si>
    <t>V1208</t>
  </si>
  <si>
    <t>LOTUS ELECTRICALS L.L.P.</t>
  </si>
  <si>
    <t>JCUCU1076Z</t>
  </si>
  <si>
    <t>accounts@lotuselectricals.in</t>
  </si>
  <si>
    <t>717350583</t>
  </si>
  <si>
    <t>17911006512070</t>
  </si>
  <si>
    <t>SBIN1961108</t>
  </si>
  <si>
    <t>2024-12-25</t>
  </si>
  <si>
    <t>V1197</t>
  </si>
  <si>
    <t>V1173</t>
  </si>
  <si>
    <t>Evergreen Logistics Limited</t>
  </si>
  <si>
    <t>IJCCY3432O</t>
  </si>
  <si>
    <t>36CIMCJ3432O1ZU</t>
  </si>
  <si>
    <t>accounts@evergreenlogistics.in</t>
  </si>
  <si>
    <t>+91 64177 65612</t>
  </si>
  <si>
    <t>8156985700272</t>
  </si>
  <si>
    <t>HDFC0634591</t>
  </si>
  <si>
    <t>Net 15</t>
  </si>
  <si>
    <t>2024-10-16</t>
  </si>
  <si>
    <t>V1042</t>
  </si>
  <si>
    <t>Falcon IT Services Private Limited</t>
  </si>
  <si>
    <t>QRDCK3714O</t>
  </si>
  <si>
    <t>29QRDCK3714O1ZJ</t>
  </si>
  <si>
    <t>accounts@falconitservices.in</t>
  </si>
  <si>
    <t>+91 64696 32595</t>
  </si>
  <si>
    <t>278774701687</t>
  </si>
  <si>
    <t>ICIC0395004</t>
  </si>
  <si>
    <t>NET60</t>
  </si>
  <si>
    <t>2024-04-11</t>
  </si>
  <si>
    <t>V1031</t>
  </si>
  <si>
    <t>Pinnacle Engineering Works Private Limited</t>
  </si>
  <si>
    <t>33EOCCP7449B1Z6</t>
  </si>
  <si>
    <t>accounts@pinnacleengineeringworks.in</t>
  </si>
  <si>
    <t>+91 87700 54119</t>
  </si>
  <si>
    <t>79807935978207</t>
  </si>
  <si>
    <t>HDFC1518203</t>
  </si>
  <si>
    <t>2024-11-16</t>
  </si>
  <si>
    <t>V1014</t>
  </si>
  <si>
    <t>Delta Security Solutions Pvt Ltd</t>
  </si>
  <si>
    <t>JIHCD3518Y</t>
  </si>
  <si>
    <t>36JIHCD3518Y1ZL</t>
  </si>
  <si>
    <t>+91 77498 94134</t>
  </si>
  <si>
    <t>524082400842</t>
  </si>
  <si>
    <t>UTIB0109477</t>
  </si>
  <si>
    <t>2019-07-30</t>
  </si>
  <si>
    <t>V1062</t>
  </si>
  <si>
    <t>Western Power Systems Pvt Ltd</t>
  </si>
  <si>
    <t>MAXCT3796M</t>
  </si>
  <si>
    <t>27MAXCT3796M1ZN</t>
  </si>
  <si>
    <t>ACCOUNTS@WESTERNPOWERSYSTEMS.IN</t>
  </si>
  <si>
    <t>8191825537</t>
  </si>
  <si>
    <t>47859696915</t>
  </si>
  <si>
    <t>SBIN0792499</t>
  </si>
  <si>
    <t>2022-07-06</t>
  </si>
  <si>
    <t>V1015</t>
  </si>
  <si>
    <t>Vertex Power Systems Pvt Ltd</t>
  </si>
  <si>
    <t>ipdcc6719u</t>
  </si>
  <si>
    <t>36IPDCC6719U1ZD</t>
  </si>
  <si>
    <t>accounts@vertexpowersystems.in</t>
  </si>
  <si>
    <t>+91 79413 18699</t>
  </si>
  <si>
    <t>867749649909</t>
  </si>
  <si>
    <t>HDFC0334123</t>
  </si>
  <si>
    <t>2020-10-03</t>
  </si>
  <si>
    <t>V1132</t>
  </si>
  <si>
    <t>Deccan Logistics Limited</t>
  </si>
  <si>
    <t>PRZCA9733S</t>
  </si>
  <si>
    <t>36PRZCA9733S1Z4</t>
  </si>
  <si>
    <t>accounts@deccanlogistics.in</t>
  </si>
  <si>
    <t>022050209945</t>
  </si>
  <si>
    <t>HDFC0016224</t>
  </si>
  <si>
    <t>30D</t>
  </si>
  <si>
    <t>2023-01-15</t>
  </si>
  <si>
    <t>V1157</t>
  </si>
  <si>
    <t>Titan Facility Services LLP</t>
  </si>
  <si>
    <t>PLJCY0254O</t>
  </si>
  <si>
    <t>29PLJCY0254O1ZK</t>
  </si>
  <si>
    <t>accounts@titanfacilityservices.in</t>
  </si>
  <si>
    <t>7222310592</t>
  </si>
  <si>
    <t>SBIN0106727</t>
  </si>
  <si>
    <t>2025-02-15</t>
  </si>
  <si>
    <t>V1127</t>
  </si>
  <si>
    <t>Sunrise Facility Services Private Limited</t>
  </si>
  <si>
    <t>WDKCP9812G</t>
  </si>
  <si>
    <t>24ULUTL9812G1Z3</t>
  </si>
  <si>
    <t>accounts@sunrisefacilityservices.in</t>
  </si>
  <si>
    <t>6384576205</t>
  </si>
  <si>
    <t>5438404608432</t>
  </si>
  <si>
    <t>SBIN0621689</t>
  </si>
  <si>
    <t>2020-09-17</t>
  </si>
  <si>
    <t>V1077</t>
  </si>
  <si>
    <t>Zenith Housekeeping LLP</t>
  </si>
  <si>
    <t>PBCCB3930Q</t>
  </si>
  <si>
    <t>07PBCCB3930Q1ZA</t>
  </si>
  <si>
    <t>accounts@zenithhousekeeping.in</t>
  </si>
  <si>
    <t>7252500292</t>
  </si>
  <si>
    <t>85156915452</t>
  </si>
  <si>
    <t>ICIC0675289</t>
  </si>
  <si>
    <t>2020-12-19</t>
  </si>
  <si>
    <t>V1204</t>
  </si>
  <si>
    <t>IRONBRIDGE LANDSCAPING LIMITED</t>
  </si>
  <si>
    <t>NTXCE3226A</t>
  </si>
  <si>
    <t>29NTXCE3226A1ZV</t>
  </si>
  <si>
    <t>accounts@ironbridgelandscaping.in</t>
  </si>
  <si>
    <t>+91 74216 07337</t>
  </si>
  <si>
    <t>KKBK0501429</t>
  </si>
  <si>
    <t>2025-12-25</t>
  </si>
  <si>
    <t>V1006</t>
  </si>
  <si>
    <t>V1156</t>
  </si>
  <si>
    <t>Kaveri Pest Control LLP</t>
  </si>
  <si>
    <t>dficd2723q</t>
  </si>
  <si>
    <t>36DFICD2723Q1ZB</t>
  </si>
  <si>
    <t>9827567043</t>
  </si>
  <si>
    <t>03856955798</t>
  </si>
  <si>
    <t>KKBK0774924</t>
  </si>
  <si>
    <t>2021-07-17</t>
  </si>
  <si>
    <t>V1182</t>
  </si>
  <si>
    <t>Ironbridge Pest Control Pvt Ltd</t>
  </si>
  <si>
    <t>AWGCA3723N</t>
  </si>
  <si>
    <t>19AWGCA3723N1Z8</t>
  </si>
  <si>
    <t>accounts@ironbridgepestcontrol.in</t>
  </si>
  <si>
    <t>6472760122</t>
  </si>
  <si>
    <t>77079334960501</t>
  </si>
  <si>
    <t>UTIB0679984</t>
  </si>
  <si>
    <t>2024-06-14</t>
  </si>
  <si>
    <t>V1166</t>
  </si>
  <si>
    <t>Zenith Facility Services Private Limited</t>
  </si>
  <si>
    <t>DDICP7320D</t>
  </si>
  <si>
    <t>36DDICP7320D1ZD</t>
  </si>
  <si>
    <t>accounts@zenithfacilityservices.in</t>
  </si>
  <si>
    <t>+91 90269 52499</t>
  </si>
  <si>
    <t>18773477848</t>
  </si>
  <si>
    <t>SBIN0880061</t>
  </si>
  <si>
    <t>2023-03-22</t>
  </si>
  <si>
    <t>V1217</t>
  </si>
  <si>
    <t>Titan IT Svcs Private Limited</t>
  </si>
  <si>
    <t>TOICW9735A</t>
  </si>
  <si>
    <t>29TOICW9735A1ZD</t>
  </si>
  <si>
    <t>accounts@titanitservices.in</t>
  </si>
  <si>
    <t>+91 71442 70312</t>
  </si>
  <si>
    <t>73564757051</t>
  </si>
  <si>
    <t>ICIC0046187</t>
  </si>
  <si>
    <t>2024-02-03</t>
  </si>
  <si>
    <t>V1096</t>
  </si>
  <si>
    <t>Deccan Maintenance Private Limited</t>
  </si>
  <si>
    <t>ebwcz4380l</t>
  </si>
  <si>
    <t>19EBWCZ4380L1Z2</t>
  </si>
  <si>
    <t>ACCOUNTS@DECCANMAINTENANCE.IN</t>
  </si>
  <si>
    <t>78638-40666</t>
  </si>
  <si>
    <t>8004397359893</t>
  </si>
  <si>
    <t>ICIC0472122</t>
  </si>
  <si>
    <t>2023-10-22</t>
  </si>
  <si>
    <t>V1084</t>
  </si>
  <si>
    <t>Zenith IT Services Pvt Ltd</t>
  </si>
  <si>
    <t>SAFCG3030O</t>
  </si>
  <si>
    <t>+91 85786 10357</t>
  </si>
  <si>
    <t>27985524140602</t>
  </si>
  <si>
    <t>KKBK0333346</t>
  </si>
  <si>
    <t>2019-02-06</t>
  </si>
  <si>
    <t>V1030</t>
  </si>
  <si>
    <t>Ganga Electricals Private Limited</t>
  </si>
  <si>
    <t>ZTOCW5161H</t>
  </si>
  <si>
    <t>07ZTOCW5161H1ZZ</t>
  </si>
  <si>
    <t>ACCOUNTS@GANGAELECTRICALS.IN</t>
  </si>
  <si>
    <t>9453521818</t>
  </si>
  <si>
    <t>552312432921</t>
  </si>
  <si>
    <t>ICIC0779979</t>
  </si>
  <si>
    <t>2022-07-18</t>
  </si>
  <si>
    <t>V1041</t>
  </si>
  <si>
    <t>Deccan Water Solutions Private Limited</t>
  </si>
  <si>
    <t>SSECF9959B</t>
  </si>
  <si>
    <t>19SSECF9959B1ZB</t>
  </si>
  <si>
    <t>accounts@deccanwatersolutions.in</t>
  </si>
  <si>
    <t>+91 69439 69078</t>
  </si>
  <si>
    <t>4736471027677</t>
  </si>
  <si>
    <t>ICIC1592555</t>
  </si>
  <si>
    <t>2023-02-26</t>
  </si>
  <si>
    <t>V1145</t>
  </si>
  <si>
    <t>Ganga Pest Control Limited</t>
  </si>
  <si>
    <t>TUICK4414U</t>
  </si>
  <si>
    <t>24TUICK4414U1ZZ</t>
  </si>
  <si>
    <t>accounts@gangapestcontrol.in</t>
  </si>
  <si>
    <t>+91 79385 25800</t>
  </si>
  <si>
    <t>06181753443</t>
  </si>
  <si>
    <t>HDFC0091093</t>
  </si>
  <si>
    <t>net 15</t>
  </si>
  <si>
    <t>2020-05-06</t>
  </si>
  <si>
    <t>V1048</t>
  </si>
  <si>
    <t>Delta Water Solutions Private Limited</t>
  </si>
  <si>
    <t>nqkcc6122p</t>
  </si>
  <si>
    <t>33NQKCC6122P</t>
  </si>
  <si>
    <t>accountsdeltawatersolutions.in</t>
  </si>
  <si>
    <t>+91 86374 54990</t>
  </si>
  <si>
    <t>5301742684145</t>
  </si>
  <si>
    <t>KKBK0332727</t>
  </si>
  <si>
    <t>2025-02-27</t>
  </si>
  <si>
    <t>V1142</t>
  </si>
  <si>
    <t>Chola Electricals LLP</t>
  </si>
  <si>
    <t>OMLCH2690S</t>
  </si>
  <si>
    <t>07OMLCH2690S1ZP</t>
  </si>
  <si>
    <t>ACCOUNTS@CHOLAELECTRICALS.IN</t>
  </si>
  <si>
    <t>+91 98950 09751</t>
  </si>
  <si>
    <t>12847818913718</t>
  </si>
  <si>
    <t>KKBK0490580</t>
  </si>
  <si>
    <t>2024-04-05</t>
  </si>
  <si>
    <t>V1139</t>
  </si>
  <si>
    <t>Jupiter Security Solutions Private Limited</t>
  </si>
  <si>
    <t>OFJCY5992Q</t>
  </si>
  <si>
    <t>27FDHDJ5992Q1ZZ</t>
  </si>
  <si>
    <t>accounts@jupitersecuritysolutions.in</t>
  </si>
  <si>
    <t>88148-76963</t>
  </si>
  <si>
    <t>827615396695</t>
  </si>
  <si>
    <t>KKBK0321971</t>
  </si>
  <si>
    <t>2020-02-04</t>
  </si>
  <si>
    <t>V1123</t>
  </si>
  <si>
    <t>Deccan Engineering Works Private Limited</t>
  </si>
  <si>
    <t>GKACY4888S</t>
  </si>
  <si>
    <t>24GKACY4888S1ZJ</t>
  </si>
  <si>
    <t>accounts@deccanengineeringworks.in</t>
  </si>
  <si>
    <t>6752245933</t>
  </si>
  <si>
    <t>4196931572791</t>
  </si>
  <si>
    <t>KKBK0409610</t>
  </si>
  <si>
    <t>45 Days</t>
  </si>
  <si>
    <t>2023-11-14</t>
  </si>
  <si>
    <t>V1141</t>
  </si>
  <si>
    <t>Evergreen Security Solutions LLP</t>
  </si>
  <si>
    <t>bawcr5140h</t>
  </si>
  <si>
    <t>07BAWCR5140H1ZZ</t>
  </si>
  <si>
    <t>accounts@evergreensecuritysolutions.in</t>
  </si>
  <si>
    <t>9666832723</t>
  </si>
  <si>
    <t>56242201027621</t>
  </si>
  <si>
    <t>ICIC0679692</t>
  </si>
  <si>
    <t>2025-03-11</t>
  </si>
  <si>
    <t>V1036</t>
  </si>
  <si>
    <t>Apex Housekeeping LLP</t>
  </si>
  <si>
    <t>CQRCQ8806P</t>
  </si>
  <si>
    <t>27CQRCQ8806P1ZY</t>
  </si>
  <si>
    <t>accounts@apexhousekeeping.in</t>
  </si>
  <si>
    <t>+91 80515 31952</t>
  </si>
  <si>
    <t>58527722170</t>
  </si>
  <si>
    <t>2025-02-02</t>
  </si>
  <si>
    <t>V1027</t>
  </si>
  <si>
    <t>Chola Security Solutions LLP</t>
  </si>
  <si>
    <t>27CCCCC6152R1Z9</t>
  </si>
  <si>
    <t>accounts@cholasecuritysolutions.in</t>
  </si>
  <si>
    <t>+91 66560 49451</t>
  </si>
  <si>
    <t>273158514936</t>
  </si>
  <si>
    <t>2022-06-19</t>
  </si>
  <si>
    <t>V1058</t>
  </si>
  <si>
    <t>Crestline Pest Control Limited</t>
  </si>
  <si>
    <t>RQNCD0158C</t>
  </si>
  <si>
    <t>24RQNCD0158C1ZU</t>
  </si>
  <si>
    <t>accountscrestlinepestcontrol.in</t>
  </si>
  <si>
    <t>6466183982</t>
  </si>
  <si>
    <t>22444721264647</t>
  </si>
  <si>
    <t>HDFC0543799</t>
  </si>
  <si>
    <t>2020-07-08</t>
  </si>
  <si>
    <t>V1017</t>
  </si>
  <si>
    <t>Bluewave Security Solutions Private Limited</t>
  </si>
  <si>
    <t>TIACC3990Y</t>
  </si>
  <si>
    <t>accounts@bluewavesecuritysolutions.in</t>
  </si>
  <si>
    <t>+91 77874 29671</t>
  </si>
  <si>
    <t>56551256746807</t>
  </si>
  <si>
    <t>HDFC0545168</t>
  </si>
  <si>
    <t>2025-01-31</t>
  </si>
  <si>
    <t>V1069</t>
  </si>
  <si>
    <t>Ironbridge Engineering Works Private Limited</t>
  </si>
  <si>
    <t>MSNCL8271A</t>
  </si>
  <si>
    <t>24MSNCL8271A1ZE</t>
  </si>
  <si>
    <t>accounts@ironbridgeengineeringworks.in</t>
  </si>
  <si>
    <t>8300684866</t>
  </si>
  <si>
    <t>18892414183285</t>
  </si>
  <si>
    <t>UTIB0914630</t>
  </si>
  <si>
    <t>2023-11-15</t>
  </si>
  <si>
    <t>V1087</t>
  </si>
  <si>
    <t>Aaryan Water Solutions LLP</t>
  </si>
  <si>
    <t>BUSCS9173Q</t>
  </si>
  <si>
    <t>27BUSCS9173Q1ZY</t>
  </si>
  <si>
    <t>accounts@aaryanwatersolutions.in</t>
  </si>
  <si>
    <t>9022356972</t>
  </si>
  <si>
    <t>2175250074329</t>
  </si>
  <si>
    <t>ICIC0712966</t>
  </si>
  <si>
    <t>2024-05-09</t>
  </si>
  <si>
    <t>V1143</t>
  </si>
  <si>
    <t>Aaryan Electricals LLP</t>
  </si>
  <si>
    <t>SXKCN5442B</t>
  </si>
  <si>
    <t>36SXKCN5442B1ZT</t>
  </si>
  <si>
    <t>ACCOUNTS@AARYANELECTRICALS.IN</t>
  </si>
  <si>
    <t>+91 67929 04904</t>
  </si>
  <si>
    <t>12814429444019</t>
  </si>
  <si>
    <t>ICIC0927524</t>
  </si>
  <si>
    <t>2024-11-30</t>
  </si>
  <si>
    <t>V1112</t>
  </si>
  <si>
    <t>Falcon Housekeeping Limited</t>
  </si>
  <si>
    <t>frich4795l</t>
  </si>
  <si>
    <t>29FRICH4795L1Z5</t>
  </si>
  <si>
    <t>accounts@falconhousekeeping.in</t>
  </si>
  <si>
    <t>+91 76556 47292</t>
  </si>
  <si>
    <t>143866322702</t>
  </si>
  <si>
    <t>UTIB0728857</t>
  </si>
  <si>
    <t>2019-07-15</t>
  </si>
  <si>
    <t>V1178</t>
  </si>
  <si>
    <t>Redwood Engineering Works Pvt Ltd</t>
  </si>
  <si>
    <t>SVSCG9089F</t>
  </si>
  <si>
    <t>07SVSCG9089F1ZE</t>
  </si>
  <si>
    <t>accounts@redwoodengineeringworks.in</t>
  </si>
  <si>
    <t>91504-16591</t>
  </si>
  <si>
    <t>2017774905097</t>
  </si>
  <si>
    <t>SBIN0923045</t>
  </si>
  <si>
    <t>2025-02-19</t>
  </si>
  <si>
    <t>V1227</t>
  </si>
  <si>
    <t>Pinnacle Engneering Works Private Limited</t>
  </si>
  <si>
    <t>87700-54119</t>
  </si>
  <si>
    <t>2026-03-04</t>
  </si>
  <si>
    <t>V1149</t>
  </si>
  <si>
    <t>Aaryan Power Systems LLP</t>
  </si>
  <si>
    <t>PUACP9032A</t>
  </si>
  <si>
    <t>29PUACP9032A1ZD</t>
  </si>
  <si>
    <t>+91 67929 11179</t>
  </si>
  <si>
    <t>136565198253</t>
  </si>
  <si>
    <t>hdfc0925114</t>
  </si>
  <si>
    <t>2020-11-19</t>
  </si>
  <si>
    <t>V1165</t>
  </si>
  <si>
    <t>Apex IT Services Limited</t>
  </si>
  <si>
    <t>gczcp5207v</t>
  </si>
  <si>
    <t>27GCZCP5207V1ZZ</t>
  </si>
  <si>
    <t>accounts@apexitservices.in</t>
  </si>
  <si>
    <t>6126691215</t>
  </si>
  <si>
    <t>539613674994</t>
  </si>
  <si>
    <t>UTIB0579678</t>
  </si>
  <si>
    <t>2024-02-06</t>
  </si>
  <si>
    <t>V1219</t>
  </si>
  <si>
    <t>Unity Logis. LLP</t>
  </si>
  <si>
    <t>accounts@unitylogistics.in</t>
  </si>
  <si>
    <t>2024-02-09</t>
  </si>
  <si>
    <t>V1081</t>
  </si>
  <si>
    <t>Metro Landscaping Private Limited</t>
  </si>
  <si>
    <t>IOOCI3490</t>
  </si>
  <si>
    <t>19IOOCI3490E1ZG</t>
  </si>
  <si>
    <t>ACCOUNTS@METROLANDSCAPING.IN</t>
  </si>
  <si>
    <t>88693-80686</t>
  </si>
  <si>
    <t>93741608989921</t>
  </si>
  <si>
    <t>2023-11-19</t>
  </si>
  <si>
    <t>V1155</t>
  </si>
  <si>
    <t>Delta Pest Control Limited</t>
  </si>
  <si>
    <t>URWCC8325H</t>
  </si>
  <si>
    <t>24URWCC8325H1ZH</t>
  </si>
  <si>
    <t>ACCOUNTS@DELTAPESTCONTROL.IN</t>
  </si>
  <si>
    <t>735548640</t>
  </si>
  <si>
    <t>5778817884795</t>
  </si>
  <si>
    <t>HDFC0371162</t>
  </si>
  <si>
    <t>2019-11-12</t>
  </si>
  <si>
    <t>V1100</t>
  </si>
  <si>
    <t>Eastern Stationers Private Limited</t>
  </si>
  <si>
    <t>XMZCZ8424V</t>
  </si>
  <si>
    <t>19XMZCZ8424V1ZX</t>
  </si>
  <si>
    <t>ACCOUNTS@EASTERNSTATIONERS.IN</t>
  </si>
  <si>
    <t>+91 71009 96881</t>
  </si>
  <si>
    <t>3536822239431</t>
  </si>
  <si>
    <t>ICIC0908781</t>
  </si>
  <si>
    <t>V1115</t>
  </si>
  <si>
    <t>Jupiter Facility Services Private Limited</t>
  </si>
  <si>
    <t>JHHCX4722Q</t>
  </si>
  <si>
    <t>19JHHCX4722Q1ZK</t>
  </si>
  <si>
    <t>accounts@jupiterfacilityservices.in</t>
  </si>
  <si>
    <t>+91 65577 84872</t>
  </si>
  <si>
    <t>2024-11-13</t>
  </si>
  <si>
    <t>V1034</t>
  </si>
  <si>
    <t>Vertex Water Solutions Private Limited</t>
  </si>
  <si>
    <t>ZTECI0758D</t>
  </si>
  <si>
    <t>36ZTECI0758D1Z7</t>
  </si>
  <si>
    <t>accounts@vertexwatersolutions.in</t>
  </si>
  <si>
    <t>8124782613</t>
  </si>
  <si>
    <t>50606853615305</t>
  </si>
  <si>
    <t>V1013</t>
  </si>
  <si>
    <t>Titan Landscaping LLP</t>
  </si>
  <si>
    <t>KAPCK2735Z</t>
  </si>
  <si>
    <t>33KAPCK2735Z1ZV</t>
  </si>
  <si>
    <t>777014363495</t>
  </si>
  <si>
    <t>UTIB0885685</t>
  </si>
  <si>
    <t>2022-01-14</t>
  </si>
  <si>
    <t>V1052</t>
  </si>
  <si>
    <t>Jupiter IT Services Limited</t>
  </si>
  <si>
    <t>UVNCR7056Z</t>
  </si>
  <si>
    <t>ACCOUNTS@JUPITERITSERVICES.IN</t>
  </si>
  <si>
    <t>92462-87334</t>
  </si>
  <si>
    <t>708668826343</t>
  </si>
  <si>
    <t>SBIN0175183</t>
  </si>
  <si>
    <t>2019-06-11</t>
  </si>
  <si>
    <t>V1055</t>
  </si>
  <si>
    <t>Titan Power Systems LLP</t>
  </si>
  <si>
    <t>VPACA8860A</t>
  </si>
  <si>
    <t>24VPACA8860A1ZR</t>
  </si>
  <si>
    <t>accounts@titanpowersystems.in</t>
  </si>
  <si>
    <t>68621-18233</t>
  </si>
  <si>
    <t>5461567933410</t>
  </si>
  <si>
    <t>HDFC1666870</t>
  </si>
  <si>
    <t>2019-12-05</t>
  </si>
  <si>
    <t>V1154</t>
  </si>
  <si>
    <t>Sunrise Water Solutions Limited</t>
  </si>
  <si>
    <t>HUCCA7427S</t>
  </si>
  <si>
    <t>accounts@sunrisewatersolutions.in</t>
  </si>
  <si>
    <t>+91 92625 70165</t>
  </si>
  <si>
    <t>46498931950</t>
  </si>
  <si>
    <t>KKBK0501657</t>
  </si>
  <si>
    <t>V1159</t>
  </si>
  <si>
    <t>Unity IT Services LLP</t>
  </si>
  <si>
    <t>BVLCM2656L</t>
  </si>
  <si>
    <t>27BVLCM2656L1ZS</t>
  </si>
  <si>
    <t>ACCOUNTS@UNITYITSERVICES.IN</t>
  </si>
  <si>
    <t>8478137674</t>
  </si>
  <si>
    <t>662991234785</t>
  </si>
  <si>
    <t>HDFC0961064</t>
  </si>
  <si>
    <t>2024-03-07</t>
  </si>
  <si>
    <t>V1218</t>
  </si>
  <si>
    <t>West. Power Systems Pvt Ltd</t>
  </si>
  <si>
    <t>accounts@westernpowersystems</t>
  </si>
  <si>
    <t>819182553</t>
  </si>
  <si>
    <t>2023-12-31</t>
  </si>
  <si>
    <t>V1061</t>
  </si>
  <si>
    <t>Western Landscaping LLP</t>
  </si>
  <si>
    <t>ELACP1461D</t>
  </si>
  <si>
    <t>19ELACP1461D1ZJ</t>
  </si>
  <si>
    <t>accounts@westernlandscaping.in</t>
  </si>
  <si>
    <t>8573875717</t>
  </si>
  <si>
    <t>51401051238282</t>
  </si>
  <si>
    <t>SBIN0867362</t>
  </si>
  <si>
    <t>2023-11-06</t>
  </si>
  <si>
    <t>V1205</t>
  </si>
  <si>
    <t>SUNRISE LANDSCAPING LIMITED</t>
  </si>
  <si>
    <t>snqcu5498y</t>
  </si>
  <si>
    <t>accounts@sunriselandscaping.in</t>
  </si>
  <si>
    <t>2022-04-24</t>
  </si>
  <si>
    <t>V1130</t>
  </si>
  <si>
    <t>Evergreen Facility Services Pvt Ltd</t>
  </si>
  <si>
    <t>QUWCZ0817O</t>
  </si>
  <si>
    <t>19QUWCZ0817O1ZC</t>
  </si>
  <si>
    <t>ACCOUNTS@EVERGREENFACILITYSERVICES.IN</t>
  </si>
  <si>
    <t>+91 90868 03476</t>
  </si>
  <si>
    <t>4726490827718</t>
  </si>
  <si>
    <t>HDFC0298266</t>
  </si>
  <si>
    <t>2021-01-02</t>
  </si>
  <si>
    <t>V1225</t>
  </si>
  <si>
    <t>Falcon Houekeeping Limited</t>
  </si>
  <si>
    <t>ACCOUNTS@FALCONHOUSEKEEPING.IN</t>
  </si>
  <si>
    <t>792407553</t>
  </si>
  <si>
    <t>2021-04-06</t>
  </si>
  <si>
    <t>V1138</t>
  </si>
  <si>
    <t>Titan Engineering Works LLP</t>
  </si>
  <si>
    <t>DMBCC6629S</t>
  </si>
  <si>
    <t>36DMBCC6629S1Z2</t>
  </si>
  <si>
    <t>accounts@titanengineeringworks.in</t>
  </si>
  <si>
    <t>+91 85381 79217</t>
  </si>
  <si>
    <t>74773329456</t>
  </si>
  <si>
    <t>ICIC0557701</t>
  </si>
  <si>
    <t>2024-05-14</t>
  </si>
  <si>
    <t>V1202</t>
  </si>
  <si>
    <t>EASTERN IT SERVICES LIMITED</t>
  </si>
  <si>
    <t>MMLCY2404W</t>
  </si>
  <si>
    <t>27MMLCY2404W1ZW</t>
  </si>
  <si>
    <t>accounts@easternitservices.in</t>
  </si>
  <si>
    <t>7042897317</t>
  </si>
  <si>
    <t>308330165712</t>
  </si>
  <si>
    <t>HDFC0826773</t>
  </si>
  <si>
    <t>2021-04-30</t>
  </si>
  <si>
    <t>V1098</t>
  </si>
  <si>
    <t>Crestline Facility Services Private Limited</t>
  </si>
  <si>
    <t>36PRYCU0157H1ZP</t>
  </si>
  <si>
    <t>accounts@crestlinefacilityservices.in</t>
  </si>
  <si>
    <t>70435811288013</t>
  </si>
  <si>
    <t>ICIC0613861</t>
  </si>
  <si>
    <t>2022-09-20</t>
  </si>
  <si>
    <t>V1211</t>
  </si>
  <si>
    <t>Lotus Electricals LLP</t>
  </si>
  <si>
    <t>27JCUCU1076Z1ZV</t>
  </si>
  <si>
    <t>ACCOUNTS@LOTUSELECTRICALS.IN</t>
  </si>
  <si>
    <t>+91 71735 05831</t>
  </si>
  <si>
    <t>SBIN0961108</t>
  </si>
  <si>
    <t>2023-04-12</t>
  </si>
  <si>
    <t>V1184</t>
  </si>
  <si>
    <t>Bluewave Housekeeping Limited</t>
  </si>
  <si>
    <t>VPECF3297D</t>
  </si>
  <si>
    <t>19VPECF3297D1Z0</t>
  </si>
  <si>
    <t>+91 83380 05452</t>
  </si>
  <si>
    <t>801561931837</t>
  </si>
  <si>
    <t>SBIN0550842</t>
  </si>
  <si>
    <t>2023-11-29</t>
  </si>
  <si>
    <t>V1035</t>
  </si>
  <si>
    <t>Kaveri Security Solutions Limited</t>
  </si>
  <si>
    <t>OTACC0432R</t>
  </si>
  <si>
    <t>36OTACC0432R1Z7</t>
  </si>
  <si>
    <t>ACCOUNTS@KAVERISECURITYSOLUTIONS.IN</t>
  </si>
  <si>
    <t>6434103697</t>
  </si>
  <si>
    <t>17980893246</t>
  </si>
  <si>
    <t>HDFC0953962</t>
  </si>
  <si>
    <t>2023-01-17</t>
  </si>
  <si>
    <t>V1206</t>
  </si>
  <si>
    <t>Aaryan  Security Solutions Limited</t>
  </si>
  <si>
    <t>UXECN9731D</t>
  </si>
  <si>
    <t>29UXECN9731D1ZH</t>
  </si>
  <si>
    <t>ACCOUNTS@AARYANSECURITYSOLUTIONS.IN</t>
  </si>
  <si>
    <t>737363466</t>
  </si>
  <si>
    <t>0438983640376</t>
  </si>
  <si>
    <t>HDFC0379180</t>
  </si>
  <si>
    <t>45D</t>
  </si>
  <si>
    <t>2022-11-10</t>
  </si>
  <si>
    <t>V1068</t>
  </si>
  <si>
    <t>V1213</t>
  </si>
  <si>
    <t>BHARAT IT SERVICES PVT LTD</t>
  </si>
  <si>
    <t>QVJCB3690A</t>
  </si>
  <si>
    <t>29QVJCB3690A1ZT</t>
  </si>
  <si>
    <t>accounts@bharatitservices.in</t>
  </si>
  <si>
    <t>+91 74151 48881</t>
  </si>
  <si>
    <t>83885160607159</t>
  </si>
  <si>
    <t>UTIB0966416</t>
  </si>
  <si>
    <t>2021-11-08</t>
  </si>
  <si>
    <t>V1181</t>
  </si>
  <si>
    <t>Nova Logistics Limited</t>
  </si>
  <si>
    <t>FZFCM0164K</t>
  </si>
  <si>
    <t>24FZFCM0164K1Z3</t>
  </si>
  <si>
    <t>accounts@novalogistics.in</t>
  </si>
  <si>
    <t>8523219416</t>
  </si>
  <si>
    <t>06102776974</t>
  </si>
  <si>
    <t>KKBK0956412</t>
  </si>
  <si>
    <t>2020-04-03</t>
  </si>
  <si>
    <t>Western  Electricals PVT LTD</t>
  </si>
  <si>
    <t>19OLECI3106T1ZB</t>
  </si>
  <si>
    <t>+91 98578 72558</t>
  </si>
  <si>
    <t>2023-05-06</t>
  </si>
  <si>
    <t>V1183</t>
  </si>
  <si>
    <t>Orchid Pest Control Private Limited</t>
  </si>
  <si>
    <t>QSXCT7308A</t>
  </si>
  <si>
    <t>07CZDCU7308A1ZU</t>
  </si>
  <si>
    <t>8671795760</t>
  </si>
  <si>
    <t>437573839597</t>
  </si>
  <si>
    <t>ICIC0466572</t>
  </si>
  <si>
    <t>2019-12-20</t>
  </si>
  <si>
    <t>V1105</t>
  </si>
  <si>
    <t>Horizon Maintenance Limited</t>
  </si>
  <si>
    <t>FQMCT9041G</t>
  </si>
  <si>
    <t>07FQMCT9041G1Z4</t>
  </si>
  <si>
    <t>accounts@horizonmaintenance.in</t>
  </si>
  <si>
    <t>+91 73692 92984</t>
  </si>
  <si>
    <t>579913662103</t>
  </si>
  <si>
    <t>KKBK1862912</t>
  </si>
  <si>
    <t>2019-06-09</t>
  </si>
  <si>
    <t>V1147</t>
  </si>
  <si>
    <t>Pinnacle Pest Control Private Limited</t>
  </si>
  <si>
    <t>CSXCI7072</t>
  </si>
  <si>
    <t>36CSXCI7072U1ZA</t>
  </si>
  <si>
    <t>accounts@pinnaclepestcontrol.in</t>
  </si>
  <si>
    <t>9425690877</t>
  </si>
  <si>
    <t>61830671985546</t>
  </si>
  <si>
    <t>HDFC0158517</t>
  </si>
  <si>
    <t>2020-12-24</t>
  </si>
  <si>
    <t>V1018</t>
  </si>
  <si>
    <t>Bluewave Electricals Pvt Ltd</t>
  </si>
  <si>
    <t>ONBCG8597U</t>
  </si>
  <si>
    <t>07WJOBT8597U1ZD</t>
  </si>
  <si>
    <t>8824771093</t>
  </si>
  <si>
    <t>480861317127</t>
  </si>
  <si>
    <t>SBIN0846773</t>
  </si>
  <si>
    <t>2023-04-21</t>
  </si>
  <si>
    <t>V1033</t>
  </si>
  <si>
    <t>Quantum Logistics Private Limited</t>
  </si>
  <si>
    <t>GKYCP3322C</t>
  </si>
  <si>
    <t>33GKYCP3322C1ZG</t>
  </si>
  <si>
    <t>accounts@quantumlogistics.in</t>
  </si>
  <si>
    <t>+91 89296 22292</t>
  </si>
  <si>
    <t>06537947383473</t>
  </si>
  <si>
    <t>SBIN0977468</t>
  </si>
  <si>
    <t>2021-03-28</t>
  </si>
  <si>
    <t>V1102</t>
  </si>
  <si>
    <t>Orchid IT Services Private Limited</t>
  </si>
  <si>
    <t>FUTCC4283I</t>
  </si>
  <si>
    <t>36FUTCC4283I1ZE</t>
  </si>
  <si>
    <t>accounts@orchiditservices.in</t>
  </si>
  <si>
    <t>6809969308</t>
  </si>
  <si>
    <t>8872563942788</t>
  </si>
  <si>
    <t>HDFC0658039</t>
  </si>
  <si>
    <t>2020-07-28</t>
  </si>
  <si>
    <t>V1099</t>
  </si>
  <si>
    <t>Ironbridge Logistics LLP</t>
  </si>
  <si>
    <t>BCCCB2481S</t>
  </si>
  <si>
    <t>19BCCCB2481S1ZO</t>
  </si>
  <si>
    <t>accounts@ironbridgelogistics.in</t>
  </si>
  <si>
    <t>96766-50618</t>
  </si>
  <si>
    <t>HDFC0476607</t>
  </si>
  <si>
    <t>2020-07-12</t>
  </si>
  <si>
    <t>V1144</t>
  </si>
  <si>
    <t>Deccan Security Solutions Limited</t>
  </si>
  <si>
    <t>BKCCE9276Y</t>
  </si>
  <si>
    <t>07BKCCE9276Y1ZP</t>
  </si>
  <si>
    <t>accounts@deccansecuritysolutions.in</t>
  </si>
  <si>
    <t>+91 73950 41027</t>
  </si>
  <si>
    <t>74783667428604</t>
  </si>
  <si>
    <t>UTIB0658018</t>
  </si>
  <si>
    <t>2023-11-04</t>
  </si>
  <si>
    <t>V1222</t>
  </si>
  <si>
    <t>Metro Engg Works LLP</t>
  </si>
  <si>
    <t>29QOECT8259K1ZZ</t>
  </si>
  <si>
    <t>accounts@metroengineeringworks.in</t>
  </si>
  <si>
    <t>+91 88887 94705</t>
  </si>
  <si>
    <t>1694097499309</t>
  </si>
  <si>
    <t>UTIB0289623</t>
  </si>
  <si>
    <t>2021-08-07</t>
  </si>
  <si>
    <t>V1056</t>
  </si>
  <si>
    <t>Evergreen Water Solutions Limited</t>
  </si>
  <si>
    <t>PNUCZ5918</t>
  </si>
  <si>
    <t>29PNUCZ5918B1ZN</t>
  </si>
  <si>
    <t>accounts@evergreenwatersolutions.in</t>
  </si>
  <si>
    <t>8014890250</t>
  </si>
  <si>
    <t>926142939685</t>
  </si>
  <si>
    <t>UTIB0218501</t>
  </si>
  <si>
    <t>2019-11-08</t>
  </si>
  <si>
    <t>CRESTLINE FACILITY SERVICES PVT. LTD.</t>
  </si>
  <si>
    <t>PRYCU0157H</t>
  </si>
  <si>
    <t>86164-84085</t>
  </si>
  <si>
    <t>2023-10-29</t>
  </si>
  <si>
    <t>V1040</t>
  </si>
  <si>
    <t>Metro Printing Limited</t>
  </si>
  <si>
    <t>WXPCQ6691E</t>
  </si>
  <si>
    <t>33WXPCQ6691E1ZE</t>
  </si>
  <si>
    <t>accounts@metroprinting.in</t>
  </si>
  <si>
    <t>98528-92268</t>
  </si>
  <si>
    <t>18242253584</t>
  </si>
  <si>
    <t>HDFC0438424</t>
  </si>
  <si>
    <t>2020-11-21</t>
  </si>
  <si>
    <t>V1114</t>
  </si>
  <si>
    <t>Ganga Printing LLP</t>
  </si>
  <si>
    <t>CCFCK3554W</t>
  </si>
  <si>
    <t>33CCFCK3554W1ZZ</t>
  </si>
  <si>
    <t>ACCOUNTS@GANGAPRINTING.IN</t>
  </si>
  <si>
    <t>+91 95987 62202</t>
  </si>
  <si>
    <t>413261117800</t>
  </si>
  <si>
    <t>UTIB0811492</t>
  </si>
  <si>
    <t>2023-05-16</t>
  </si>
  <si>
    <t>V1007</t>
  </si>
  <si>
    <t>Ironbridge Security Solutions LLP</t>
  </si>
  <si>
    <t>LXZCK6981M</t>
  </si>
  <si>
    <t>24LXZCK6981M1ZM</t>
  </si>
  <si>
    <t>accounts@ironbridgesecuritysolutions.in</t>
  </si>
  <si>
    <t>66088-35615</t>
  </si>
  <si>
    <t>1484656482366</t>
  </si>
  <si>
    <t>2023-10-27</t>
  </si>
  <si>
    <t>V1016</t>
  </si>
  <si>
    <t>Pinnacle Printing Limited</t>
  </si>
  <si>
    <t>ANOCW9740H</t>
  </si>
  <si>
    <t>33ANOCW9740H</t>
  </si>
  <si>
    <t>accounts@pinnacleprinting.in</t>
  </si>
  <si>
    <t>+91 63493 61832</t>
  </si>
  <si>
    <t>2102499471746</t>
  </si>
  <si>
    <t>2022-08-13</t>
  </si>
  <si>
    <t>V1076</t>
  </si>
  <si>
    <t xml:space="preserve">  Quantum Power Systems Private Limited </t>
  </si>
  <si>
    <t>KMICF0593A</t>
  </si>
  <si>
    <t>19KMICF0593A1ZR</t>
  </si>
  <si>
    <t>+91 98593 21334</t>
  </si>
  <si>
    <t>39652239559</t>
  </si>
  <si>
    <t>HDFC0599293</t>
  </si>
  <si>
    <t>2020-12-20</t>
  </si>
  <si>
    <t>V1113</t>
  </si>
  <si>
    <t>Chola Engineering Works LLP</t>
  </si>
  <si>
    <t>27MDWCF0347U1Z2</t>
  </si>
  <si>
    <t>accounts@cholaengineeringworks.in</t>
  </si>
  <si>
    <t>+91 85588 45061</t>
  </si>
  <si>
    <t>9399824558771</t>
  </si>
  <si>
    <t>UTIB1947225</t>
  </si>
  <si>
    <t>2023-07-16</t>
  </si>
  <si>
    <t>V1152</t>
  </si>
  <si>
    <t>Sunrise Engineering Works Private Limited</t>
  </si>
  <si>
    <t>HYDCK3136G</t>
  </si>
  <si>
    <t>07HYDCK3136G1ZO</t>
  </si>
  <si>
    <t>accounts@sunriseengineeringworks.in</t>
  </si>
  <si>
    <t>9970623972</t>
  </si>
  <si>
    <t>52735435209042</t>
  </si>
  <si>
    <t>HDFC0776253</t>
  </si>
  <si>
    <t>2020-11-27</t>
  </si>
  <si>
    <t>V1168</t>
  </si>
  <si>
    <t>Greenfield Power Systems Pvt Ltd</t>
  </si>
  <si>
    <t>MDNCL5650V</t>
  </si>
  <si>
    <t>accounts@greenfieldpowersystems.in</t>
  </si>
  <si>
    <t>89114-15208</t>
  </si>
  <si>
    <t>0769864079056</t>
  </si>
  <si>
    <t>KKBK0659171</t>
  </si>
  <si>
    <t>2024-08-21</t>
  </si>
  <si>
    <t>V1201</t>
  </si>
  <si>
    <t>Nova  Housekeeping Limited</t>
  </si>
  <si>
    <t>DHJCD2528M</t>
  </si>
  <si>
    <t>07DHJCD2528M1ZI</t>
  </si>
  <si>
    <t>accounts@novahousekeeping.in</t>
  </si>
  <si>
    <t>+91 95596 30993</t>
  </si>
  <si>
    <t>579050723688</t>
  </si>
  <si>
    <t>UTIB0676772</t>
  </si>
  <si>
    <t>2022-01-01</t>
  </si>
  <si>
    <t>V1002</t>
  </si>
  <si>
    <t>Evergreen Electricals Private Limited</t>
  </si>
  <si>
    <t>VNLCN6701B</t>
  </si>
  <si>
    <t>07VNLCN6701B1ZV</t>
  </si>
  <si>
    <t>accounts@evergreenelectricals.in</t>
  </si>
  <si>
    <t>+91 73387 26247</t>
  </si>
  <si>
    <t>178108013267</t>
  </si>
  <si>
    <t>utib0360260</t>
  </si>
  <si>
    <t>2024-02-07</t>
  </si>
  <si>
    <t>V1120</t>
  </si>
  <si>
    <t>Pinnacle IT Services Limited</t>
  </si>
  <si>
    <t>FCQCE7448L</t>
  </si>
  <si>
    <t>07FCQCE7448L1ZA</t>
  </si>
  <si>
    <t>accounts@pinnacleitservices.in</t>
  </si>
  <si>
    <t>+91 70959 35186</t>
  </si>
  <si>
    <t>878294565118</t>
  </si>
  <si>
    <t>HDFC0022031</t>
  </si>
  <si>
    <t>2019-05-11</t>
  </si>
  <si>
    <t>V1103</t>
  </si>
  <si>
    <t>Jupiter Stationers Pvt Ltd</t>
  </si>
  <si>
    <t>OFFCS9275B</t>
  </si>
  <si>
    <t>+91 64530 38567</t>
  </si>
  <si>
    <t>00518449892665</t>
  </si>
  <si>
    <t>KKBK1184638</t>
  </si>
  <si>
    <t>2022-11-14</t>
  </si>
  <si>
    <t>V1009</t>
  </si>
  <si>
    <t>Chola Landscaping LLP</t>
  </si>
  <si>
    <t>OBRCH1727V</t>
  </si>
  <si>
    <t>24OBRCH1727V1Z9</t>
  </si>
  <si>
    <t>accounts@cholalandscaping.in</t>
  </si>
  <si>
    <t>9986872774</t>
  </si>
  <si>
    <t>487347143455</t>
  </si>
  <si>
    <t>KKBK0122362</t>
  </si>
  <si>
    <t>2023-07-28</t>
  </si>
  <si>
    <t>V1169</t>
  </si>
  <si>
    <t>Quantum Facility Services Private Limited</t>
  </si>
  <si>
    <t>ZYVCK2945N</t>
  </si>
  <si>
    <t>accounts@quantumfacilityservices.in</t>
  </si>
  <si>
    <t>+91 74404 96391</t>
  </si>
  <si>
    <t>95419876351</t>
  </si>
  <si>
    <t>SBIN0846853</t>
  </si>
  <si>
    <t>2024-10-11</t>
  </si>
  <si>
    <t>V1160</t>
  </si>
  <si>
    <t>Nova IT Services LLP</t>
  </si>
  <si>
    <t>07WSYCE3264R1ZC</t>
  </si>
  <si>
    <t>accounts@novaitservices.in</t>
  </si>
  <si>
    <t>878730024</t>
  </si>
  <si>
    <t>14627301471959</t>
  </si>
  <si>
    <t>UTIB0964715</t>
  </si>
  <si>
    <t>2020-10-29</t>
  </si>
  <si>
    <t>V1039</t>
  </si>
  <si>
    <t xml:space="preserve">  Eastern Pest Control Private Limited </t>
  </si>
  <si>
    <t>DIYCI7394W</t>
  </si>
  <si>
    <t>07DIYCI7394W1ZM</t>
  </si>
  <si>
    <t>accounts@easternpestcontrol.in</t>
  </si>
  <si>
    <t>717271551</t>
  </si>
  <si>
    <t>4225831323705</t>
  </si>
  <si>
    <t>KKBK0957829</t>
  </si>
  <si>
    <t>2023-06-19</t>
  </si>
  <si>
    <t>V1021</t>
  </si>
  <si>
    <t>Ironbridge Water Solutions Pvt Ltd</t>
  </si>
  <si>
    <t>QNSCV2221T</t>
  </si>
  <si>
    <t>19QNSCV2221T1ZY</t>
  </si>
  <si>
    <t>accounts@ironbridgewatersolutions.in</t>
  </si>
  <si>
    <t>+91 99237 47407</t>
  </si>
  <si>
    <t>8217594647436</t>
  </si>
  <si>
    <t>UTIB0136959</t>
  </si>
  <si>
    <t>V1177</t>
  </si>
  <si>
    <t>Kaveri Logistics Pvt Ltd</t>
  </si>
  <si>
    <t>ITYCI8562K</t>
  </si>
  <si>
    <t>36ITYCI8562K1Z5</t>
  </si>
  <si>
    <t>ACCOUNTS@KAVERILOGISTICS.IN</t>
  </si>
  <si>
    <t>9032032074</t>
  </si>
  <si>
    <t>761707587771</t>
  </si>
  <si>
    <t>ICIC0151342</t>
  </si>
  <si>
    <t>2022-01-22</t>
  </si>
  <si>
    <t>V1072</t>
  </si>
  <si>
    <t>Eastern Water Solutions Pvt Ltd</t>
  </si>
  <si>
    <t>SZJCX9375S</t>
  </si>
  <si>
    <t>07SZJCX9375S1ZM</t>
  </si>
  <si>
    <t>accounts@easternwatersolutions.in</t>
  </si>
  <si>
    <t>7060385050</t>
  </si>
  <si>
    <t>41383670241038</t>
  </si>
  <si>
    <t>UTIB0571918</t>
  </si>
  <si>
    <t>2023-06-04</t>
  </si>
  <si>
    <t>V1212</t>
  </si>
  <si>
    <t>GREENFIELD POWER SYSTEMS PVT LTD</t>
  </si>
  <si>
    <t>29MDNCL5650V1ZP</t>
  </si>
  <si>
    <t>8911415208</t>
  </si>
  <si>
    <t>KKBK1659171</t>
  </si>
  <si>
    <t>2025-12-12</t>
  </si>
  <si>
    <t>V1167</t>
  </si>
  <si>
    <t xml:space="preserve">  Quantum Landscaping LLP </t>
  </si>
  <si>
    <t>OOBCB2842P</t>
  </si>
  <si>
    <t>07OOBCB2842P1ZI</t>
  </si>
  <si>
    <t>accounts@quantumlandscaping.in</t>
  </si>
  <si>
    <t>97197-88977</t>
  </si>
  <si>
    <t>806479695450</t>
  </si>
  <si>
    <t>HDFC0902559</t>
  </si>
  <si>
    <t>2022-10-29</t>
  </si>
  <si>
    <t>V1067</t>
  </si>
  <si>
    <t>Bluewave IT Services Private Limited</t>
  </si>
  <si>
    <t>BMUCJ3611A</t>
  </si>
  <si>
    <t>29BMUCJ3611A1Z4</t>
  </si>
  <si>
    <t>accounts@bluewaveitservices.in</t>
  </si>
  <si>
    <t>7938700516</t>
  </si>
  <si>
    <t>713611155426</t>
  </si>
  <si>
    <t>ICIC0218909</t>
  </si>
  <si>
    <t>2021-05-22</t>
  </si>
  <si>
    <t>V1220</t>
  </si>
  <si>
    <t>Deccan Maint. Private Limited</t>
  </si>
  <si>
    <t>EBWCZ4380L</t>
  </si>
  <si>
    <t>+91 77389 87751</t>
  </si>
  <si>
    <t>V1192</t>
  </si>
  <si>
    <t>Ganga IT Services LLP</t>
  </si>
  <si>
    <t>JNVCF0952A</t>
  </si>
  <si>
    <t>36JNVCF0952A1ZD</t>
  </si>
  <si>
    <t>accounts@gangaitservices.in</t>
  </si>
  <si>
    <t>9152654610</t>
  </si>
  <si>
    <t>399378861405</t>
  </si>
  <si>
    <t>UTIB0861706</t>
  </si>
  <si>
    <t>2019-03-18</t>
  </si>
  <si>
    <t>V1060</t>
  </si>
  <si>
    <t>Kaveri Maintenance Limited</t>
  </si>
  <si>
    <t>HIVCE6617T</t>
  </si>
  <si>
    <t>07HIVCE6617T1ZZ</t>
  </si>
  <si>
    <t>accounts@kaverimaintenance.in</t>
  </si>
  <si>
    <t>6589113529</t>
  </si>
  <si>
    <t>96561014388</t>
  </si>
  <si>
    <t>KKBK0993756</t>
  </si>
  <si>
    <t>2024-08-11</t>
  </si>
  <si>
    <t>V1019</t>
  </si>
  <si>
    <t>Delta Logistics LLP</t>
  </si>
  <si>
    <t>6449972787</t>
  </si>
  <si>
    <t>5886753396360</t>
  </si>
  <si>
    <t>sbin0766270</t>
  </si>
  <si>
    <t>2022-09-21</t>
  </si>
  <si>
    <t>V1136</t>
  </si>
  <si>
    <t>Nova Landscaping Pvt Ltd</t>
  </si>
  <si>
    <t>LOJCG8421</t>
  </si>
  <si>
    <t>19LOJCG8421L1ZC</t>
  </si>
  <si>
    <t>accounts@novalandscaping.in</t>
  </si>
  <si>
    <t>6780782357</t>
  </si>
  <si>
    <t>5218230768104</t>
  </si>
  <si>
    <t>HDFC0915701</t>
  </si>
  <si>
    <t>2022-07-02</t>
  </si>
  <si>
    <t>V1119</t>
  </si>
  <si>
    <t>Vertex Logistics Private Limited</t>
  </si>
  <si>
    <t>WTECL1327C</t>
  </si>
  <si>
    <t>36WTECL1327C1ZV</t>
  </si>
  <si>
    <t>ACCOUNTS@VERTEXLOGISTICS.IN</t>
  </si>
  <si>
    <t>6528127358</t>
  </si>
  <si>
    <t>7306524077848</t>
  </si>
  <si>
    <t>utib0392855</t>
  </si>
  <si>
    <t>2025-03-21</t>
  </si>
  <si>
    <t>V1162</t>
  </si>
  <si>
    <t>Apex Facility Services Limited</t>
  </si>
  <si>
    <t>QHGCZ8988</t>
  </si>
  <si>
    <t>24QHGCZ8988W1ZH</t>
  </si>
  <si>
    <t>accounts@apexfacilityservices.in</t>
  </si>
  <si>
    <t>9112075452</t>
  </si>
  <si>
    <t>ICIC0161107</t>
  </si>
  <si>
    <t>2020-03-17</t>
  </si>
  <si>
    <t>V1216</t>
  </si>
  <si>
    <t>Falc. Landscaping Pvt Ltd</t>
  </si>
  <si>
    <t>+91 78404 45669</t>
  </si>
  <si>
    <t>2026-02-23</t>
  </si>
  <si>
    <t>V1172</t>
  </si>
  <si>
    <t>Sunrise IT Services Limited</t>
  </si>
  <si>
    <t>ZXXCH6321F</t>
  </si>
  <si>
    <t>29ZXXCH6321F1ZR</t>
  </si>
  <si>
    <t>accounts@sunriseitservices.in</t>
  </si>
  <si>
    <t>+91 94907 85158</t>
  </si>
  <si>
    <t>73425754090034</t>
  </si>
  <si>
    <t>2023-05-29</t>
  </si>
  <si>
    <t>V1074</t>
  </si>
  <si>
    <t>Chola IT Services Pvt Ltd</t>
  </si>
  <si>
    <t>ECWCH5680V</t>
  </si>
  <si>
    <t>33ECWCH5680V1ZQ</t>
  </si>
  <si>
    <t>accounts@cholaitservices.in</t>
  </si>
  <si>
    <t>+91 66788 31712</t>
  </si>
  <si>
    <t>HDFC0013721</t>
  </si>
  <si>
    <t>2024-03-03</t>
  </si>
  <si>
    <t>V1089</t>
  </si>
  <si>
    <t>Titan Water Solutions Limited</t>
  </si>
  <si>
    <t>GXACS8215W</t>
  </si>
  <si>
    <t>36GXACS8215W1ZC</t>
  </si>
  <si>
    <t>accounts@titanwatersolutions.in</t>
  </si>
  <si>
    <t>+91 88909 01001</t>
  </si>
  <si>
    <t>KKBK0926189</t>
  </si>
  <si>
    <t>2020-03-11</t>
  </si>
  <si>
    <t>V1117</t>
  </si>
  <si>
    <t>Titan IT Services Private Limited</t>
  </si>
  <si>
    <t>2021-10-21</t>
  </si>
  <si>
    <t>V1158</t>
  </si>
  <si>
    <t>Eastern Security Solutions LLP</t>
  </si>
  <si>
    <t>QKUCW4749V</t>
  </si>
  <si>
    <t>29QKUCW4749V1Z2</t>
  </si>
  <si>
    <t>accounts@easternsecuritysolutions.in</t>
  </si>
  <si>
    <t>+91 67028 14069</t>
  </si>
  <si>
    <t>751509398343</t>
  </si>
  <si>
    <t>HDFC0187186</t>
  </si>
  <si>
    <t>2024-09-26</t>
  </si>
  <si>
    <t>V1032</t>
  </si>
  <si>
    <t>Ironbridge Facility Services LLP</t>
  </si>
  <si>
    <t>qtfcl5466y</t>
  </si>
  <si>
    <t>33QTFCL5466Y1ZD</t>
  </si>
  <si>
    <t>accounts@ironbridgefacilityservices.in</t>
  </si>
  <si>
    <t>6518644925</t>
  </si>
  <si>
    <t>92546291486</t>
  </si>
  <si>
    <t>SBIN0281685</t>
  </si>
  <si>
    <t>2021-01-08</t>
  </si>
  <si>
    <t>V1088</t>
  </si>
  <si>
    <t>Greenfield Housekeeping Pvt Ltd</t>
  </si>
  <si>
    <t>MABCR3505Y</t>
  </si>
  <si>
    <t>19MABCR3505Y1Z7</t>
  </si>
  <si>
    <t>accounts@greenfieldhousekeeping.in</t>
  </si>
  <si>
    <t>60335-42168</t>
  </si>
  <si>
    <t>2104478985625</t>
  </si>
  <si>
    <t>UTIB0532603</t>
  </si>
  <si>
    <t>2020-06-21</t>
  </si>
  <si>
    <t>V1134</t>
  </si>
  <si>
    <t>Crestline Engineering Works Private Limited</t>
  </si>
  <si>
    <t>PZFCT3430D</t>
  </si>
  <si>
    <t>accounts@crestlineengineeringworks.in</t>
  </si>
  <si>
    <t>7966055830</t>
  </si>
  <si>
    <t>441448850155</t>
  </si>
  <si>
    <t>2024-05-16</t>
  </si>
  <si>
    <t>V1011</t>
  </si>
  <si>
    <t>Aaryan Maintenance LLP</t>
  </si>
  <si>
    <t>MKGCO5564Y</t>
  </si>
  <si>
    <t>19MKGCO5564Y1Z0</t>
  </si>
  <si>
    <t>accounts@aaryanmaintenance.in</t>
  </si>
  <si>
    <t>67080-53100</t>
  </si>
  <si>
    <t>309232719374</t>
  </si>
  <si>
    <t>SBIN0299124</t>
  </si>
  <si>
    <t>2022-07-01</t>
  </si>
  <si>
    <t>V1049</t>
  </si>
  <si>
    <t>Nova Electricals LLP</t>
  </si>
  <si>
    <t>07PYRCZ3391Q1Z7</t>
  </si>
  <si>
    <t>accounts@novaelectricals.in</t>
  </si>
  <si>
    <t>+91 69108 83982</t>
  </si>
  <si>
    <t>587139718707</t>
  </si>
  <si>
    <t>2022-06-16</t>
  </si>
  <si>
    <t>V1080</t>
  </si>
  <si>
    <t>Nova Water Solutions Limited</t>
  </si>
  <si>
    <t>XXRCI4431B</t>
  </si>
  <si>
    <t>07XXRCI4431B1Z9</t>
  </si>
  <si>
    <t>accounts@novawatersolutions.in</t>
  </si>
  <si>
    <t>+91 70506 14973</t>
  </si>
  <si>
    <t>03241714677</t>
  </si>
  <si>
    <t>SBIN0186256</t>
  </si>
  <si>
    <t>2019-07-02</t>
  </si>
  <si>
    <t>V1151</t>
  </si>
  <si>
    <t>Eastern Landscaping LLP</t>
  </si>
  <si>
    <t>DTLCY8837Y</t>
  </si>
  <si>
    <t>36DTLCY8837Y1ZN</t>
  </si>
  <si>
    <t>accounts@easternlandscaping.in</t>
  </si>
  <si>
    <t>4364597010822</t>
  </si>
  <si>
    <t>HDFC0781137</t>
  </si>
  <si>
    <t>2022-08-27</t>
  </si>
  <si>
    <t>V1107</t>
  </si>
  <si>
    <t>Western Stationers LLP</t>
  </si>
  <si>
    <t>WZKCN5126U</t>
  </si>
  <si>
    <t>accounts@westernstationers.in</t>
  </si>
  <si>
    <t>9959463688</t>
  </si>
  <si>
    <t>25887449562137</t>
  </si>
  <si>
    <t>ICIC0138658</t>
  </si>
  <si>
    <t>2019-01-22</t>
  </si>
  <si>
    <t>V1101</t>
  </si>
  <si>
    <t>Lotus Water Solutions Private Limited</t>
  </si>
  <si>
    <t>DGXCS7552V</t>
  </si>
  <si>
    <t>36DGXCS7552V1ZP</t>
  </si>
  <si>
    <t>accounts@lotuswatersolutions.in</t>
  </si>
  <si>
    <t>8913577594</t>
  </si>
  <si>
    <t>995562053364</t>
  </si>
  <si>
    <t>SBIN0257775</t>
  </si>
  <si>
    <t>2020-03-21</t>
  </si>
  <si>
    <t>V1085</t>
  </si>
  <si>
    <t>Crestline Power Systems LLP</t>
  </si>
  <si>
    <t>PEUCF9034T</t>
  </si>
  <si>
    <t>19PEUCF9034T</t>
  </si>
  <si>
    <t>accounts@crestlinepowersystems.in</t>
  </si>
  <si>
    <t>965743748</t>
  </si>
  <si>
    <t>91085899441715</t>
  </si>
  <si>
    <t>SBIN0544432</t>
  </si>
  <si>
    <t>2023-07-14</t>
  </si>
  <si>
    <t>V1188</t>
  </si>
  <si>
    <t>Unity Printing LLP</t>
  </si>
  <si>
    <t>OKHCZ9989H</t>
  </si>
  <si>
    <t>33OKHCZ9989H1ZT</t>
  </si>
  <si>
    <t>accounts@unityprinting.in</t>
  </si>
  <si>
    <t>+91 76831 58935</t>
  </si>
  <si>
    <t>12661106273715</t>
  </si>
  <si>
    <t>KKBK0698864</t>
  </si>
  <si>
    <t>2023-12-08</t>
  </si>
  <si>
    <t>V1221</t>
  </si>
  <si>
    <t>Pinnacle Security Soln Limited</t>
  </si>
  <si>
    <t>OVYCR2082S</t>
  </si>
  <si>
    <t>07OVYCR2082S1ZN</t>
  </si>
  <si>
    <t>accounts@pinnaclesecuritysolutions.in</t>
  </si>
  <si>
    <t>8896908357</t>
  </si>
  <si>
    <t>324665136442</t>
  </si>
  <si>
    <t>SBIN0936312</t>
  </si>
  <si>
    <t>2023-07-10</t>
  </si>
  <si>
    <t>V1045</t>
  </si>
  <si>
    <t>Ganga Engineering Works Private Limited</t>
  </si>
  <si>
    <t>accounts@gangaengineeringworks.in</t>
  </si>
  <si>
    <t>78385-78652</t>
  </si>
  <si>
    <t>85854973348434</t>
  </si>
  <si>
    <t>SBIN0375758</t>
  </si>
  <si>
    <t>V1200</t>
  </si>
  <si>
    <t>Zenith Engineering Works Pvt Ltd</t>
  </si>
  <si>
    <t>DOZCB7303W</t>
  </si>
  <si>
    <t>29DOZCB7303W1Z3</t>
  </si>
  <si>
    <t>accounts@zenithengineeringworks.in</t>
  </si>
  <si>
    <t>+91 77563 62050</t>
  </si>
  <si>
    <t>50812473950</t>
  </si>
  <si>
    <t>HDFC0334234</t>
  </si>
  <si>
    <t>V1190</t>
  </si>
  <si>
    <t>Metro Facility Services LLP</t>
  </si>
  <si>
    <t>FXPCA1851B</t>
  </si>
  <si>
    <t>07FXPCA1851B</t>
  </si>
  <si>
    <t>ACCOUNTS@METROFACILITYSERVICES.IN</t>
  </si>
  <si>
    <t>95679-22877</t>
  </si>
  <si>
    <t>25199663658074</t>
  </si>
  <si>
    <t>HDFC0209481</t>
  </si>
  <si>
    <t>2025-01-28</t>
  </si>
  <si>
    <t>V1187</t>
  </si>
  <si>
    <t>Orchid Facility Services Limited</t>
  </si>
  <si>
    <t>24WLZCZ6341B1ZV</t>
  </si>
  <si>
    <t>2008943468105</t>
  </si>
  <si>
    <t>SBIN0851017</t>
  </si>
  <si>
    <t>V1071</t>
  </si>
  <si>
    <t>Bharat Pest Control Limited</t>
  </si>
  <si>
    <t>SVXCD3800A</t>
  </si>
  <si>
    <t>29SVXCD3800A1ZC</t>
  </si>
  <si>
    <t>ACCOUNTS@BHARATPESTCONTROL.IN</t>
  </si>
  <si>
    <t>+91 86220 86353</t>
  </si>
  <si>
    <t>54195180238061</t>
  </si>
  <si>
    <t>UTIB0445187</t>
  </si>
  <si>
    <t>2022-04-09</t>
  </si>
  <si>
    <t>V1028</t>
  </si>
  <si>
    <t>Zenith Maintenance Private Limited</t>
  </si>
  <si>
    <t>KLACF2961E</t>
  </si>
  <si>
    <t>36KLACF2961E1ZB</t>
  </si>
  <si>
    <t>ACCOUNTS@ZENITHMAINTENANCE.IN</t>
  </si>
  <si>
    <t>+91 76675 25459</t>
  </si>
  <si>
    <t>02290147679</t>
  </si>
  <si>
    <t>2024-06-16</t>
  </si>
  <si>
    <t>V1097</t>
  </si>
  <si>
    <t>Lotus Pest Control Private Limited</t>
  </si>
  <si>
    <t>IRICE2940K</t>
  </si>
  <si>
    <t>07IRICE2940K1ZJ</t>
  </si>
  <si>
    <t>accounts@lotuspestcontrol.in</t>
  </si>
  <si>
    <t>+91 75909 47985</t>
  </si>
  <si>
    <t>58328182688</t>
  </si>
  <si>
    <t>UTIB0153355</t>
  </si>
  <si>
    <t>2024-12-12</t>
  </si>
  <si>
    <t>V1050</t>
  </si>
  <si>
    <t>Metro Power Systems Private Limited</t>
  </si>
  <si>
    <t>XAMCI0391B</t>
  </si>
  <si>
    <t>07XAMCI0391B1ZW</t>
  </si>
  <si>
    <t>accounts@metropowersystems.in</t>
  </si>
  <si>
    <t>+91 61704 62265</t>
  </si>
  <si>
    <t>76618251286823</t>
  </si>
  <si>
    <t>HDFC0047868</t>
  </si>
  <si>
    <t>2021-10-10</t>
  </si>
  <si>
    <t>V1023</t>
  </si>
  <si>
    <t>Western Facility Services Private Limited</t>
  </si>
  <si>
    <t>ZDOCC2368L</t>
  </si>
  <si>
    <t>27ZDOCC2368L1ZZ</t>
  </si>
  <si>
    <t>accounts@westernfacilityservices.in</t>
  </si>
  <si>
    <t>8817549651</t>
  </si>
  <si>
    <t>709859317461</t>
  </si>
  <si>
    <t>ICIC0004711</t>
  </si>
  <si>
    <t>2020-07-09</t>
  </si>
  <si>
    <t>V1053</t>
  </si>
  <si>
    <t>Bluewave Power Systems LLP</t>
  </si>
  <si>
    <t>CGZCY9837G</t>
  </si>
  <si>
    <t>19CGZCY9837G1ZV</t>
  </si>
  <si>
    <t>accounts@bluewavepowersystems.in</t>
  </si>
  <si>
    <t>+91 63317 39363</t>
  </si>
  <si>
    <t>4678544587717</t>
  </si>
  <si>
    <t>SBIN0355609</t>
  </si>
  <si>
    <t>2019-03-08</t>
  </si>
  <si>
    <t>V1093</t>
  </si>
  <si>
    <t>Ganga Housekeeping Private Limited</t>
  </si>
  <si>
    <t>CPOCK1701M</t>
  </si>
  <si>
    <t>07CPOCK1701M</t>
  </si>
  <si>
    <t>accounts@gangahousekeeping.in</t>
  </si>
  <si>
    <t>6994883755</t>
  </si>
  <si>
    <t>37589975711</t>
  </si>
  <si>
    <t>ICIC0055488</t>
  </si>
  <si>
    <t>2019-07-07</t>
  </si>
  <si>
    <t>V1111</t>
  </si>
  <si>
    <t>Quantum Maintenance LLP</t>
  </si>
  <si>
    <t>DCVCV7908B</t>
  </si>
  <si>
    <t>19DCVCV7908B1Z4</t>
  </si>
  <si>
    <t>accounts@quantummaintenance.in</t>
  </si>
  <si>
    <t>8794728463</t>
  </si>
  <si>
    <t>086780856271</t>
  </si>
  <si>
    <t>KKBK0750036</t>
  </si>
  <si>
    <t>2021-11-29</t>
  </si>
  <si>
    <t>V1148</t>
  </si>
  <si>
    <t>Falcon Maintenance Limited</t>
  </si>
  <si>
    <t>RBMCV3461U</t>
  </si>
  <si>
    <t>36RBMCV3461U1ZW</t>
  </si>
  <si>
    <t>accounts@falconmaintenance.in</t>
  </si>
  <si>
    <t>67320-30937</t>
  </si>
  <si>
    <t>18478700505061</t>
  </si>
  <si>
    <t>icic0878293</t>
  </si>
  <si>
    <t>2020-08-02</t>
  </si>
  <si>
    <t>V1063</t>
  </si>
  <si>
    <t>Nova Housekeeping Limited</t>
  </si>
  <si>
    <t>9278282742</t>
  </si>
  <si>
    <t>2021-06-22</t>
  </si>
  <si>
    <t>V1008</t>
  </si>
  <si>
    <t>Falcon Electricals Limited</t>
  </si>
  <si>
    <t>ZSTCU5777V</t>
  </si>
  <si>
    <t>29ZSTCU5777V1Z6</t>
  </si>
  <si>
    <t>accounts@falconelectricals.in</t>
  </si>
  <si>
    <t>71489-51343</t>
  </si>
  <si>
    <t>200379176936</t>
  </si>
  <si>
    <t>UTIB0632016</t>
  </si>
  <si>
    <t>2024-10-22</t>
  </si>
  <si>
    <t>V1128</t>
  </si>
  <si>
    <t>Delta Engineering Works Pvt Ltd</t>
  </si>
  <si>
    <t>NJTCK7823U</t>
  </si>
  <si>
    <t>29NJTCK7823U1Z8</t>
  </si>
  <si>
    <t>+91 74826 29251</t>
  </si>
  <si>
    <t>25205664742</t>
  </si>
  <si>
    <t>ICIC0122099</t>
  </si>
  <si>
    <t>2021-08-03</t>
  </si>
  <si>
    <t>V1092</t>
  </si>
  <si>
    <t>Quantum Pest Control LLP</t>
  </si>
  <si>
    <t>BCICU5089X</t>
  </si>
  <si>
    <t>24BCICU5089X1ZO</t>
  </si>
  <si>
    <t>accounts@quantumpestcontrol.in</t>
  </si>
  <si>
    <t>6637562890</t>
  </si>
  <si>
    <t>28772175354</t>
  </si>
  <si>
    <t>HDFC0838663</t>
  </si>
  <si>
    <t>2024-01-10</t>
  </si>
  <si>
    <t>V1037</t>
  </si>
  <si>
    <t>Falcon Stationers Private Limited</t>
  </si>
  <si>
    <t>PIBCY3450U</t>
  </si>
  <si>
    <t>33PIBCY3450U1ZR</t>
  </si>
  <si>
    <t>accounts@falconstationers.in</t>
  </si>
  <si>
    <t>8667652775</t>
  </si>
  <si>
    <t>1616928451154</t>
  </si>
  <si>
    <t>SBIN0796275</t>
  </si>
  <si>
    <t>2022-12-15</t>
  </si>
  <si>
    <t>V1057</t>
  </si>
  <si>
    <t>Nova Stationers Limited</t>
  </si>
  <si>
    <t>KTYCT9650U</t>
  </si>
  <si>
    <t>33KTYCT9650U1Z2</t>
  </si>
  <si>
    <t>accounts@novastationers.in</t>
  </si>
  <si>
    <t>7586629619</t>
  </si>
  <si>
    <t>3114262655110</t>
  </si>
  <si>
    <t>SBIN0754121</t>
  </si>
  <si>
    <t>2025-03-31</t>
  </si>
  <si>
    <t>V1106</t>
  </si>
  <si>
    <t>Unity Maintenance Limited</t>
  </si>
  <si>
    <t>ZRQCY1172T</t>
  </si>
  <si>
    <t>24ZRQCY1172T1ZA</t>
  </si>
  <si>
    <t>accounts@unitymaintenance.in</t>
  </si>
  <si>
    <t>9508637659</t>
  </si>
  <si>
    <t>62473149864</t>
  </si>
  <si>
    <t>ICIC0009818</t>
  </si>
  <si>
    <t>2021-04-21</t>
  </si>
  <si>
    <t>V1196</t>
  </si>
  <si>
    <t>Pinnacle Landscaping LLP</t>
  </si>
  <si>
    <t>EISCH8430W</t>
  </si>
  <si>
    <t>36EISCH8430W1Z8</t>
  </si>
  <si>
    <t>accounts@pinnaclelandscaping.in</t>
  </si>
  <si>
    <t>9060566418</t>
  </si>
  <si>
    <t>75803046875063</t>
  </si>
  <si>
    <t>SBIN0190361</t>
  </si>
  <si>
    <t>2022-09-10</t>
  </si>
  <si>
    <t>V1223</t>
  </si>
  <si>
    <t>Orchid Elec. Limited</t>
  </si>
  <si>
    <t>PZBCU2727R</t>
  </si>
  <si>
    <t>33PZBCU2727R1Z3</t>
  </si>
  <si>
    <t>accounts@orchidelectricals.in</t>
  </si>
  <si>
    <t>68495-88039</t>
  </si>
  <si>
    <t>5124056829962</t>
  </si>
  <si>
    <t>KKBK0145046</t>
  </si>
  <si>
    <t>2023-10-14</t>
  </si>
  <si>
    <t>V1164</t>
  </si>
  <si>
    <t>Redwood Pest Control Pvt Ltd</t>
  </si>
  <si>
    <t>AXDCG8759F</t>
  </si>
  <si>
    <t>07AXDCG8759F1ZG</t>
  </si>
  <si>
    <t>accountsredwoodpestcontrol.in</t>
  </si>
  <si>
    <t>+91 86638 36151</t>
  </si>
  <si>
    <t>18275480157164</t>
  </si>
  <si>
    <t>UTIB0947386</t>
  </si>
  <si>
    <t>2023-10-19</t>
  </si>
  <si>
    <t>V1176</t>
  </si>
  <si>
    <t>Redwood Landscaping Private Limited</t>
  </si>
  <si>
    <t>CDRCB0537L</t>
  </si>
  <si>
    <t>24CDRCB0537L1ZC</t>
  </si>
  <si>
    <t>ACCOUNTS@REDWOODLANDSCAPING.IN</t>
  </si>
  <si>
    <t>88964-65280</t>
  </si>
  <si>
    <t>428757215862</t>
  </si>
  <si>
    <t>SBIN0150274</t>
  </si>
  <si>
    <t>2022-03-04</t>
  </si>
  <si>
    <t>V1070</t>
  </si>
  <si>
    <t>Kaveri Power Systems Private Limited</t>
  </si>
  <si>
    <t>DOTCT0421A</t>
  </si>
  <si>
    <t>36DOTCT0421A1ZI</t>
  </si>
  <si>
    <t>accounts@kaveripowersystems.in</t>
  </si>
  <si>
    <t>+91 77588 42524</t>
  </si>
  <si>
    <t>05648149177</t>
  </si>
  <si>
    <t>KKBK0507925</t>
  </si>
  <si>
    <t>2020-02-26</t>
  </si>
  <si>
    <t>V1207</t>
  </si>
  <si>
    <t>Horizon  Housekeeping Pvt. Ltd.</t>
  </si>
  <si>
    <t>MNVCD7711K</t>
  </si>
  <si>
    <t>24MNVCD7711K1ZJ</t>
  </si>
  <si>
    <t>accounts@horizonhousekeeping.in</t>
  </si>
  <si>
    <t>749985698</t>
  </si>
  <si>
    <t>89611836736576</t>
  </si>
  <si>
    <t>UTIB0156545</t>
  </si>
  <si>
    <t>2024-12-02</t>
  </si>
  <si>
    <t>V1124</t>
  </si>
  <si>
    <t>Zenith Security Solutions LLP</t>
  </si>
  <si>
    <t>NDYCH9060J</t>
  </si>
  <si>
    <t>24NDYCH9060J1ZC</t>
  </si>
  <si>
    <t>ACCOUNTS@ZENITHSECURITYSOLUTIONS.IN</t>
  </si>
  <si>
    <t>+91 75832 06799</t>
  </si>
  <si>
    <t>36462251790</t>
  </si>
  <si>
    <t>KKBK0641686</t>
  </si>
  <si>
    <t>2024-05-23</t>
  </si>
  <si>
    <t>V1215</t>
  </si>
  <si>
    <t>Quantum  Stationers PVT LTD</t>
  </si>
  <si>
    <t>9854777252</t>
  </si>
  <si>
    <t>ICIC1120387</t>
  </si>
  <si>
    <t>2025-06-06</t>
  </si>
  <si>
    <t>V1185</t>
  </si>
  <si>
    <t>Ganga Landscaping Private Limited</t>
  </si>
  <si>
    <t>ZOYCD1991R</t>
  </si>
  <si>
    <t>27ZOYCD1991R1Z6</t>
  </si>
  <si>
    <t>accounts@gangalandscaping.in</t>
  </si>
  <si>
    <t>7135247871</t>
  </si>
  <si>
    <t>552137603754</t>
  </si>
  <si>
    <t>KKBK0214565</t>
  </si>
  <si>
    <t>2024-12-09</t>
  </si>
  <si>
    <t>V1133</t>
  </si>
  <si>
    <t>Deccan Housekeeping Private Limited</t>
  </si>
  <si>
    <t>BCYCJ5561</t>
  </si>
  <si>
    <t>07BCYCJ5561Y1Z9</t>
  </si>
  <si>
    <t>accounts@deccanhousekeeping.in</t>
  </si>
  <si>
    <t>87214-58683</t>
  </si>
  <si>
    <t>901981794695</t>
  </si>
  <si>
    <t>SBIN0899529</t>
  </si>
  <si>
    <t>V1191</t>
  </si>
  <si>
    <t xml:space="preserve">  Ironbridge IT Services Pvt Ltd </t>
  </si>
  <si>
    <t>SYBCS8378A</t>
  </si>
  <si>
    <t>27ANAUY8378A1Z8</t>
  </si>
  <si>
    <t>accounts@ironbridgeitservices.in</t>
  </si>
  <si>
    <t>90705626085641</t>
  </si>
  <si>
    <t>HDFC0182422</t>
  </si>
  <si>
    <t>2020-09-23</t>
  </si>
  <si>
    <t>V1193</t>
  </si>
  <si>
    <t xml:space="preserve">  Delta Facility Services Limited </t>
  </si>
  <si>
    <t>IRSCV1382J</t>
  </si>
  <si>
    <t>24IRSCV1382J1Z0</t>
  </si>
  <si>
    <t>accounts@deltafacilityservices.in</t>
  </si>
  <si>
    <t>6832582386</t>
  </si>
  <si>
    <t>00794200749465</t>
  </si>
  <si>
    <t>ICIC0984028</t>
  </si>
  <si>
    <t>2023-06-08</t>
  </si>
  <si>
    <t>V1214</t>
  </si>
  <si>
    <t>AARYAN WATER SOLUTIONS L.L.P.</t>
  </si>
  <si>
    <t>6150835354</t>
  </si>
  <si>
    <t>2026-09-20</t>
  </si>
  <si>
    <t>V1228</t>
  </si>
  <si>
    <t>Falcon Staioners Private Limited</t>
  </si>
  <si>
    <t>+91 86676 52775</t>
  </si>
  <si>
    <t>2025-01-20</t>
  </si>
  <si>
    <t>V1118</t>
  </si>
  <si>
    <t>Jupiter Power Systems Limited</t>
  </si>
  <si>
    <t>MADCY3673X</t>
  </si>
  <si>
    <t>27MADCY3673X1ZM</t>
  </si>
  <si>
    <t>accounts@jupiterpowersystems.in</t>
  </si>
  <si>
    <t>+91 68376 45208</t>
  </si>
  <si>
    <t>47435031365</t>
  </si>
  <si>
    <t>HDFC0249163</t>
  </si>
  <si>
    <t>2024-04-30</t>
  </si>
  <si>
    <t>V1094</t>
  </si>
  <si>
    <t>Jupiter Pest Control Limited</t>
  </si>
  <si>
    <t>FPECW6149G</t>
  </si>
  <si>
    <t>29FPECW6149G1ZH</t>
  </si>
  <si>
    <t>accounts@jupiterpestcontrol.in</t>
  </si>
  <si>
    <t>+91 77351 60917</t>
  </si>
  <si>
    <t>98270808697829</t>
  </si>
  <si>
    <t>ICIC0216995</t>
  </si>
  <si>
    <t>2021-10-13</t>
  </si>
  <si>
    <t>V1065</t>
  </si>
  <si>
    <t>Horizon Facility Services LLP</t>
  </si>
  <si>
    <t>SLRCI9825W</t>
  </si>
  <si>
    <t>33SLRCI9825W1ZS</t>
  </si>
  <si>
    <t>accounts@horizonfacilityservices.in</t>
  </si>
  <si>
    <t>+91 62604 22325</t>
  </si>
  <si>
    <t>672946671168</t>
  </si>
  <si>
    <t>SBIN0577590</t>
  </si>
  <si>
    <t>2024-02-21</t>
  </si>
  <si>
    <t>V1125</t>
  </si>
  <si>
    <t>Falcon Facility Services Pvt Ltd</t>
  </si>
  <si>
    <t>RGPCM9389X</t>
  </si>
  <si>
    <t>24RGPCM9389X1ZP</t>
  </si>
  <si>
    <t>accounts@falconfacilityservices.in</t>
  </si>
  <si>
    <t>+91 64659 11665</t>
  </si>
  <si>
    <t>3559042597927</t>
  </si>
  <si>
    <t>HDFC1335211</t>
  </si>
  <si>
    <t>2020-08-27</t>
  </si>
  <si>
    <t>V1170</t>
  </si>
  <si>
    <t>Pinnacle Security Solutions Limited</t>
  </si>
  <si>
    <t>07MYNGM2082S1ZN</t>
  </si>
  <si>
    <t>+91 88969 08357</t>
  </si>
  <si>
    <t>2022-06-25</t>
  </si>
  <si>
    <t>V1066</t>
  </si>
  <si>
    <t>Crestline Water Solutions Limited</t>
  </si>
  <si>
    <t>UVWCL1863N</t>
  </si>
  <si>
    <t>19UVWCL1863N1ZN</t>
  </si>
  <si>
    <t>accounts@crestlinewatersolutions.in</t>
  </si>
  <si>
    <t>8545892975</t>
  </si>
  <si>
    <t>01701277063</t>
  </si>
  <si>
    <t>ICIC0424154</t>
  </si>
  <si>
    <t>2020-11-08</t>
  </si>
  <si>
    <t>V1140</t>
  </si>
  <si>
    <t>Apex Logistics LLP</t>
  </si>
  <si>
    <t>OFJCM1919Y</t>
  </si>
  <si>
    <t>19OFJCM1919Y1ZY</t>
  </si>
  <si>
    <t>accounts@apexlogistics.in</t>
  </si>
  <si>
    <t>90132-90227</t>
  </si>
  <si>
    <t>6997335494651</t>
  </si>
  <si>
    <t>KKBK0098624</t>
  </si>
  <si>
    <t>2025-02-26</t>
  </si>
  <si>
    <t>V1090</t>
  </si>
  <si>
    <t>Ganga Power Systems Pvt Ltd</t>
  </si>
  <si>
    <t>PGTCG4835W</t>
  </si>
  <si>
    <t>07PGTCG4835W</t>
  </si>
  <si>
    <t>accounts@gangapowersystems.in</t>
  </si>
  <si>
    <t>6873753001</t>
  </si>
  <si>
    <t>97218114374</t>
  </si>
  <si>
    <t>SBIN0701204</t>
  </si>
  <si>
    <t>2022-07-04</t>
  </si>
  <si>
    <t>V1210</t>
  </si>
  <si>
    <t>APEX HOUSEKEEPING L.L.P.</t>
  </si>
  <si>
    <t>80515-31952</t>
  </si>
  <si>
    <t>2026-11-21</t>
  </si>
  <si>
    <t>V1116</t>
  </si>
  <si>
    <t>Eastern Housekeeping Private Limited</t>
  </si>
  <si>
    <t>YELCJ7807Y</t>
  </si>
  <si>
    <t>07YELCJ7807Y1ZT</t>
  </si>
  <si>
    <t>accounts@easternhousekeeping.in</t>
  </si>
  <si>
    <t>+91 94930 85368</t>
  </si>
  <si>
    <t>63266341638944</t>
  </si>
  <si>
    <t>KKBK0463122</t>
  </si>
  <si>
    <t>V1224</t>
  </si>
  <si>
    <t>Nova IT ervices LLP</t>
  </si>
  <si>
    <t>ACCOUNTS@NOVAITSERVICES.IN</t>
  </si>
  <si>
    <t>+91 87873 00244</t>
  </si>
  <si>
    <t>2022-03-22</t>
  </si>
  <si>
    <t>V1189</t>
  </si>
  <si>
    <t>Titan Logistics Pvt Ltd</t>
  </si>
  <si>
    <t>WPXCN2282P</t>
  </si>
  <si>
    <t>36WPXCN2282P</t>
  </si>
  <si>
    <t>accounts@titanlogistics.in</t>
  </si>
  <si>
    <t>6377028519</t>
  </si>
  <si>
    <t>11594082154544</t>
  </si>
  <si>
    <t>UTIB0022960</t>
  </si>
  <si>
    <t>2021-06-02</t>
  </si>
  <si>
    <t>V1078</t>
  </si>
  <si>
    <t xml:space="preserve">  Nova Engineering Works Private Limited </t>
  </si>
  <si>
    <t>MJXCW4220W</t>
  </si>
  <si>
    <t>24MJXCW4220W</t>
  </si>
  <si>
    <t>accounts@novaengineeringworks.in</t>
  </si>
  <si>
    <t>7959391725</t>
  </si>
  <si>
    <t>35521570433</t>
  </si>
  <si>
    <t>HDFC0541006</t>
  </si>
  <si>
    <t>2020-11-12</t>
  </si>
  <si>
    <t>V1026</t>
  </si>
  <si>
    <t>Horizon Housekeeping Private Limited</t>
  </si>
  <si>
    <t>7499856984</t>
  </si>
  <si>
    <t>2024-04-26</t>
  </si>
  <si>
    <t>V1025</t>
  </si>
  <si>
    <t>Unity Water Solutions Pvt Ltd</t>
  </si>
  <si>
    <t>KYECZ9042E</t>
  </si>
  <si>
    <t>24KYECZ9042E1ZQ</t>
  </si>
  <si>
    <t>accounts@unitywatersolutions.in</t>
  </si>
  <si>
    <t>60205-39502</t>
  </si>
  <si>
    <t>0268117758917</t>
  </si>
  <si>
    <t>KKBK0390847</t>
  </si>
  <si>
    <t>2024-05-15</t>
  </si>
  <si>
    <t>V1038</t>
  </si>
  <si>
    <t>Bharat Water Solutions Private Limited</t>
  </si>
  <si>
    <t>TNICU0165Q</t>
  </si>
  <si>
    <t>19TNICU0165Q1ZK</t>
  </si>
  <si>
    <t>ACCOUNTS@BHARATWATERSOLUTIONS.IN</t>
  </si>
  <si>
    <t>7970213556</t>
  </si>
  <si>
    <t>92755719285</t>
  </si>
  <si>
    <t>UTIB0543102</t>
  </si>
  <si>
    <t>2025-04-19</t>
  </si>
  <si>
    <t>V1194</t>
  </si>
  <si>
    <t>Evergreen Stationers LLP</t>
  </si>
  <si>
    <t>WDECX8463T</t>
  </si>
  <si>
    <t>24WDECX8463T1ZU</t>
  </si>
  <si>
    <t>ACCOUNTS@EVERGREENSTATIONERS.IN</t>
  </si>
  <si>
    <t>8743553795</t>
  </si>
  <si>
    <t>20970026876</t>
  </si>
  <si>
    <t>KKBK0118071</t>
  </si>
  <si>
    <t>V1043</t>
  </si>
  <si>
    <t>Horizon Pest Control Private Limited</t>
  </si>
  <si>
    <t>JRACD6245Y</t>
  </si>
  <si>
    <t>07JRACD6245Y1ZX</t>
  </si>
  <si>
    <t>accounts@horizonpestcontrol.in</t>
  </si>
  <si>
    <t>9098358416</t>
  </si>
  <si>
    <t>84991216558523</t>
  </si>
  <si>
    <t>KKBK0868000</t>
  </si>
  <si>
    <t>2024-04-24</t>
  </si>
  <si>
    <t>V1129</t>
  </si>
  <si>
    <t>Bluewave Maintenance LLP</t>
  </si>
  <si>
    <t>THHCV0517E</t>
  </si>
  <si>
    <t>24THHCV0517E1Z4</t>
  </si>
  <si>
    <t>accounts@bluewavemaintenance.in</t>
  </si>
  <si>
    <t>+91 76772 23306</t>
  </si>
  <si>
    <t>46333127975</t>
  </si>
  <si>
    <t>UTIB0366096</t>
  </si>
  <si>
    <t>2025-01-05</t>
  </si>
  <si>
    <t>V1135</t>
  </si>
  <si>
    <t>Orchid Electricals Limited</t>
  </si>
  <si>
    <t>2021-08-31</t>
  </si>
  <si>
    <t>V1059</t>
  </si>
  <si>
    <t>Unity Security Solutions LLP</t>
  </si>
  <si>
    <t>JAMCK9657K</t>
  </si>
  <si>
    <t>07JAMCK9657K1ZI</t>
  </si>
  <si>
    <t>accounts@unitysecuritysolutions.in</t>
  </si>
  <si>
    <t>+91 89375 26547</t>
  </si>
  <si>
    <t>564651939828</t>
  </si>
  <si>
    <t>HDFC0737416</t>
  </si>
  <si>
    <t>2022-05-25</t>
  </si>
  <si>
    <t>V1075</t>
  </si>
  <si>
    <t>Ganga Security Solutions LLP</t>
  </si>
  <si>
    <t>BFSCN6706V</t>
  </si>
  <si>
    <t>07BFSCN6706V1ZL</t>
  </si>
  <si>
    <t>accounts@gangasecuritysolutions.in</t>
  </si>
  <si>
    <t>7244720999</t>
  </si>
  <si>
    <t>476870146263</t>
  </si>
  <si>
    <t>kkbk0380657</t>
  </si>
  <si>
    <t>2024-08-19</t>
  </si>
  <si>
    <t>V1175</t>
  </si>
  <si>
    <t>Redwood IT Services LLP</t>
  </si>
  <si>
    <t>AWQCN7713W</t>
  </si>
  <si>
    <t>29AWQCN7713W1ZM</t>
  </si>
  <si>
    <t>accounts@redwooditservices.in</t>
  </si>
  <si>
    <t>8762639343</t>
  </si>
  <si>
    <t>26204439735971</t>
  </si>
  <si>
    <t>HDFC0725636</t>
  </si>
  <si>
    <t>2021-11-15</t>
  </si>
  <si>
    <t>V1146</t>
  </si>
  <si>
    <t>Bharat Maintenance Private Limited</t>
  </si>
  <si>
    <t>CTECM9212I</t>
  </si>
  <si>
    <t>33LAGAL9212I1Z3</t>
  </si>
  <si>
    <t>accounts@bharatmaintenance.in</t>
  </si>
  <si>
    <t>9465421406</t>
  </si>
  <si>
    <t>50442717396271</t>
  </si>
  <si>
    <t>icic0863917</t>
  </si>
  <si>
    <t>2019-10-26</t>
  </si>
  <si>
    <t>V1005</t>
  </si>
  <si>
    <t>Kaveri Facility Services LLP</t>
  </si>
  <si>
    <t>WKGCV4874B</t>
  </si>
  <si>
    <t>27WKGCV4874B1Z1</t>
  </si>
  <si>
    <t>accounts@kaverifacilityservices.in</t>
  </si>
  <si>
    <t>+91 60524 27868</t>
  </si>
  <si>
    <t>11280598262</t>
  </si>
  <si>
    <t>HDFC1450533</t>
  </si>
  <si>
    <t>2025-04-12</t>
  </si>
  <si>
    <t>V1012</t>
  </si>
  <si>
    <t>Ganga Maintenance Private Limited</t>
  </si>
  <si>
    <t>SVMCM3193D</t>
  </si>
  <si>
    <t>36SVMCM3193D1ZT</t>
  </si>
  <si>
    <t>accounts@gangamaintenance.in</t>
  </si>
  <si>
    <t>+91 65865 18506</t>
  </si>
  <si>
    <t>16572628498776</t>
  </si>
  <si>
    <t>KKBK0453147</t>
  </si>
  <si>
    <t>2023-04-02</t>
  </si>
  <si>
    <t>V1029</t>
  </si>
  <si>
    <t>Bharat IT Services Pvt Ltd</t>
  </si>
  <si>
    <t>+91 74451 07622</t>
  </si>
  <si>
    <t>2020-12-04</t>
  </si>
  <si>
    <t>V1121</t>
  </si>
  <si>
    <t>Vertex Engineering Works Pvt Ltd</t>
  </si>
  <si>
    <t>SUMCV7899I</t>
  </si>
  <si>
    <t>27SUMCV7899I1ZX</t>
  </si>
  <si>
    <t>accounts@vertexengineeringworks.in</t>
  </si>
  <si>
    <t>6037170586</t>
  </si>
  <si>
    <t>0948014138113</t>
  </si>
  <si>
    <t>KKBK0633839</t>
  </si>
  <si>
    <t>2025-04-05</t>
  </si>
  <si>
    <t>V1064</t>
  </si>
  <si>
    <t>Vertex Electricals Private Limited</t>
  </si>
  <si>
    <t>JBICH8427</t>
  </si>
  <si>
    <t>36JBICH8427S1Z5</t>
  </si>
  <si>
    <t>accounts@vertexelectricals.in</t>
  </si>
  <si>
    <t>+91 64858 07836</t>
  </si>
  <si>
    <t>KKBK0596292</t>
  </si>
  <si>
    <t>2019-09-01</t>
  </si>
  <si>
    <t>V1126</t>
  </si>
  <si>
    <t>Sunrise Power Systems Pvt Ltd</t>
  </si>
  <si>
    <t>33JAKCW1477A1ZN</t>
  </si>
  <si>
    <t>accounts@sunrisepowersystems.in</t>
  </si>
  <si>
    <t>7884879206</t>
  </si>
  <si>
    <t>42043940701</t>
  </si>
  <si>
    <t>UTIB0451046</t>
  </si>
  <si>
    <t>2024-09-13</t>
  </si>
  <si>
    <t>V1001</t>
  </si>
  <si>
    <t>Zenith Logistics Pvt Ltd</t>
  </si>
  <si>
    <t>YXWCG4657Q</t>
  </si>
  <si>
    <t>accounts@zenithlogistics.in</t>
  </si>
  <si>
    <t>7150983930</t>
  </si>
  <si>
    <t>03105183473</t>
  </si>
  <si>
    <t>KKBK0299737</t>
  </si>
  <si>
    <t>2020-02-02</t>
  </si>
  <si>
    <t>V1150</t>
  </si>
  <si>
    <t>Apex Electricals Pvt Ltd</t>
  </si>
  <si>
    <t>WLRCF7390E</t>
  </si>
  <si>
    <t>27WLRCF7390E1ZY</t>
  </si>
  <si>
    <t>accounts@apexelectricals.in</t>
  </si>
  <si>
    <t>67100-21946</t>
  </si>
  <si>
    <t>23248763290927</t>
  </si>
  <si>
    <t>KKBK0145608</t>
  </si>
  <si>
    <t>2024-12-11</t>
  </si>
  <si>
    <t>V1226</t>
  </si>
  <si>
    <t>Bluewave Secrity Solutions Private Limited</t>
  </si>
  <si>
    <t>2026-06-10</t>
  </si>
  <si>
    <t>V1091</t>
  </si>
  <si>
    <t>Aaryan Logistics LLP</t>
  </si>
  <si>
    <t>NXDCD0022K</t>
  </si>
  <si>
    <t>33NXDCD0022K1Z2</t>
  </si>
  <si>
    <t>accounts@aaryanlogistics.in</t>
  </si>
  <si>
    <t>6552166746</t>
  </si>
  <si>
    <t>62120216979729</t>
  </si>
  <si>
    <t>UTIB0590277</t>
  </si>
  <si>
    <t>2023-12-11</t>
  </si>
  <si>
    <t>V1153</t>
  </si>
  <si>
    <t>Greenfield Water Solutions LLP</t>
  </si>
  <si>
    <t>srhcc6873s</t>
  </si>
  <si>
    <t>07SRHCC6873S1Z3</t>
  </si>
  <si>
    <t>accounts@greenfieldwatersolutions.in</t>
  </si>
  <si>
    <t>6633569392</t>
  </si>
  <si>
    <t>60078068671</t>
  </si>
  <si>
    <t>utib0731806</t>
  </si>
  <si>
    <t>2022-04-26</t>
  </si>
  <si>
    <t>V1003</t>
  </si>
  <si>
    <t>Apex Pest Control Private Limited</t>
  </si>
  <si>
    <t>JNWCX8723J</t>
  </si>
  <si>
    <t>29JNWCX8723J1ZD</t>
  </si>
  <si>
    <t>accounts@apexpestcontrol.in</t>
  </si>
  <si>
    <t>+91 80097 88208</t>
  </si>
  <si>
    <t>21913619399</t>
  </si>
  <si>
    <t>HDFC0916998</t>
  </si>
  <si>
    <t>2021-04-16</t>
  </si>
  <si>
    <t>V1195</t>
  </si>
  <si>
    <t>Vertex Landscaping Pvt Ltd</t>
  </si>
  <si>
    <t>TLMCF0175G</t>
  </si>
  <si>
    <t>07TLMCF0175G1ZA</t>
  </si>
  <si>
    <t>accounts@vertexlandscaping.in</t>
  </si>
  <si>
    <t>+91 64531 94337</t>
  </si>
  <si>
    <t>0479303614987</t>
  </si>
  <si>
    <t>2019-09-24</t>
  </si>
  <si>
    <t>Bluewave Facility Services LLP</t>
  </si>
  <si>
    <t>wyucy2965o</t>
  </si>
  <si>
    <t>7954316526</t>
  </si>
  <si>
    <t>2020-04-25</t>
  </si>
  <si>
    <t>V1044</t>
  </si>
  <si>
    <t>Metro Engineering Works LLP</t>
  </si>
  <si>
    <t>QOECT8259K</t>
  </si>
  <si>
    <t>ACCOUNTS@METROENGINEERINGWORKS.IN</t>
  </si>
  <si>
    <t>8888794705</t>
  </si>
  <si>
    <t>2020-03-26</t>
  </si>
  <si>
    <t>V1020</t>
  </si>
  <si>
    <t>Horizon Landscaping Limited</t>
  </si>
  <si>
    <t>DODCQ7026U</t>
  </si>
  <si>
    <t>29DODCQ7026U1ZE</t>
  </si>
  <si>
    <t>ACCOUNTS@HORIZONLANDSCAPING.IN</t>
  </si>
  <si>
    <t>+91 85961 58657</t>
  </si>
  <si>
    <t>91343161172</t>
  </si>
  <si>
    <t>SBIN0005045</t>
  </si>
  <si>
    <t>2021-09-27</t>
  </si>
  <si>
    <t>Aaryan Security Solutions Limited</t>
  </si>
  <si>
    <t>accounts@aaryansecuritysolutions.in</t>
  </si>
  <si>
    <t>8652341389</t>
  </si>
  <si>
    <t>2020-06-24</t>
  </si>
  <si>
    <t>V1046</t>
  </si>
  <si>
    <t>Eastern IT Services Limited</t>
  </si>
  <si>
    <t>MMLCY2404</t>
  </si>
  <si>
    <t>+91 87338 48421</t>
  </si>
  <si>
    <t>2019-08-31</t>
  </si>
  <si>
    <t>Ironbridge Landscaping Limited</t>
  </si>
  <si>
    <t>ACCOUNTS@IRONBRIDGELANDSCAPING.IN</t>
  </si>
  <si>
    <t>7421607337</t>
  </si>
  <si>
    <t>4330365414586</t>
  </si>
  <si>
    <t>V1086</t>
  </si>
  <si>
    <t>Western Housekeeping Private Limited</t>
  </si>
  <si>
    <t>VKVCE0744N</t>
  </si>
  <si>
    <t>07VKVCE0744N1ZY</t>
  </si>
  <si>
    <t>accounts@westernhousekeeping.in</t>
  </si>
  <si>
    <t>+91 75387 58428</t>
  </si>
  <si>
    <t>417248251353</t>
  </si>
  <si>
    <t>SBIN0655494</t>
  </si>
  <si>
    <t>V1110</t>
  </si>
  <si>
    <t>Orchid Printing Pvt Ltd</t>
  </si>
  <si>
    <t>VOSCA7141M</t>
  </si>
  <si>
    <t>accounts@orchidprinting.in</t>
  </si>
  <si>
    <t>+91 86588 04341</t>
  </si>
  <si>
    <t>51827553942373</t>
  </si>
  <si>
    <t>ICIC0343333</t>
  </si>
  <si>
    <t>2020-03-12</t>
  </si>
  <si>
    <t>V1122</t>
  </si>
  <si>
    <t>Orchid Power Systems Limited</t>
  </si>
  <si>
    <t>NXDCY9576D</t>
  </si>
  <si>
    <t>29NXDCY9576D1ZL</t>
  </si>
  <si>
    <t>accounts@orchidpowersystems.in</t>
  </si>
  <si>
    <t>+91 82897 55855</t>
  </si>
  <si>
    <t>65939836845776</t>
  </si>
  <si>
    <t>hdfc0049082</t>
  </si>
  <si>
    <t>2021-06-27</t>
  </si>
  <si>
    <t>V1171</t>
  </si>
  <si>
    <t>Orchid Maintenance LLP</t>
  </si>
  <si>
    <t>OPRCN6032I</t>
  </si>
  <si>
    <t>29OPRCN6032I1ZB</t>
  </si>
  <si>
    <t>accounts@orchidmaintenance.in</t>
  </si>
  <si>
    <t>+91 88207 00159</t>
  </si>
  <si>
    <t>1651623198189</t>
  </si>
  <si>
    <t>KKBK0471391</t>
  </si>
  <si>
    <t>2023-05-17</t>
  </si>
  <si>
    <t>V1004</t>
  </si>
  <si>
    <t>Deccan Electricals Private Limited</t>
  </si>
  <si>
    <t>33VWKCH4624O1ZE</t>
  </si>
  <si>
    <t>accounts@deccanelectricals.in</t>
  </si>
  <si>
    <t>+91 99911 83842</t>
  </si>
  <si>
    <t>1354278498084</t>
  </si>
  <si>
    <t>HDFC0241182</t>
  </si>
  <si>
    <t>2021-05-12</t>
  </si>
  <si>
    <t>+91 7150983930</t>
  </si>
  <si>
    <t>+91 7338726247</t>
  </si>
  <si>
    <t>UTIB0360260</t>
  </si>
  <si>
    <t>+91 8009788208</t>
  </si>
  <si>
    <t>+91 9991183842</t>
  </si>
  <si>
    <t>+91 6052427868</t>
  </si>
  <si>
    <t>+91 7421607337</t>
  </si>
  <si>
    <t>+91 6608835615</t>
  </si>
  <si>
    <t>+91 7148951343</t>
  </si>
  <si>
    <t>+91 9986872774</t>
  </si>
  <si>
    <t>+91 9054668893</t>
  </si>
  <si>
    <t>+91 6708053100</t>
  </si>
  <si>
    <t>+91 6586518506</t>
  </si>
  <si>
    <t>+91 7749894134</t>
  </si>
  <si>
    <t>IPDCC6719U</t>
  </si>
  <si>
    <t>+91 7941318699</t>
  </si>
  <si>
    <t>+91 6349361832</t>
  </si>
  <si>
    <t>+91 7787429671</t>
  </si>
  <si>
    <t>+91 8824771093</t>
  </si>
  <si>
    <t>+91 6449972787</t>
  </si>
  <si>
    <t>SBIN0766270</t>
  </si>
  <si>
    <t>accounts@horizonlandscaping.in</t>
  </si>
  <si>
    <t>+91 8596158657</t>
  </si>
  <si>
    <t>+91 9923747407</t>
  </si>
  <si>
    <t>+91 8339421047</t>
  </si>
  <si>
    <t>SBIN0884247</t>
  </si>
  <si>
    <t>+91 8817549651</t>
  </si>
  <si>
    <t>+91 9405377351</t>
  </si>
  <si>
    <t>+91 6020539502</t>
  </si>
  <si>
    <t>+91 6656049451</t>
  </si>
  <si>
    <t>accounts@zenithmaintenance.in</t>
  </si>
  <si>
    <t>+91 7667525459</t>
  </si>
  <si>
    <t>accounts@gangaelectricals.in</t>
  </si>
  <si>
    <t>+91 9453521818</t>
  </si>
  <si>
    <t>+91 8770054119</t>
  </si>
  <si>
    <t>QTFCL5466Y</t>
  </si>
  <si>
    <t>+91 6518644925</t>
  </si>
  <si>
    <t>+91 8929622292</t>
  </si>
  <si>
    <t>+91 8124782613</t>
  </si>
  <si>
    <t>accounts@kaverisecuritysolutions.in</t>
  </si>
  <si>
    <t>+91 6434103697</t>
  </si>
  <si>
    <t>+91 8051531952</t>
  </si>
  <si>
    <t>+91 8667652775</t>
  </si>
  <si>
    <t>accounts@bharatwatersolutions.in</t>
  </si>
  <si>
    <t>+91 7970213556</t>
  </si>
  <si>
    <t>Eastern Pest Control Private Limited</t>
  </si>
  <si>
    <t>+91 9852892268</t>
  </si>
  <si>
    <t>+91 6943969078</t>
  </si>
  <si>
    <t>+91 6469632595</t>
  </si>
  <si>
    <t>+91 9098358416</t>
  </si>
  <si>
    <t>+91 8888794705</t>
  </si>
  <si>
    <t>+91 7838578652</t>
  </si>
  <si>
    <t>+91 9724004991</t>
  </si>
  <si>
    <t>NQKCC6122P</t>
  </si>
  <si>
    <t>+91 8637454990</t>
  </si>
  <si>
    <t>+91 6910883982</t>
  </si>
  <si>
    <t>+91 6170462265</t>
  </si>
  <si>
    <t>accounts@jupiteritservices.in</t>
  </si>
  <si>
    <t>+91 9246287334</t>
  </si>
  <si>
    <t>+91 6331739363</t>
  </si>
  <si>
    <t>+91 9854777252</t>
  </si>
  <si>
    <t>+91 6862118233</t>
  </si>
  <si>
    <t>+91 8014890250</t>
  </si>
  <si>
    <t>+91 7586629619</t>
  </si>
  <si>
    <t>+91 6466183982</t>
  </si>
  <si>
    <t>+91 8937526547</t>
  </si>
  <si>
    <t>+91 6589113529</t>
  </si>
  <si>
    <t>+91 8573875717</t>
  </si>
  <si>
    <t>accounts@westernpowersystems.in</t>
  </si>
  <si>
    <t>+91 8191825537</t>
  </si>
  <si>
    <t>+91 6485807836</t>
  </si>
  <si>
    <t>+91 6260422325</t>
  </si>
  <si>
    <t>+91 8545892975</t>
  </si>
  <si>
    <t>+91 7938700516</t>
  </si>
  <si>
    <t>+91 8652341389</t>
  </si>
  <si>
    <t>+91 8300684866</t>
  </si>
  <si>
    <t>+91 7758842524</t>
  </si>
  <si>
    <t>accounts@bharatpestcontrol.in</t>
  </si>
  <si>
    <t>+91 8622086353</t>
  </si>
  <si>
    <t>+91 7060385050</t>
  </si>
  <si>
    <t>+91 8574313291</t>
  </si>
  <si>
    <t>+91 6678831712</t>
  </si>
  <si>
    <t>+91 7244720999</t>
  </si>
  <si>
    <t>KKBK0380657</t>
  </si>
  <si>
    <t>Quantum Power Systems Private Limited</t>
  </si>
  <si>
    <t>+91 9859321334</t>
  </si>
  <si>
    <t>+91 7252500292</t>
  </si>
  <si>
    <t>Nova Engineering Works Private Limited</t>
  </si>
  <si>
    <t>+91 7959391725</t>
  </si>
  <si>
    <t>+91 9104054115</t>
  </si>
  <si>
    <t>+91 7050614973</t>
  </si>
  <si>
    <t>accounts@metrolandscaping.in</t>
  </si>
  <si>
    <t>+91 8869380686</t>
  </si>
  <si>
    <t>+91 8870998616</t>
  </si>
  <si>
    <t>+91 8505444713</t>
  </si>
  <si>
    <t>+91 8578610357</t>
  </si>
  <si>
    <t>+91 7538758428</t>
  </si>
  <si>
    <t>+91 9022356972</t>
  </si>
  <si>
    <t>+91 6033542168</t>
  </si>
  <si>
    <t>+91 8890901001</t>
  </si>
  <si>
    <t>+91 6873753001</t>
  </si>
  <si>
    <t>+91 6552166746</t>
  </si>
  <si>
    <t>+91 6637562890</t>
  </si>
  <si>
    <t>+91 6994883755</t>
  </si>
  <si>
    <t>+91 7735160917</t>
  </si>
  <si>
    <t>+91 8833394522</t>
  </si>
  <si>
    <t>accounts@deccanmaintenance.in</t>
  </si>
  <si>
    <t>+91 7863840666</t>
  </si>
  <si>
    <t>+91 7590947985</t>
  </si>
  <si>
    <t>+91 9676650618</t>
  </si>
  <si>
    <t>accounts@easternstationers.in</t>
  </si>
  <si>
    <t>+91 7100996881</t>
  </si>
  <si>
    <t>+91 8913577594</t>
  </si>
  <si>
    <t>+91 6809969308</t>
  </si>
  <si>
    <t>+91 6453038567</t>
  </si>
  <si>
    <t>+91 7222591365</t>
  </si>
  <si>
    <t>+91 7369292984</t>
  </si>
  <si>
    <t>+91 9508637659</t>
  </si>
  <si>
    <t>+91 9959463688</t>
  </si>
  <si>
    <t>+91 6669849027</t>
  </si>
  <si>
    <t>accounts@sunrisehousekeeping.in</t>
  </si>
  <si>
    <t>+91 8439376904</t>
  </si>
  <si>
    <t>+91 8658804341</t>
  </si>
  <si>
    <t>+91 8794728463</t>
  </si>
  <si>
    <t>FRICH4795L</t>
  </si>
  <si>
    <t>+91 7655647292</t>
  </si>
  <si>
    <t>+91 8558845061</t>
  </si>
  <si>
    <t>accounts@gangaprinting.in</t>
  </si>
  <si>
    <t>+91 9598762202</t>
  </si>
  <si>
    <t>+91 6557784872</t>
  </si>
  <si>
    <t>+91 9493085368</t>
  </si>
  <si>
    <t>+91 7144270312</t>
  </si>
  <si>
    <t>+91 6837645208</t>
  </si>
  <si>
    <t>accounts@vertexlogistics.in</t>
  </si>
  <si>
    <t>+91 6528127358</t>
  </si>
  <si>
    <t>UTIB0392855</t>
  </si>
  <si>
    <t>+91 7095935186</t>
  </si>
  <si>
    <t>+91 6037170586</t>
  </si>
  <si>
    <t>+91 8289755855</t>
  </si>
  <si>
    <t>HDFC0049082</t>
  </si>
  <si>
    <t>+91 6752245933</t>
  </si>
  <si>
    <t>accounts@zenithsecuritysolutions.in</t>
  </si>
  <si>
    <t>+91 7583206799</t>
  </si>
  <si>
    <t>+91 6465911665</t>
  </si>
  <si>
    <t>+91 7884879206</t>
  </si>
  <si>
    <t>+91 6384576205</t>
  </si>
  <si>
    <t>+91 7482629251</t>
  </si>
  <si>
    <t>+91 7677223306</t>
  </si>
  <si>
    <t>accounts@evergreenfacilityservices.in</t>
  </si>
  <si>
    <t>+91 9086803476</t>
  </si>
  <si>
    <t>accounts@falconpowersystems.in</t>
  </si>
  <si>
    <t>+91 6175186892</t>
  </si>
  <si>
    <t>+91 8721458683</t>
  </si>
  <si>
    <t>+91 7966055830</t>
  </si>
  <si>
    <t>+91 6780782357</t>
  </si>
  <si>
    <t>Redwood Electricals Private Limited</t>
  </si>
  <si>
    <t>+91 8224109881</t>
  </si>
  <si>
    <t>+91 8538179217</t>
  </si>
  <si>
    <t>+91 8814876963</t>
  </si>
  <si>
    <t>+91 9013290227</t>
  </si>
  <si>
    <t>BAWCR5140H</t>
  </si>
  <si>
    <t>+91 9666832723</t>
  </si>
  <si>
    <t>accounts@cholaelectricals.in</t>
  </si>
  <si>
    <t>+91 9895009751</t>
  </si>
  <si>
    <t>accounts@aaryanelectricals.in</t>
  </si>
  <si>
    <t>+91 6792904904</t>
  </si>
  <si>
    <t>+91 7395041027</t>
  </si>
  <si>
    <t>+91 7938525800</t>
  </si>
  <si>
    <t>+91 9465421406</t>
  </si>
  <si>
    <t>ICIC0863917</t>
  </si>
  <si>
    <t>+91 9425690877</t>
  </si>
  <si>
    <t>+91 6732030937</t>
  </si>
  <si>
    <t>ICIC0878293</t>
  </si>
  <si>
    <t>+91 6792911179</t>
  </si>
  <si>
    <t>HDFC0925114</t>
  </si>
  <si>
    <t>+91 6710021946</t>
  </si>
  <si>
    <t>+91 9970623972</t>
  </si>
  <si>
    <t>SRHCC6873S</t>
  </si>
  <si>
    <t>+91 6633569392</t>
  </si>
  <si>
    <t>UTIB0731806</t>
  </si>
  <si>
    <t>+91 9262570165</t>
  </si>
  <si>
    <t>accounts@deltapestcontrol.in</t>
  </si>
  <si>
    <t>DFICD2723Q</t>
  </si>
  <si>
    <t>+91 9827567043</t>
  </si>
  <si>
    <t>+91 7222310592</t>
  </si>
  <si>
    <t>+91 6702814069</t>
  </si>
  <si>
    <t>accounts@unityitservices.in</t>
  </si>
  <si>
    <t>+91 8478137674</t>
  </si>
  <si>
    <t>accounts@falconpestcontrol.in</t>
  </si>
  <si>
    <t>+91 8044818321</t>
  </si>
  <si>
    <t>+91 9112075452</t>
  </si>
  <si>
    <t>accounts@lotusstationers.in</t>
  </si>
  <si>
    <t>+91 6119393250</t>
  </si>
  <si>
    <t>+91 8663836151</t>
  </si>
  <si>
    <t>GCZCP5207V</t>
  </si>
  <si>
    <t>+91 6126691215</t>
  </si>
  <si>
    <t>+91 9026952499</t>
  </si>
  <si>
    <t>Quantum Landscaping LLP</t>
  </si>
  <si>
    <t>+91 9719788977</t>
  </si>
  <si>
    <t>+91 8911415208</t>
  </si>
  <si>
    <t>+91 7440496391</t>
  </si>
  <si>
    <t>+91 8820700159</t>
  </si>
  <si>
    <t>+91 9490785158</t>
  </si>
  <si>
    <t>+91 6417765612</t>
  </si>
  <si>
    <t>+91 7954316526</t>
  </si>
  <si>
    <t>+91 8762639343</t>
  </si>
  <si>
    <t>accounts@redwoodlandscaping.in</t>
  </si>
  <si>
    <t>+91 8896465280</t>
  </si>
  <si>
    <t>accounts@kaverilogistics.in</t>
  </si>
  <si>
    <t>+91 9032032074</t>
  </si>
  <si>
    <t>+91 9150416591</t>
  </si>
  <si>
    <t>accounts@bluewaveprinting.in</t>
  </si>
  <si>
    <t>+91 9642147649</t>
  </si>
  <si>
    <t>+91 6742243864</t>
  </si>
  <si>
    <t>+91 8523219416</t>
  </si>
  <si>
    <t>+91 6472760122</t>
  </si>
  <si>
    <t>+91 8671795760</t>
  </si>
  <si>
    <t>+91 8338005452</t>
  </si>
  <si>
    <t>+91 7135247871</t>
  </si>
  <si>
    <t>+91 9208115562</t>
  </si>
  <si>
    <t>+91 7683158935</t>
  </si>
  <si>
    <t>+91 6377028519</t>
  </si>
  <si>
    <t>accounts@metrofacilityservices.in</t>
  </si>
  <si>
    <t>+91 9567922877</t>
  </si>
  <si>
    <t>Ironbridge IT Services Pvt Ltd</t>
  </si>
  <si>
    <t>+91 9152654610</t>
  </si>
  <si>
    <t>Delta Facility Services Limited</t>
  </si>
  <si>
    <t>+91 6832582386</t>
  </si>
  <si>
    <t>accounts@evergreenstationers.in</t>
  </si>
  <si>
    <t>+91 8743553795</t>
  </si>
  <si>
    <t>+91 6453194337</t>
  </si>
  <si>
    <t>+91 9060566418</t>
  </si>
  <si>
    <t>+91 7173505831</t>
  </si>
  <si>
    <t>accounts@westernengineeringworks.in</t>
  </si>
  <si>
    <t>+91 8954508920</t>
  </si>
  <si>
    <t>+91 7756362050</t>
  </si>
  <si>
    <t>+91 9559630993</t>
  </si>
  <si>
    <t>Eastern It Services Limited</t>
  </si>
  <si>
    <t>+91 7042897317</t>
  </si>
  <si>
    <t>+91 9857872558</t>
  </si>
  <si>
    <t>Horizon Housekeeping Pvt Ltd</t>
  </si>
  <si>
    <t>+91 7499856984</t>
  </si>
  <si>
    <t>Crestline Facility Services Pvt Ltd</t>
  </si>
  <si>
    <t>+91 8616484085</t>
  </si>
  <si>
    <t>Bharat It Services Pvt Ltd</t>
  </si>
  <si>
    <t>+91 7415148881</t>
  </si>
  <si>
    <t>+91 8896908357</t>
  </si>
  <si>
    <t>+91 6849588039</t>
  </si>
  <si>
    <t>+91 8787300244</t>
  </si>
  <si>
    <t>Raw_Vendor_ID</t>
  </si>
  <si>
    <t>Golden_Vendor_ID</t>
  </si>
  <si>
    <t>Match_Rule</t>
  </si>
  <si>
    <t>Raw_Name</t>
  </si>
  <si>
    <t>Golden_Name</t>
  </si>
  <si>
    <t>Survivor</t>
  </si>
  <si>
    <t>Normalised name match</t>
  </si>
  <si>
    <t>PAN match</t>
  </si>
  <si>
    <t>Vendor_A</t>
  </si>
  <si>
    <t>Name_A</t>
  </si>
  <si>
    <t>PAN_A</t>
  </si>
  <si>
    <t>Vendor_B</t>
  </si>
  <si>
    <t>Name_B</t>
  </si>
  <si>
    <t>PAN_B</t>
  </si>
  <si>
    <t>Similarity</t>
  </si>
  <si>
    <t>Recommended_Action</t>
  </si>
  <si>
    <t>0.981</t>
  </si>
  <si>
    <t>Probable duplicate - steward to confirm (PAN missing on one record)</t>
  </si>
  <si>
    <t>0.98</t>
  </si>
  <si>
    <t>0.97</t>
  </si>
  <si>
    <t>0.947</t>
  </si>
  <si>
    <t>Likely DIFFERENT vendors - PANs differ, keep separate</t>
  </si>
  <si>
    <t>0.957</t>
  </si>
  <si>
    <t>0.95</t>
  </si>
  <si>
    <t>0.944</t>
  </si>
  <si>
    <t>0.973</t>
  </si>
  <si>
    <t>0.968</t>
  </si>
  <si>
    <t>Open_Issues</t>
  </si>
  <si>
    <t>Priority</t>
  </si>
  <si>
    <t>Action</t>
  </si>
  <si>
    <t>PAN: Missing; GSTIN: PAN Mismatch; Email: Missing; Phone: Missing</t>
  </si>
  <si>
    <t>4</t>
  </si>
  <si>
    <t>Request supporting document / confirm with vendor before next payment run</t>
  </si>
  <si>
    <t>PAN: Missing; GSTIN: Missing; Phone: Invalid; Bank: Missing</t>
  </si>
  <si>
    <t>PAN: Missing; GSTIN: Missing; Email: Missing</t>
  </si>
  <si>
    <t>3</t>
  </si>
  <si>
    <t>PAN: Missing; GSTIN: PAN Mismatch; IFSC: Missing</t>
  </si>
  <si>
    <t>PAN: Missing; GSTIN: PAN Mismatch; IFSC: Invalid</t>
  </si>
  <si>
    <t>PAN: Invalid; GSTIN: PAN Mismatch; Bank: Missing</t>
  </si>
  <si>
    <t>PAN: Invalid; GSTIN: PAN Mismatch; IFSC: Missing</t>
  </si>
  <si>
    <t>GSTIN: Missing; Email: Missing; IFSC: Invalid</t>
  </si>
  <si>
    <t>PAN: Missing; GSTIN: PAN Mismatch; Phone: Invalid</t>
  </si>
  <si>
    <t>PAN: Missing; GSTIN: Missing; IFSC: Invalid</t>
  </si>
  <si>
    <t>PAN: Missing; GSTIN: PAN Mismatch</t>
  </si>
  <si>
    <t>2</t>
  </si>
  <si>
    <t>GSTIN: Invalid; IFSC: Missing</t>
  </si>
  <si>
    <t>GSTIN: PAN Mismatch; Email: Missing</t>
  </si>
  <si>
    <t>PAN: Missing; GSTIN: Missing</t>
  </si>
  <si>
    <t>GSTIN: Invalid; Email: Invalid</t>
  </si>
  <si>
    <t>PAN: Invalid; GSTIN: PAN Mismatch</t>
  </si>
  <si>
    <t>GSTIN: Missing; Email: Missing</t>
  </si>
  <si>
    <t>GSTIN: Invalid; Phone: Invalid</t>
  </si>
  <si>
    <t>GSTIN: PAN Mismatch; IFSC: Missing</t>
  </si>
  <si>
    <t>Bank: Missing; IFSC: Missing</t>
  </si>
  <si>
    <t>GSTIN: Missing; IFSC: Missing</t>
  </si>
  <si>
    <t>GSTIN: PAN Mismatch; Phone: Missing</t>
  </si>
  <si>
    <t>Phone: Missing; Bank: Missing</t>
  </si>
  <si>
    <t>GSTIN: Missing</t>
  </si>
  <si>
    <t>1</t>
  </si>
  <si>
    <t>IFSC: Invalid</t>
  </si>
  <si>
    <t>IFSC: Missing</t>
  </si>
  <si>
    <t>Bank: Missing</t>
  </si>
  <si>
    <t>GSTIN: Invalid</t>
  </si>
  <si>
    <t>GSTIN: PAN Mismatch</t>
  </si>
  <si>
    <t>Email: Missing; Phone: Missing</t>
  </si>
  <si>
    <t>Update contact details in next vendor maintenance cycle</t>
  </si>
  <si>
    <t>Email: Missing</t>
  </si>
  <si>
    <t>Email: Invalid</t>
  </si>
  <si>
    <t>Phone: Invalid</t>
  </si>
  <si>
    <t>Phone: Missing</t>
  </si>
  <si>
    <t>Invoice_No</t>
  </si>
  <si>
    <t>Vendor_ID_Raw</t>
  </si>
  <si>
    <t>Invoice_Date</t>
  </si>
  <si>
    <t>Invoice_Amount_INR</t>
  </si>
  <si>
    <t>Payment_Status</t>
  </si>
  <si>
    <t>Vendor_Name (golden)</t>
  </si>
  <si>
    <t>Vendor_Status</t>
  </si>
  <si>
    <t>Master_Data_Check</t>
  </si>
  <si>
    <t>Dup_Seq_by_RawID</t>
  </si>
  <si>
    <t>Dup_Seq_by_GoldenID</t>
  </si>
  <si>
    <t>Missed_Without_MDM</t>
  </si>
  <si>
    <t>INV-2025-0217</t>
  </si>
  <si>
    <t>2025-01-01</t>
  </si>
  <si>
    <t>Paid</t>
  </si>
  <si>
    <t>INV-2025-0493</t>
  </si>
  <si>
    <t>Pending</t>
  </si>
  <si>
    <t>INV-2025-0079</t>
  </si>
  <si>
    <t>2025-01-02</t>
  </si>
  <si>
    <t>INV-2025-0314</t>
  </si>
  <si>
    <t>2025-01-03</t>
  </si>
  <si>
    <t>INV-2025-0413</t>
  </si>
  <si>
    <t>INV-2025-0062</t>
  </si>
  <si>
    <t>2025-01-04</t>
  </si>
  <si>
    <t>INV-2025-0085</t>
  </si>
  <si>
    <t>INV-2025-0032</t>
  </si>
  <si>
    <t>2025-01-07</t>
  </si>
  <si>
    <t>INV-2025-0146</t>
  </si>
  <si>
    <t>INV-2025-0154</t>
  </si>
  <si>
    <t>INV-2025-0182</t>
  </si>
  <si>
    <t>INV-2025-0374</t>
  </si>
  <si>
    <t>INV-2025-0188</t>
  </si>
  <si>
    <t>2025-01-08</t>
  </si>
  <si>
    <t>INV-2025-0466</t>
  </si>
  <si>
    <t>INV-2025-0451</t>
  </si>
  <si>
    <t>INV-2025-0017</t>
  </si>
  <si>
    <t>2025-01-11</t>
  </si>
  <si>
    <t>INV-2025-0021</t>
  </si>
  <si>
    <t>INV-2025-0167</t>
  </si>
  <si>
    <t>INV-2025-0200</t>
  </si>
  <si>
    <t>2025-01-12</t>
  </si>
  <si>
    <t>INV-2025-0353</t>
  </si>
  <si>
    <t>2025-01-13</t>
  </si>
  <si>
    <t>INV-2025-0395</t>
  </si>
  <si>
    <t>INV-2025-0027</t>
  </si>
  <si>
    <t>2025-01-14</t>
  </si>
  <si>
    <t>INV-2025-0029</t>
  </si>
  <si>
    <t>INV-2025-0254</t>
  </si>
  <si>
    <t>INV-2025-0304</t>
  </si>
  <si>
    <t>INV-2025-0383</t>
  </si>
  <si>
    <t>INV-2025-0401</t>
  </si>
  <si>
    <t>2025-01-15</t>
  </si>
  <si>
    <t>INV-2025-0473</t>
  </si>
  <si>
    <t>INV-2025-0334</t>
  </si>
  <si>
    <t>2025-01-16</t>
  </si>
  <si>
    <t>INV-2025-0382</t>
  </si>
  <si>
    <t>2025-01-17</t>
  </si>
  <si>
    <t>INV-2025-0491</t>
  </si>
  <si>
    <t>INV-2025-0223</t>
  </si>
  <si>
    <t>2025-01-18</t>
  </si>
  <si>
    <t>INV-2025-0263</t>
  </si>
  <si>
    <t>INV-2025-0398</t>
  </si>
  <si>
    <t>INV-2025-0076</t>
  </si>
  <si>
    <t>2025-01-19</t>
  </si>
  <si>
    <t>INV-2025-0248</t>
  </si>
  <si>
    <t>INV-2025-0041</t>
  </si>
  <si>
    <t>INV-2025-0360</t>
  </si>
  <si>
    <t>INV-2025-0114</t>
  </si>
  <si>
    <t>2025-01-21</t>
  </si>
  <si>
    <t>INV-2025-0432</t>
  </si>
  <si>
    <t>INV-2025-0336</t>
  </si>
  <si>
    <t>2025-01-23</t>
  </si>
  <si>
    <t>INV-2025-0073</t>
  </si>
  <si>
    <t>2025-01-26</t>
  </si>
  <si>
    <t>INV-2025-0446</t>
  </si>
  <si>
    <t>INV-2025-0275</t>
  </si>
  <si>
    <t>2025-01-30</t>
  </si>
  <si>
    <t>INV-2025-0112</t>
  </si>
  <si>
    <t>INV-2025-0236</t>
  </si>
  <si>
    <t>2025-02-01</t>
  </si>
  <si>
    <t>INV-2025-0296</t>
  </si>
  <si>
    <t>INV-2025-0484</t>
  </si>
  <si>
    <t>INV-2025-0490</t>
  </si>
  <si>
    <t>INV-2025-0096</t>
  </si>
  <si>
    <t>2025-02-03</t>
  </si>
  <si>
    <t>INV-2025-0156</t>
  </si>
  <si>
    <t>INV-2025-0460</t>
  </si>
  <si>
    <t>INV-2025-0115</t>
  </si>
  <si>
    <t>2025-02-04</t>
  </si>
  <si>
    <t>INV-2025-0434</t>
  </si>
  <si>
    <t>2025-02-07</t>
  </si>
  <si>
    <t>INV-2025-0471</t>
  </si>
  <si>
    <t>INV-2025-0070</t>
  </si>
  <si>
    <t>2025-02-08</t>
  </si>
  <si>
    <t>INV-2025-0190</t>
  </si>
  <si>
    <t>2025-02-09</t>
  </si>
  <si>
    <t>INV-2025-0202</t>
  </si>
  <si>
    <t>INV-2025-0428</t>
  </si>
  <si>
    <t>INV-2025-0081</t>
  </si>
  <si>
    <t>2025-02-10</t>
  </si>
  <si>
    <t>INV-2025-0163</t>
  </si>
  <si>
    <t>INV-2025-0307</t>
  </si>
  <si>
    <t>INV-2025-0480</t>
  </si>
  <si>
    <t>INV-2025-0271</t>
  </si>
  <si>
    <t>2025-02-11</t>
  </si>
  <si>
    <t>INV-2025-0134</t>
  </si>
  <si>
    <t>2025-02-12</t>
  </si>
  <si>
    <t>INV-2025-0215</t>
  </si>
  <si>
    <t>INV-2025-0356</t>
  </si>
  <si>
    <t>2025-02-13</t>
  </si>
  <si>
    <t>INV-2025-0399</t>
  </si>
  <si>
    <t>INV-2025-0359</t>
  </si>
  <si>
    <t>2025-02-14</t>
  </si>
  <si>
    <t>INV-2025-0030</t>
  </si>
  <si>
    <t>2025-02-16</t>
  </si>
  <si>
    <t>INV-2025-0402</t>
  </si>
  <si>
    <t>INV-2025-0087</t>
  </si>
  <si>
    <t>2025-02-17</t>
  </si>
  <si>
    <t>INV-2025-0312</t>
  </si>
  <si>
    <t>INV-2025-0036</t>
  </si>
  <si>
    <t>2025-02-18</t>
  </si>
  <si>
    <t>INV-2025-0165</t>
  </si>
  <si>
    <t>INV-2025-0323</t>
  </si>
  <si>
    <t>V9001</t>
  </si>
  <si>
    <t>INV-2025-0153</t>
  </si>
  <si>
    <t>INV-2025-0194</t>
  </si>
  <si>
    <t>INV-2025-0435</t>
  </si>
  <si>
    <t>INV-2025-0400</t>
  </si>
  <si>
    <t>2025-02-20</t>
  </si>
  <si>
    <t>INV-2025-0166</t>
  </si>
  <si>
    <t>2025-02-21</t>
  </si>
  <si>
    <t>INV-2025-0128</t>
  </si>
  <si>
    <t>2025-02-22</t>
  </si>
  <si>
    <t>INV-2025-0034</t>
  </si>
  <si>
    <t>2025-02-23</t>
  </si>
  <si>
    <t>INV-2025-0056</t>
  </si>
  <si>
    <t>INV-2025-0285</t>
  </si>
  <si>
    <t>INV-2025-0292</t>
  </si>
  <si>
    <t>INV-2025-0369</t>
  </si>
  <si>
    <t>INV-2025-0145</t>
  </si>
  <si>
    <t>2025-02-24</t>
  </si>
  <si>
    <t>INV-2025-0261</t>
  </si>
  <si>
    <t>INV-2025-0084</t>
  </si>
  <si>
    <t>2025-02-25</t>
  </si>
  <si>
    <t>INV-2025-0183</t>
  </si>
  <si>
    <t>INV-2025-0245</t>
  </si>
  <si>
    <t>INV-2025-0447</t>
  </si>
  <si>
    <t>INV-2025-0209</t>
  </si>
  <si>
    <t>INV-2025-0226</t>
  </si>
  <si>
    <t>INV-2025-0352</t>
  </si>
  <si>
    <t>INV-2025-0376</t>
  </si>
  <si>
    <t>INV-2025-0137</t>
  </si>
  <si>
    <t>2025-02-28</t>
  </si>
  <si>
    <t>INV-2025-0253</t>
  </si>
  <si>
    <t>INV-2025-0204</t>
  </si>
  <si>
    <t>2025-03-01</t>
  </si>
  <si>
    <t>INV-2025-0093</t>
  </si>
  <si>
    <t>2025-03-03</t>
  </si>
  <si>
    <t>INV-2025-0173</t>
  </si>
  <si>
    <t>INV-2025-0214</t>
  </si>
  <si>
    <t>INV-2025-0229</t>
  </si>
  <si>
    <t>2025-03-04</t>
  </si>
  <si>
    <t>INV-2025-0462</t>
  </si>
  <si>
    <t>INV-2025-0071</t>
  </si>
  <si>
    <t>2025-03-05</t>
  </si>
  <si>
    <t>INV-2025-0371</t>
  </si>
  <si>
    <t>INV-2025-0332</t>
  </si>
  <si>
    <t>2025-03-07</t>
  </si>
  <si>
    <t>INV-2025-0038</t>
  </si>
  <si>
    <t>2025-03-09</t>
  </si>
  <si>
    <t>INV-2025-0095</t>
  </si>
  <si>
    <t>INV-2025-0255</t>
  </si>
  <si>
    <t>INV-2025-0441</t>
  </si>
  <si>
    <t>INV-2025-0483</t>
  </si>
  <si>
    <t>INV-2025-0195</t>
  </si>
  <si>
    <t>2025-03-12</t>
  </si>
  <si>
    <t>INV-2025-0197</t>
  </si>
  <si>
    <t>INV-2025-0370</t>
  </si>
  <si>
    <t>INV-2025-0009</t>
  </si>
  <si>
    <t>2025-03-13</t>
  </si>
  <si>
    <t>INV-2025-0189</t>
  </si>
  <si>
    <t>INV-2025-0340</t>
  </si>
  <si>
    <t>INV-2025-0379</t>
  </si>
  <si>
    <t>2025-03-14</t>
  </si>
  <si>
    <t>INV-2025-0448</t>
  </si>
  <si>
    <t>2025-03-15</t>
  </si>
  <si>
    <t>INV-2025-0206</t>
  </si>
  <si>
    <t>2025-03-16</t>
  </si>
  <si>
    <t>INV-2025-0343</t>
  </si>
  <si>
    <t>INV-2025-0025</t>
  </si>
  <si>
    <t>2025-03-17</t>
  </si>
  <si>
    <t>INV-2025-0117</t>
  </si>
  <si>
    <t>INV-2025-0403</t>
  </si>
  <si>
    <t>INV-2025-0459</t>
  </si>
  <si>
    <t>INV-2025-0475</t>
  </si>
  <si>
    <t>INV-2025-0282</t>
  </si>
  <si>
    <t>INV-2025-0380</t>
  </si>
  <si>
    <t>INV-2025-0124</t>
  </si>
  <si>
    <t>2025-03-22</t>
  </si>
  <si>
    <t>INV-2025-0287</t>
  </si>
  <si>
    <t>INV-2025-0385</t>
  </si>
  <si>
    <t>INV-2025-0268</t>
  </si>
  <si>
    <t>2025-03-23</t>
  </si>
  <si>
    <t>INV-2025-0213</t>
  </si>
  <si>
    <t>2025-03-24</t>
  </si>
  <si>
    <t>INV-2025-0457</t>
  </si>
  <si>
    <t>INV-2025-0230</t>
  </si>
  <si>
    <t>2025-03-25</t>
  </si>
  <si>
    <t>INV-2025-0311</t>
  </si>
  <si>
    <t>2025-03-26</t>
  </si>
  <si>
    <t>INV-2025-0317</t>
  </si>
  <si>
    <t>INV-2025-0045</t>
  </si>
  <si>
    <t>2025-03-27</t>
  </si>
  <si>
    <t>INV-2025-0150</t>
  </si>
  <si>
    <t>INV-2025-0033</t>
  </si>
  <si>
    <t>2025-03-28</t>
  </si>
  <si>
    <t>INV-2025-0130</t>
  </si>
  <si>
    <t>INV-2025-0144</t>
  </si>
  <si>
    <t>INV-2025-0042</t>
  </si>
  <si>
    <t>2025-03-29</t>
  </si>
  <si>
    <t>INV-2025-0330</t>
  </si>
  <si>
    <t>INV-2025-0420</t>
  </si>
  <si>
    <t>2025-03-30</t>
  </si>
  <si>
    <t>INV-2025-0054</t>
  </si>
  <si>
    <t>2025-04-01</t>
  </si>
  <si>
    <t>INV-2025-0104</t>
  </si>
  <si>
    <t>INV-2025-0170</t>
  </si>
  <si>
    <t>INV-2025-0364</t>
  </si>
  <si>
    <t>V9005</t>
  </si>
  <si>
    <t>INV-2025-0179</t>
  </si>
  <si>
    <t>2025-04-02</t>
  </si>
  <si>
    <t>INV-2025-0410</t>
  </si>
  <si>
    <t>INV-2025-0057</t>
  </si>
  <si>
    <t>2025-04-04</t>
  </si>
  <si>
    <t>INV-2025-0338</t>
  </si>
  <si>
    <t>V9002</t>
  </si>
  <si>
    <t>INV-2025-0005</t>
  </si>
  <si>
    <t>INV-2025-0064</t>
  </si>
  <si>
    <t>INV-2025-0372</t>
  </si>
  <si>
    <t>INV-2025-0099</t>
  </si>
  <si>
    <t>2025-04-06</t>
  </si>
  <si>
    <t>INV-2025-0458</t>
  </si>
  <si>
    <t>INV-2025-0181</t>
  </si>
  <si>
    <t>V9003</t>
  </si>
  <si>
    <t>2025-04-07</t>
  </si>
  <si>
    <t>INV-2025-0198</t>
  </si>
  <si>
    <t>2025-04-09</t>
  </si>
  <si>
    <t>INV-2025-0327</t>
  </si>
  <si>
    <t>INV-2025-0389</t>
  </si>
  <si>
    <t>INV-2025-0426</t>
  </si>
  <si>
    <t>INV-2025-0438</t>
  </si>
  <si>
    <t>INV-2025-0142</t>
  </si>
  <si>
    <t>2025-04-10</t>
  </si>
  <si>
    <t>INV-2025-0168</t>
  </si>
  <si>
    <t>INV-2025-0066</t>
  </si>
  <si>
    <t>2025-04-11</t>
  </si>
  <si>
    <t>INV-2025-0172</t>
  </si>
  <si>
    <t>INV-2025-0377</t>
  </si>
  <si>
    <t>INV-2025-0216</t>
  </si>
  <si>
    <t>INV-2025-0266</t>
  </si>
  <si>
    <t>INV-2025-0476</t>
  </si>
  <si>
    <t>INV-2025-0072</t>
  </si>
  <si>
    <t>2025-04-13</t>
  </si>
  <si>
    <t>INV-2025-0316</t>
  </si>
  <si>
    <t>INV-2025-0388</t>
  </si>
  <si>
    <t>INV-2025-0481</t>
  </si>
  <si>
    <t>V9004</t>
  </si>
  <si>
    <t>INV-2025-0393</t>
  </si>
  <si>
    <t>2025-04-14</t>
  </si>
  <si>
    <t>INV-2025-0478</t>
  </si>
  <si>
    <t>2025-04-15</t>
  </si>
  <si>
    <t>INV-2025-0465</t>
  </si>
  <si>
    <t>INV-2025-0120</t>
  </si>
  <si>
    <t>2025-04-16</t>
  </si>
  <si>
    <t>INV-2025-0118</t>
  </si>
  <si>
    <t>2025-04-17</t>
  </si>
  <si>
    <t>INV-2025-0131</t>
  </si>
  <si>
    <t>2025-04-18</t>
  </si>
  <si>
    <t>INV-2025-0143</t>
  </si>
  <si>
    <t>INV-2025-0162</t>
  </si>
  <si>
    <t>INV-2025-0256</t>
  </si>
  <si>
    <t>INV-2025-0264</t>
  </si>
  <si>
    <t>INV-2025-0350</t>
  </si>
  <si>
    <t>2025-04-20</t>
  </si>
  <si>
    <t>INV-2025-0201</t>
  </si>
  <si>
    <t>2025-04-21</t>
  </si>
  <si>
    <t>INV-2025-0109</t>
  </si>
  <si>
    <t>2025-04-22</t>
  </si>
  <si>
    <t>INV-2025-0116</t>
  </si>
  <si>
    <t>INV-2025-0315</t>
  </si>
  <si>
    <t>2025-04-23</t>
  </si>
  <si>
    <t>INV-2025-0003</t>
  </si>
  <si>
    <t>2025-04-24</t>
  </si>
  <si>
    <t>INV-2025-0092</t>
  </si>
  <si>
    <t>INV-2025-0354</t>
  </si>
  <si>
    <t>INV-2025-0482</t>
  </si>
  <si>
    <t>INV-2025-0052</t>
  </si>
  <si>
    <t>2025-04-25</t>
  </si>
  <si>
    <t>INV-2025-0276</t>
  </si>
  <si>
    <t>INV-2025-0294</t>
  </si>
  <si>
    <t>INV-2025-0047</t>
  </si>
  <si>
    <t>2025-04-26</t>
  </si>
  <si>
    <t>INV-2025-0177</t>
  </si>
  <si>
    <t>INV-2025-0449</t>
  </si>
  <si>
    <t>INV-2025-0069</t>
  </si>
  <si>
    <t>2025-04-27</t>
  </si>
  <si>
    <t>INV-2025-0178</t>
  </si>
  <si>
    <t>2025-04-28</t>
  </si>
  <si>
    <t>INV-2025-0494</t>
  </si>
  <si>
    <t>INV-2025-0469</t>
  </si>
  <si>
    <t>2025-04-29</t>
  </si>
  <si>
    <t>INV-2025-0083</t>
  </si>
  <si>
    <t>2025-04-30</t>
  </si>
  <si>
    <t>INV-2025-0013</t>
  </si>
  <si>
    <t>2025-05-01</t>
  </si>
  <si>
    <t>INV-2025-0474</t>
  </si>
  <si>
    <t>2025-05-03</t>
  </si>
  <si>
    <t>INV-2025-0416</t>
  </si>
  <si>
    <t>INV-2025-0014</t>
  </si>
  <si>
    <t>2025-05-04</t>
  </si>
  <si>
    <t>INV-2025-0102</t>
  </si>
  <si>
    <t>INV-2025-0046</t>
  </si>
  <si>
    <t>2025-05-06</t>
  </si>
  <si>
    <t>INV-2025-0313</t>
  </si>
  <si>
    <t>INV-2025-0470</t>
  </si>
  <si>
    <t>INV-2025-0107</t>
  </si>
  <si>
    <t>2025-05-08</t>
  </si>
  <si>
    <t>INV-2025-0283</t>
  </si>
  <si>
    <t>INV-2025-0450</t>
  </si>
  <si>
    <t>INV-2025-0176</t>
  </si>
  <si>
    <t>2025-05-09</t>
  </si>
  <si>
    <t>INV-2025-0366</t>
  </si>
  <si>
    <t>2025-05-10</t>
  </si>
  <si>
    <t>INV-2025-0485</t>
  </si>
  <si>
    <t>2025-05-11</t>
  </si>
  <si>
    <t>INV-2025-0439</t>
  </si>
  <si>
    <t>2025-05-13</t>
  </si>
  <si>
    <t>INV-2025-0031</t>
  </si>
  <si>
    <t>2025-05-14</t>
  </si>
  <si>
    <t>INV-2025-0077</t>
  </si>
  <si>
    <t>INV-2025-0082</t>
  </si>
  <si>
    <t>INV-2025-0171</t>
  </si>
  <si>
    <t>INV-2025-0414</t>
  </si>
  <si>
    <t>INV-2025-0422</t>
  </si>
  <si>
    <t>INV-2025-0002</t>
  </si>
  <si>
    <t>2025-05-15</t>
  </si>
  <si>
    <t>INV-2025-0326</t>
  </si>
  <si>
    <t>INV-2025-0392</t>
  </si>
  <si>
    <t>INV-2025-0086</t>
  </si>
  <si>
    <t>2025-05-16</t>
  </si>
  <si>
    <t>INV-2025-0055</t>
  </si>
  <si>
    <t>2025-05-17</t>
  </si>
  <si>
    <t>INV-2025-0205</t>
  </si>
  <si>
    <t>INV-2025-0075</t>
  </si>
  <si>
    <t>2025-05-18</t>
  </si>
  <si>
    <t>INV-2025-0227</t>
  </si>
  <si>
    <t>2025-05-19</t>
  </si>
  <si>
    <t>INV-2025-0293</t>
  </si>
  <si>
    <t>2025-05-20</t>
  </si>
  <si>
    <t>INV-2025-0241</t>
  </si>
  <si>
    <t>2025-05-21</t>
  </si>
  <si>
    <t>INV-2025-0320</t>
  </si>
  <si>
    <t>INV-2025-0341</t>
  </si>
  <si>
    <t>INV-2025-0344</t>
  </si>
  <si>
    <t>INV-2025-0394</t>
  </si>
  <si>
    <t>INV-2025-0011</t>
  </si>
  <si>
    <t>2025-05-22</t>
  </si>
  <si>
    <t>INV-2025-0386</t>
  </si>
  <si>
    <t>INV-2025-0412</t>
  </si>
  <si>
    <t>INV-2025-0419</t>
  </si>
  <si>
    <t>2025-05-23</t>
  </si>
  <si>
    <t>INV-2025-0411</t>
  </si>
  <si>
    <t>2025-05-24</t>
  </si>
  <si>
    <t>INV-2025-0022</t>
  </si>
  <si>
    <t>2025-05-25</t>
  </si>
  <si>
    <t>INV-2025-0238</t>
  </si>
  <si>
    <t>INV-2025-0309</t>
  </si>
  <si>
    <t>2025-05-26</t>
  </si>
  <si>
    <t>INV-2025-0357</t>
  </si>
  <si>
    <t>INV-2025-0039</t>
  </si>
  <si>
    <t>2025-05-27</t>
  </si>
  <si>
    <t>INV-2025-0043</t>
  </si>
  <si>
    <t>2025-05-28</t>
  </si>
  <si>
    <t>INV-2025-0233</t>
  </si>
  <si>
    <t>INV-2025-0080</t>
  </si>
  <si>
    <t>2025-05-29</t>
  </si>
  <si>
    <t>INV-2025-0185</t>
  </si>
  <si>
    <t>INV-2025-0472</t>
  </si>
  <si>
    <t>INV-2025-0049</t>
  </si>
  <si>
    <t>2025-05-30</t>
  </si>
  <si>
    <t>INV-2025-0191</t>
  </si>
  <si>
    <t>INV-2025-0222</t>
  </si>
  <si>
    <t>INV-2025-0251</t>
  </si>
  <si>
    <t>INV-2025-0423</t>
  </si>
  <si>
    <t>INV-2025-0436</t>
  </si>
  <si>
    <t>INV-2025-0140</t>
  </si>
  <si>
    <t>2025-05-31</t>
  </si>
  <si>
    <t>INV-2025-0454</t>
  </si>
  <si>
    <t>INV-2025-0108</t>
  </si>
  <si>
    <t>2025-06-03</t>
  </si>
  <si>
    <t>INV-2025-0295</t>
  </si>
  <si>
    <t>INV-2025-0442</t>
  </si>
  <si>
    <t>INV-2025-0246</t>
  </si>
  <si>
    <t>2025-06-04</t>
  </si>
  <si>
    <t>INV-2025-0161</t>
  </si>
  <si>
    <t>2025-06-05</t>
  </si>
  <si>
    <t>INV-2025-0488</t>
  </si>
  <si>
    <t>INV-2025-0492</t>
  </si>
  <si>
    <t>INV-2025-0063</t>
  </si>
  <si>
    <t>INV-2025-0139</t>
  </si>
  <si>
    <t>INV-2025-0337</t>
  </si>
  <si>
    <t>INV-2025-0136</t>
  </si>
  <si>
    <t>2025-06-07</t>
  </si>
  <si>
    <t>INV-2025-0224</t>
  </si>
  <si>
    <t>INV-2025-0396</t>
  </si>
  <si>
    <t>INV-2025-0175</t>
  </si>
  <si>
    <t>2025-06-08</t>
  </si>
  <si>
    <t>INV-2025-0235</t>
  </si>
  <si>
    <t>INV-2025-0486</t>
  </si>
  <si>
    <t>INV-2025-0037</t>
  </si>
  <si>
    <t>2025-06-09</t>
  </si>
  <si>
    <t>INV-2025-0409</t>
  </si>
  <si>
    <t>INV-2025-0260</t>
  </si>
  <si>
    <t>2025-06-10</t>
  </si>
  <si>
    <t>INV-2025-0463</t>
  </si>
  <si>
    <t>INV-2025-0427</t>
  </si>
  <si>
    <t>2025-06-11</t>
  </si>
  <si>
    <t>INV-2025-0479</t>
  </si>
  <si>
    <t>INV-2025-0023</t>
  </si>
  <si>
    <t>2025-06-12</t>
  </si>
  <si>
    <t>INV-2025-0361</t>
  </si>
  <si>
    <t>INV-2025-0445</t>
  </si>
  <si>
    <t>INV-2025-0342</t>
  </si>
  <si>
    <t>2025-06-13</t>
  </si>
  <si>
    <t>INV-2025-0406</t>
  </si>
  <si>
    <t>INV-2025-0044</t>
  </si>
  <si>
    <t>2025-06-14</t>
  </si>
  <si>
    <t>INV-2025-0208</t>
  </si>
  <si>
    <t>INV-2025-0240</t>
  </si>
  <si>
    <t>INV-2025-0270</t>
  </si>
  <si>
    <t>2025-06-15</t>
  </si>
  <si>
    <t>INV-2025-0444</t>
  </si>
  <si>
    <t>2025-06-16</t>
  </si>
  <si>
    <t>INV-2025-0148</t>
  </si>
  <si>
    <t>2025-06-17</t>
  </si>
  <si>
    <t>INV-2025-0237</t>
  </si>
  <si>
    <t>INV-2025-0257</t>
  </si>
  <si>
    <t>INV-2025-0391</t>
  </si>
  <si>
    <t>INV-2025-0135</t>
  </si>
  <si>
    <t>2025-06-18</t>
  </si>
  <si>
    <t>INV-2025-0346</t>
  </si>
  <si>
    <t>INV-2025-0430</t>
  </si>
  <si>
    <t>INV-2025-0464</t>
  </si>
  <si>
    <t>INV-2025-0015</t>
  </si>
  <si>
    <t>2025-06-19</t>
  </si>
  <si>
    <t>INV-2025-0193</t>
  </si>
  <si>
    <t>INV-2025-0453</t>
  </si>
  <si>
    <t>INV-2025-0328</t>
  </si>
  <si>
    <t>2025-06-20</t>
  </si>
  <si>
    <t>INV-2025-0110</t>
  </si>
  <si>
    <t>2025-06-21</t>
  </si>
  <si>
    <t>INV-2025-0231</t>
  </si>
  <si>
    <t>2025-06-22</t>
  </si>
  <si>
    <t>INV-2025-0290</t>
  </si>
  <si>
    <t>INV-2025-0308</t>
  </si>
  <si>
    <t>INV-2025-0281</t>
  </si>
  <si>
    <t>2025-06-23</t>
  </si>
  <si>
    <t>INV-2025-0133</t>
  </si>
  <si>
    <t>2025-06-24</t>
  </si>
  <si>
    <t>INV-2025-0220</t>
  </si>
  <si>
    <t>INV-2025-0122</t>
  </si>
  <si>
    <t>2025-06-26</t>
  </si>
  <si>
    <t>INV-2025-0280</t>
  </si>
  <si>
    <t>INV-2025-0060</t>
  </si>
  <si>
    <t>2025-06-27</t>
  </si>
  <si>
    <t>INV-2025-0088</t>
  </si>
  <si>
    <t>INV-2025-0404</t>
  </si>
  <si>
    <t>2025-06-28</t>
  </si>
  <si>
    <t>INV-2025-0016</t>
  </si>
  <si>
    <t>2025-06-29</t>
  </si>
  <si>
    <t>INV-2025-0160</t>
  </si>
  <si>
    <t>2025-06-30</t>
  </si>
  <si>
    <t>INV-2025-0028</t>
  </si>
  <si>
    <t>2025-07-01</t>
  </si>
  <si>
    <t>INV-2025-0040</t>
  </si>
  <si>
    <t>INV-2025-0319</t>
  </si>
  <si>
    <t>INV-2025-0267</t>
  </si>
  <si>
    <t>2025-07-02</t>
  </si>
  <si>
    <t>INV-2025-0299</t>
  </si>
  <si>
    <t>INV-2025-0007</t>
  </si>
  <si>
    <t>2025-07-03</t>
  </si>
  <si>
    <t>INV-2025-0097</t>
  </si>
  <si>
    <t>2025-07-04</t>
  </si>
  <si>
    <t>INV-2025-0249</t>
  </si>
  <si>
    <t>INV-2025-0004</t>
  </si>
  <si>
    <t>2025-07-05</t>
  </si>
  <si>
    <t>INV-2025-0149</t>
  </si>
  <si>
    <t>INV-2025-0262</t>
  </si>
  <si>
    <t>INV-2025-0397</t>
  </si>
  <si>
    <t>INV-2025-0358</t>
  </si>
  <si>
    <t>2025-07-06</t>
  </si>
  <si>
    <t>INV-2025-0390</t>
  </si>
  <si>
    <t>INV-2025-0456</t>
  </si>
  <si>
    <t>INV-2025-0405</t>
  </si>
  <si>
    <t>2025-07-08</t>
  </si>
  <si>
    <t>INV-2025-0159</t>
  </si>
  <si>
    <t>2025-07-09</t>
  </si>
  <si>
    <t>INV-2025-0378</t>
  </si>
  <si>
    <t>INV-2025-0211</t>
  </si>
  <si>
    <t>2025-07-10</t>
  </si>
  <si>
    <t>INV-2025-0349</t>
  </si>
  <si>
    <t>INV-2025-0325</t>
  </si>
  <si>
    <t>2025-07-11</t>
  </si>
  <si>
    <t>INV-2025-0355</t>
  </si>
  <si>
    <t>INV-2025-0440</t>
  </si>
  <si>
    <t>INV-2025-0318</t>
  </si>
  <si>
    <t>2025-07-12</t>
  </si>
  <si>
    <t>INV-2025-0100</t>
  </si>
  <si>
    <t>2025-07-13</t>
  </si>
  <si>
    <t>INV-2025-0012</t>
  </si>
  <si>
    <t>2025-07-14</t>
  </si>
  <si>
    <t>INV-2025-0132</t>
  </si>
  <si>
    <t>INV-2025-0250</t>
  </si>
  <si>
    <t>2025-07-15</t>
  </si>
  <si>
    <t>INV-2025-0272</t>
  </si>
  <si>
    <t>INV-2025-0425</t>
  </si>
  <si>
    <t>INV-2025-0094</t>
  </si>
  <si>
    <t>2025-07-16</t>
  </si>
  <si>
    <t>INV-2025-0158</t>
  </si>
  <si>
    <t>2025-07-19</t>
  </si>
  <si>
    <t>INV-2025-0210</t>
  </si>
  <si>
    <t>INV-2025-0468</t>
  </si>
  <si>
    <t>INV-2025-0286</t>
  </si>
  <si>
    <t>2025-07-20</t>
  </si>
  <si>
    <t>INV-2025-0331</t>
  </si>
  <si>
    <t>INV-2025-0026</t>
  </si>
  <si>
    <t>2025-07-21</t>
  </si>
  <si>
    <t>INV-2025-0321</t>
  </si>
  <si>
    <t>INV-2025-0381</t>
  </si>
  <si>
    <t>INV-2025-0061</t>
  </si>
  <si>
    <t>2025-07-22</t>
  </si>
  <si>
    <t>INV-2025-0407</t>
  </si>
  <si>
    <t>INV-2025-0050</t>
  </si>
  <si>
    <t>2025-07-23</t>
  </si>
  <si>
    <t>INV-2025-0121</t>
  </si>
  <si>
    <t>INV-2025-0225</t>
  </si>
  <si>
    <t>INV-2025-0335</t>
  </si>
  <si>
    <t>INV-2025-0152</t>
  </si>
  <si>
    <t>2025-07-24</t>
  </si>
  <si>
    <t>INV-2025-0219</t>
  </si>
  <si>
    <t>INV-2025-0345</t>
  </si>
  <si>
    <t>INV-2025-0329</t>
  </si>
  <si>
    <t>2025-07-25</t>
  </si>
  <si>
    <t>INV-2025-0351</t>
  </si>
  <si>
    <t>INV-2025-0278</t>
  </si>
  <si>
    <t>2025-07-26</t>
  </si>
  <si>
    <t>INV-2025-0424</t>
  </si>
  <si>
    <t>INV-2025-0053</t>
  </si>
  <si>
    <t>2025-07-27</t>
  </si>
  <si>
    <t>INV-2025-0123</t>
  </si>
  <si>
    <t>INV-2025-0192</t>
  </si>
  <si>
    <t>INV-2025-0258</t>
  </si>
  <si>
    <t>INV-2025-0020</t>
  </si>
  <si>
    <t>2025-07-28</t>
  </si>
  <si>
    <t>INV-2025-0068</t>
  </si>
  <si>
    <t>INV-2025-0433</t>
  </si>
  <si>
    <t>INV-2025-0443</t>
  </si>
  <si>
    <t>INV-2025-0303</t>
  </si>
  <si>
    <t>2025-07-29</t>
  </si>
  <si>
    <t>INV-2025-0348</t>
  </si>
  <si>
    <t>INV-2025-0429</t>
  </si>
  <si>
    <t>INV-2025-0487</t>
  </si>
  <si>
    <t>INV-2025-0408</t>
  </si>
  <si>
    <t>2025-07-30</t>
  </si>
  <si>
    <t>INV-2025-0297</t>
  </si>
  <si>
    <t>2025-08-01</t>
  </si>
  <si>
    <t>INV-2025-0368</t>
  </si>
  <si>
    <t>INV-2025-0078</t>
  </si>
  <si>
    <t>2025-08-02</t>
  </si>
  <si>
    <t>INV-2025-0244</t>
  </si>
  <si>
    <t>INV-2025-0461</t>
  </si>
  <si>
    <t>INV-2025-0157</t>
  </si>
  <si>
    <t>2025-08-03</t>
  </si>
  <si>
    <t>INV-2025-0373</t>
  </si>
  <si>
    <t>INV-2025-0477</t>
  </si>
  <si>
    <t>INV-2025-0221</t>
  </si>
  <si>
    <t>2025-08-04</t>
  </si>
  <si>
    <t>INV-2025-0384</t>
  </si>
  <si>
    <t>INV-2025-0218</t>
  </si>
  <si>
    <t>2025-08-05</t>
  </si>
  <si>
    <t>INV-2025-0006</t>
  </si>
  <si>
    <t>2025-08-06</t>
  </si>
  <si>
    <t>INV-2025-0090</t>
  </si>
  <si>
    <t>2025-08-07</t>
  </si>
  <si>
    <t>INV-2025-0106</t>
  </si>
  <si>
    <t>2025-08-09</t>
  </si>
  <si>
    <t>INV-2025-0048</t>
  </si>
  <si>
    <t>2025-08-10</t>
  </si>
  <si>
    <t>INV-2025-0035</t>
  </si>
  <si>
    <t>2025-08-11</t>
  </si>
  <si>
    <t>INV-2025-0147</t>
  </si>
  <si>
    <t>INV-2025-0212</t>
  </si>
  <si>
    <t>INV-2025-0010</t>
  </si>
  <si>
    <t>2025-08-14</t>
  </si>
  <si>
    <t>INV-2025-0279</t>
  </si>
  <si>
    <t>INV-2025-0365</t>
  </si>
  <si>
    <t>INV-2025-0452</t>
  </si>
  <si>
    <t>INV-2025-0375</t>
  </si>
  <si>
    <t>2025-08-15</t>
  </si>
  <si>
    <t>INV-2025-0298</t>
  </si>
  <si>
    <t>2025-08-16</t>
  </si>
  <si>
    <t>INV-2025-0101</t>
  </si>
  <si>
    <t>2025-08-19</t>
  </si>
  <si>
    <t>INV-2025-0265</t>
  </si>
  <si>
    <t>INV-2025-0362</t>
  </si>
  <si>
    <t>2025-08-20</t>
  </si>
  <si>
    <t>INV-2025-0074</t>
  </si>
  <si>
    <t>2025-08-21</t>
  </si>
  <si>
    <t>INV-2025-0098</t>
  </si>
  <si>
    <t>INV-2025-0196</t>
  </si>
  <si>
    <t>INV-2025-0259</t>
  </si>
  <si>
    <t>INV-2025-0455</t>
  </si>
  <si>
    <t>INV-2025-0008</t>
  </si>
  <si>
    <t>2025-08-22</t>
  </si>
  <si>
    <t>INV-2025-0103</t>
  </si>
  <si>
    <t>INV-2025-0125</t>
  </si>
  <si>
    <t>INV-2025-0138</t>
  </si>
  <si>
    <t>INV-2025-0418</t>
  </si>
  <si>
    <t>INV-2025-0186</t>
  </si>
  <si>
    <t>2025-08-23</t>
  </si>
  <si>
    <t>INV-2025-0274</t>
  </si>
  <si>
    <t>INV-2025-0288</t>
  </si>
  <si>
    <t>INV-2025-0289</t>
  </si>
  <si>
    <t>INV-2025-0019</t>
  </si>
  <si>
    <t>2025-08-24</t>
  </si>
  <si>
    <t>INV-2025-0347</t>
  </si>
  <si>
    <t>INV-2025-0431</t>
  </si>
  <si>
    <t>INV-2025-0024</t>
  </si>
  <si>
    <t>2025-08-25</t>
  </si>
  <si>
    <t>INV-2025-0322</t>
  </si>
  <si>
    <t>INV-2025-0155</t>
  </si>
  <si>
    <t>2025-08-26</t>
  </si>
  <si>
    <t>INV-2025-0310</t>
  </si>
  <si>
    <t>INV-2025-0489</t>
  </si>
  <si>
    <t>2025-08-27</t>
  </si>
  <si>
    <t>INV-2025-0051</t>
  </si>
  <si>
    <t>INV-2025-0129</t>
  </si>
  <si>
    <t>INV-2025-0277</t>
  </si>
  <si>
    <t>INV-2025-0367</t>
  </si>
  <si>
    <t>INV-2025-0180</t>
  </si>
  <si>
    <t>2025-08-28</t>
  </si>
  <si>
    <t>INV-2025-0065</t>
  </si>
  <si>
    <t>2025-08-29</t>
  </si>
  <si>
    <t>INV-2025-0415</t>
  </si>
  <si>
    <t>INV-2025-0059</t>
  </si>
  <si>
    <t>2025-08-30</t>
  </si>
  <si>
    <t>INV-2025-0067</t>
  </si>
  <si>
    <t>INV-2025-0113</t>
  </si>
  <si>
    <t>INV-2025-0126</t>
  </si>
  <si>
    <t>INV-2025-0141</t>
  </si>
  <si>
    <t>INV-2025-0169</t>
  </si>
  <si>
    <t>INV-2025-0306</t>
  </si>
  <si>
    <t>2025-08-31</t>
  </si>
  <si>
    <t>INV-2025-0151</t>
  </si>
  <si>
    <t>2025-09-02</t>
  </si>
  <si>
    <t>INV-2025-0339</t>
  </si>
  <si>
    <t>2025-09-03</t>
  </si>
  <si>
    <t>INV-2025-0111</t>
  </si>
  <si>
    <t>2025-09-04</t>
  </si>
  <si>
    <t>INV-2025-0363</t>
  </si>
  <si>
    <t>2025-09-05</t>
  </si>
  <si>
    <t>INV-2025-0467</t>
  </si>
  <si>
    <t>INV-2025-0243</t>
  </si>
  <si>
    <t>2025-09-07</t>
  </si>
  <si>
    <t>INV-2025-0387</t>
  </si>
  <si>
    <t>INV-2025-0284</t>
  </si>
  <si>
    <t>2025-09-09</t>
  </si>
  <si>
    <t>INV-2025-0421</t>
  </si>
  <si>
    <t>INV-2025-0300</t>
  </si>
  <si>
    <t>2025-09-11</t>
  </si>
  <si>
    <t>INV-2025-0242</t>
  </si>
  <si>
    <t>2025-09-12</t>
  </si>
  <si>
    <t>INV-2025-0247</t>
  </si>
  <si>
    <t>2025-09-13</t>
  </si>
  <si>
    <t>INV-2025-0291</t>
  </si>
  <si>
    <t>INV-2025-0324</t>
  </si>
  <si>
    <t>INV-2025-0234</t>
  </si>
  <si>
    <t>2025-09-14</t>
  </si>
  <si>
    <t>INV-2025-0058</t>
  </si>
  <si>
    <t>2025-09-16</t>
  </si>
  <si>
    <t>INV-2025-0187</t>
  </si>
  <si>
    <t>INV-2025-0302</t>
  </si>
  <si>
    <t>INV-2025-0174</t>
  </si>
  <si>
    <t>2025-09-17</t>
  </si>
  <si>
    <t>INV-2025-0119</t>
  </si>
  <si>
    <t>2025-09-18</t>
  </si>
  <si>
    <t>INV-2025-0089</t>
  </si>
  <si>
    <t>2025-09-19</t>
  </si>
  <si>
    <t>INV-2025-0199</t>
  </si>
  <si>
    <t>INV-2025-0301</t>
  </si>
  <si>
    <t>INV-2025-0091</t>
  </si>
  <si>
    <t>2025-09-21</t>
  </si>
  <si>
    <t>INV-2025-0207</t>
  </si>
  <si>
    <t>2025-09-22</t>
  </si>
  <si>
    <t>INV-2025-0228</t>
  </si>
  <si>
    <t>INV-2025-0333</t>
  </si>
  <si>
    <t>INV-2025-0105</t>
  </si>
  <si>
    <t>2025-09-23</t>
  </si>
  <si>
    <t>INV-2025-0164</t>
  </si>
  <si>
    <t>INV-2025-0273</t>
  </si>
  <si>
    <t>INV-2025-0305</t>
  </si>
  <si>
    <t>INV-2025-0184</t>
  </si>
  <si>
    <t>2025-09-24</t>
  </si>
  <si>
    <t>INV-2025-0252</t>
  </si>
  <si>
    <t>INV-2025-0001</t>
  </si>
  <si>
    <t>2025-09-25</t>
  </si>
  <si>
    <t>INV-2025-0018</t>
  </si>
  <si>
    <t>INV-2025-0203</t>
  </si>
  <si>
    <t>2025-09-26</t>
  </si>
  <si>
    <t>INV-2025-0232</t>
  </si>
  <si>
    <t>INV-2025-0269</t>
  </si>
  <si>
    <t>INV-2025-0417</t>
  </si>
  <si>
    <t>INV-2025-0437</t>
  </si>
  <si>
    <t>INV-2025-0127</t>
  </si>
  <si>
    <t>2025-09-27</t>
  </si>
  <si>
    <t>INV-2025-0239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</si>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</sst>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;\-0.0;0.0"/>
  </numFmts>
  <fonts count="7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6"/>
      <color rgb="FF1F3864"/>
      <name val="Arial"/>
      <charset val="1"/>
    </font>
    <font>
      <i/>
      <sz val="9"/>
      <name val="Arial"/>
      <charset val="1"/>
    </font>
    <font>
      <b/>
      <sz val="14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0" xfId="0" applyFont="1"/>
    <xf numFmtId="0" fontId="5" fillId="0" borderId="0" xfId="0" applyFont="1"/>
    <xf numFmtId="3" fontId="1" fillId="0" borderId="1" xfId="0" applyNumberFormat="1" applyFont="1" applyBorder="1"/>
    <xf numFmtId="164" fontId="1" fillId="0" borderId="1" xfId="0" applyNumberFormat="1" applyFont="1" applyBorder="1"/>
    <xf numFmtId="0" fontId="6" fillId="0" borderId="0" xfId="0" applyFont="1"/>
    <xf numFmtId="164" fontId="2" fillId="0" borderId="1" xfId="0" applyNumberFormat="1" applyFont="1" applyBorder="1"/>
    <xf numFmtId="165" fontId="2" fillId="0" borderId="1" xfId="0" applyNumberFormat="1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A6A6A6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DQ pass % by field: before vs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DQ_Scorecard!$E$4</c:f>
              <c:strCache>
                <c:ptCount val="1"/>
                <c:pt idx="0">
                  <c:v>Pass % (Before)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DQ_Scorecard!$A$5:$A$12</c:f>
              <c:strCache>
                <c:ptCount val="8"/>
                <c:pt idx="0">
                  <c:v>PAN</c:v>
                </c:pt>
                <c:pt idx="1">
                  <c:v>GSTIN</c:v>
                </c:pt>
                <c:pt idx="2">
                  <c:v>Email</c:v>
                </c:pt>
                <c:pt idx="3">
                  <c:v>Phone</c:v>
                </c:pt>
                <c:pt idx="4">
                  <c:v>Bank Account</c:v>
                </c:pt>
                <c:pt idx="5">
                  <c:v>IFSC</c:v>
                </c:pt>
                <c:pt idx="6">
                  <c:v>Country</c:v>
                </c:pt>
                <c:pt idx="7">
                  <c:v>Payment Terms</c:v>
                </c:pt>
              </c:strCache>
            </c:strRef>
          </c:cat>
          <c:val>
            <c:numRef>
              <c:f>DQ_Scorecard!$E$5:$E$12</c:f>
              <c:numCache>
                <c:formatCode>0.0%</c:formatCode>
                <c:ptCount val="8"/>
                <c:pt idx="0">
                  <c:v>0.83333333333333337</c:v>
                </c:pt>
                <c:pt idx="1">
                  <c:v>0.72807017543859653</c:v>
                </c:pt>
                <c:pt idx="2">
                  <c:v>0.91666666666666663</c:v>
                </c:pt>
                <c:pt idx="3">
                  <c:v>0.92543859649122806</c:v>
                </c:pt>
                <c:pt idx="4">
                  <c:v>0.94736842105263153</c:v>
                </c:pt>
                <c:pt idx="5">
                  <c:v>0.83771929824561409</c:v>
                </c:pt>
                <c:pt idx="6">
                  <c:v>0.71491228070175439</c:v>
                </c:pt>
                <c:pt idx="7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E-49C4-AE16-BE3B1A154E0B}"/>
            </c:ext>
          </c:extLst>
        </c:ser>
        <c:ser>
          <c:idx val="1"/>
          <c:order val="1"/>
          <c:tx>
            <c:strRef>
              <c:f>DQ_Scorecard!$H$4</c:f>
              <c:strCache>
                <c:ptCount val="1"/>
                <c:pt idx="0">
                  <c:v>Pass % (After)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DQ_Scorecard!$A$5:$A$12</c:f>
              <c:strCache>
                <c:ptCount val="8"/>
                <c:pt idx="0">
                  <c:v>PAN</c:v>
                </c:pt>
                <c:pt idx="1">
                  <c:v>GSTIN</c:v>
                </c:pt>
                <c:pt idx="2">
                  <c:v>Email</c:v>
                </c:pt>
                <c:pt idx="3">
                  <c:v>Phone</c:v>
                </c:pt>
                <c:pt idx="4">
                  <c:v>Bank Account</c:v>
                </c:pt>
                <c:pt idx="5">
                  <c:v>IFSC</c:v>
                </c:pt>
                <c:pt idx="6">
                  <c:v>Country</c:v>
                </c:pt>
                <c:pt idx="7">
                  <c:v>Payment Terms</c:v>
                </c:pt>
              </c:strCache>
            </c:strRef>
          </c:cat>
          <c:val>
            <c:numRef>
              <c:f>DQ_Scorecard!$H$5:$H$12</c:f>
              <c:numCache>
                <c:formatCode>0.0%</c:formatCode>
                <c:ptCount val="8"/>
                <c:pt idx="0">
                  <c:v>0.88405797101449279</c:v>
                </c:pt>
                <c:pt idx="1">
                  <c:v>0.74879227053140096</c:v>
                </c:pt>
                <c:pt idx="2">
                  <c:v>0.91787439613526567</c:v>
                </c:pt>
                <c:pt idx="3">
                  <c:v>0.9468599033816425</c:v>
                </c:pt>
                <c:pt idx="4">
                  <c:v>0.95169082125603865</c:v>
                </c:pt>
                <c:pt idx="5">
                  <c:v>0.88888888888888884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E-49C4-AE16-BE3B1A154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72572"/>
        <c:axId val="76721321"/>
      </c:barChart>
      <c:catAx>
        <c:axId val="22572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721321"/>
        <c:crosses val="autoZero"/>
        <c:auto val="1"/>
        <c:lblAlgn val="ctr"/>
        <c:lblOffset val="100"/>
        <c:noMultiLvlLbl val="0"/>
      </c:catAx>
      <c:valAx>
        <c:axId val="7672132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572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 exceptions - amount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Dashboard!$A$15:$A$20</c:f>
              <c:strCache>
                <c:ptCount val="6"/>
                <c:pt idx="0">
                  <c:v>Orphan vendor ID (not in master)</c:v>
                </c:pt>
                <c:pt idx="1">
                  <c:v>Invoices on inactive vendors</c:v>
                </c:pt>
                <c:pt idx="2">
                  <c:v>Duplicate invoices (after MDM)</c:v>
                </c:pt>
                <c:pt idx="3">
                  <c:v>  of which duplicate already Paid</c:v>
                </c:pt>
                <c:pt idx="4">
                  <c:v>  of which still Pending (stoppable)</c:v>
                </c:pt>
                <c:pt idx="5">
                  <c:v>Duplicates found ONLY after vendor merge</c:v>
                </c:pt>
              </c:strCache>
            </c:strRef>
          </c:cat>
          <c:val>
            <c:numRef>
              <c:f>Dashboard!$C$15:$C$20</c:f>
              <c:numCache>
                <c:formatCode>#,##0</c:formatCode>
                <c:ptCount val="6"/>
                <c:pt idx="0">
                  <c:v>803600</c:v>
                </c:pt>
                <c:pt idx="1">
                  <c:v>6245900</c:v>
                </c:pt>
                <c:pt idx="2">
                  <c:v>997600</c:v>
                </c:pt>
                <c:pt idx="3">
                  <c:v>599500</c:v>
                </c:pt>
                <c:pt idx="4">
                  <c:v>398100</c:v>
                </c:pt>
                <c:pt idx="5">
                  <c:v>555400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5-45BD-AB68-78AA0D9F9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92069"/>
        <c:axId val="26628476"/>
      </c:barChart>
      <c:catAx>
        <c:axId val="622920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28476"/>
        <c:crosses val="autoZero"/>
        <c:auto val="1"/>
        <c:lblAlgn val="ctr"/>
        <c:lblOffset val="100"/>
        <c:noMultiLvlLbl val="0"/>
      </c:catAx>
      <c:valAx>
        <c:axId val="266284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92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130680</xdr:rowOff>
    </xdr:from>
    <xdr:to>
      <xdr:col>11</xdr:col>
      <xdr:colOff>433080</xdr:colOff>
      <xdr:row>18</xdr:row>
      <xdr:rowOff>131760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131040</xdr:rowOff>
    </xdr:from>
    <xdr:to>
      <xdr:col>11</xdr:col>
      <xdr:colOff>433080</xdr:colOff>
      <xdr:row>37</xdr:row>
      <xdr:rowOff>132120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C20"/>
  <sheetViews>
    <sheetView showGridLines="0" zoomScaleNormal="100" workbookViewId="0">
      <selection activeCell="C9" sqref="C9"/>
    </sheetView>
  </sheetViews>
  <sheetFormatPr defaultColWidth="8.6328125" defaultRowHeight="14.5" x14ac:dyDescent="0.35"/>
  <cols>
    <col min="1" max="1" width="42" customWidth="1"/>
    <col min="2" max="2" width="14" customWidth="1"/>
    <col min="3" max="3" width="18" customWidth="1"/>
    <col min="4" max="4" width="3" customWidth="1"/>
    <col min="5" max="10" width="12" customWidth="1"/>
  </cols>
  <sheetData>
    <row r="1" spans="1:3" ht="20" x14ac:dyDescent="0.4">
      <c r="A1" s="3" t="s">
        <v>0</v>
      </c>
    </row>
    <row r="2" spans="1:3" x14ac:dyDescent="0.35">
      <c r="A2" s="4" t="s">
        <v>1</v>
      </c>
    </row>
    <row r="3" spans="1:3" x14ac:dyDescent="0.35">
      <c r="A3" s="1" t="s">
        <v>2</v>
      </c>
      <c r="B3" s="1" t="s">
        <v>3</v>
      </c>
    </row>
    <row r="4" spans="1:3" x14ac:dyDescent="0.35">
      <c r="A4" s="2" t="s">
        <v>4</v>
      </c>
      <c r="B4" s="5">
        <f>COUNTA(Vendor_Master_Raw!A2:A229)</f>
        <v>228</v>
      </c>
    </row>
    <row r="5" spans="1:3" x14ac:dyDescent="0.35">
      <c r="A5" s="2" t="s">
        <v>5</v>
      </c>
      <c r="B5" s="5">
        <f>COUNTA(Vendor_Master_Golden!A2:A208)</f>
        <v>207</v>
      </c>
    </row>
    <row r="6" spans="1:3" x14ac:dyDescent="0.35">
      <c r="A6" s="2" t="s">
        <v>6</v>
      </c>
      <c r="B6" s="5">
        <f>B4-B5</f>
        <v>21</v>
      </c>
    </row>
    <row r="7" spans="1:3" x14ac:dyDescent="0.35">
      <c r="A7" s="2" t="s">
        <v>7</v>
      </c>
      <c r="B7" s="6">
        <f>DQ_Scorecard!E13</f>
        <v>0.77741228070175439</v>
      </c>
    </row>
    <row r="8" spans="1:3" x14ac:dyDescent="0.35">
      <c r="A8" s="2" t="s">
        <v>8</v>
      </c>
      <c r="B8" s="6">
        <f>DQ_Scorecard!H13</f>
        <v>0.91727053140096615</v>
      </c>
    </row>
    <row r="9" spans="1:3" x14ac:dyDescent="0.35">
      <c r="A9" s="2" t="s">
        <v>9</v>
      </c>
      <c r="B9" s="5">
        <f>COUNTA(Steward_Queue!A2:A86)</f>
        <v>85</v>
      </c>
    </row>
    <row r="10" spans="1:3" x14ac:dyDescent="0.35">
      <c r="A10" s="2" t="s">
        <v>10</v>
      </c>
      <c r="B10" s="5">
        <f>COUNTIF(Steward_Queue!F2:F86,"High")</f>
        <v>71</v>
      </c>
    </row>
    <row r="11" spans="1:3" x14ac:dyDescent="0.35">
      <c r="A11" s="2" t="s">
        <v>11</v>
      </c>
      <c r="B11" s="5">
        <f>COUNTA(Duplicate_Review!A2:A10)</f>
        <v>9</v>
      </c>
    </row>
    <row r="13" spans="1:3" x14ac:dyDescent="0.35">
      <c r="A13" s="1" t="s">
        <v>12</v>
      </c>
      <c r="B13" s="1" t="s">
        <v>13</v>
      </c>
      <c r="C13" s="1" t="s">
        <v>14</v>
      </c>
    </row>
    <row r="14" spans="1:3" x14ac:dyDescent="0.35">
      <c r="A14" s="2" t="s">
        <v>15</v>
      </c>
      <c r="B14" s="5">
        <f>COUNTA(AP_Invoices_Recon!A2:A511)</f>
        <v>510</v>
      </c>
      <c r="C14" s="5">
        <f>SUM(AP_Invoices_Recon!D2:D511)</f>
        <v>47492000</v>
      </c>
    </row>
    <row r="15" spans="1:3" x14ac:dyDescent="0.35">
      <c r="A15" s="2" t="s">
        <v>16</v>
      </c>
      <c r="B15" s="5">
        <f>COUNTIF(AP_Invoices_Recon!I2:I511,"Orphan Vendor ID")</f>
        <v>10</v>
      </c>
      <c r="C15" s="5">
        <f>SUMIFS(AP_Invoices_Recon!D2:D511,AP_Invoices_Recon!I2:I511,"Orphan Vendor ID")</f>
        <v>803600</v>
      </c>
    </row>
    <row r="16" spans="1:3" x14ac:dyDescent="0.35">
      <c r="A16" s="2" t="s">
        <v>17</v>
      </c>
      <c r="B16" s="5">
        <f>COUNTIF(AP_Invoices_Recon!I2:I511,"Inactive Vendor")</f>
        <v>65</v>
      </c>
      <c r="C16" s="5">
        <f>SUMIFS(AP_Invoices_Recon!D2:D511,AP_Invoices_Recon!I2:I511,"Inactive Vendor")</f>
        <v>6245900</v>
      </c>
    </row>
    <row r="17" spans="1:3" x14ac:dyDescent="0.35">
      <c r="A17" s="2" t="s">
        <v>18</v>
      </c>
      <c r="B17" s="5">
        <f>COUNTIF(AP_Invoices_Recon!L2:L511,"Duplicate")</f>
        <v>12</v>
      </c>
      <c r="C17" s="5">
        <f>SUMIFS(AP_Invoices_Recon!D2:D511,AP_Invoices_Recon!L2:L511,"Duplicate")</f>
        <v>997600</v>
      </c>
    </row>
    <row r="18" spans="1:3" x14ac:dyDescent="0.35">
      <c r="A18" s="2" t="s">
        <v>19</v>
      </c>
      <c r="B18" s="5">
        <f>COUNTIFS(AP_Invoices_Recon!L2:L511,"Duplicate",AP_Invoices_Recon!E2:E511,"Paid")</f>
        <v>6</v>
      </c>
      <c r="C18" s="5">
        <f>SUMIFS(AP_Invoices_Recon!D2:D511,AP_Invoices_Recon!L2:L511,"Duplicate",AP_Invoices_Recon!E2:E511,"Paid")</f>
        <v>599500</v>
      </c>
    </row>
    <row r="19" spans="1:3" x14ac:dyDescent="0.35">
      <c r="A19" s="2" t="s">
        <v>20</v>
      </c>
      <c r="B19" s="5">
        <f>COUNTIFS(AP_Invoices_Recon!L2:L511,"Duplicate",AP_Invoices_Recon!E2:E511,"Pending")</f>
        <v>6</v>
      </c>
      <c r="C19" s="5">
        <f>SUMIFS(AP_Invoices_Recon!D2:D511,AP_Invoices_Recon!L2:L511,"Duplicate",AP_Invoices_Recon!E2:E511,"Pending")</f>
        <v>398100</v>
      </c>
    </row>
    <row r="20" spans="1:3" x14ac:dyDescent="0.35">
      <c r="A20" s="2" t="s">
        <v>21</v>
      </c>
      <c r="B20" s="5">
        <f>COUNTIF(AP_Invoices_Recon!M2:M511,"Yes")</f>
        <v>6</v>
      </c>
      <c r="C20" s="5">
        <f>SUMIFS(AP_Invoices_Recon!D2:D511,AP_Invoices_Recon!M2:M511,"Yes")</f>
        <v>555400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J16"/>
  <sheetViews>
    <sheetView showGridLines="0" zoomScaleNormal="100" workbookViewId="0"/>
  </sheetViews>
  <sheetFormatPr defaultColWidth="8.6328125" defaultRowHeight="14.5" x14ac:dyDescent="0.35"/>
  <cols>
    <col min="1" max="1" width="26" customWidth="1"/>
    <col min="2" max="2" width="20" customWidth="1"/>
    <col min="3" max="3" width="16" customWidth="1"/>
    <col min="4" max="5" width="14" customWidth="1"/>
    <col min="6" max="6" width="16" customWidth="1"/>
    <col min="7" max="8" width="14" customWidth="1"/>
    <col min="9" max="9" width="15" customWidth="1"/>
    <col min="10" max="10" width="16" customWidth="1"/>
  </cols>
  <sheetData>
    <row r="1" spans="1:10" ht="18" x14ac:dyDescent="0.4">
      <c r="A1" s="7" t="s">
        <v>22</v>
      </c>
    </row>
    <row r="2" spans="1:10" x14ac:dyDescent="0.35">
      <c r="A2" s="4" t="s">
        <v>23</v>
      </c>
    </row>
    <row r="4" spans="1:10" ht="31.5" customHeight="1" x14ac:dyDescent="0.3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</row>
    <row r="5" spans="1:10" x14ac:dyDescent="0.35">
      <c r="A5" s="2" t="s">
        <v>34</v>
      </c>
      <c r="B5" s="2" t="s">
        <v>35</v>
      </c>
      <c r="C5" s="2">
        <f>COUNTA(Vendor_Master_Raw!$A$2:$A$229)</f>
        <v>228</v>
      </c>
      <c r="D5" s="2">
        <f>COUNTIF(Vendor_Master_Raw!$M$2:$M$229,"Valid")</f>
        <v>190</v>
      </c>
      <c r="E5" s="8">
        <f t="shared" ref="E5:E12" si="0">IF(C5=0,0,D5/C5)</f>
        <v>0.83333333333333337</v>
      </c>
      <c r="F5" s="2">
        <f>COUNTA(Vendor_Master_Golden!$A$2:$A$208)</f>
        <v>207</v>
      </c>
      <c r="G5" s="2">
        <f>COUNTIF(Vendor_Master_Golden!$M$2:$M$208,"Valid")</f>
        <v>183</v>
      </c>
      <c r="H5" s="8">
        <f t="shared" ref="H5:H12" si="1">IF(F5=0,0,G5/F5)</f>
        <v>0.88405797101449279</v>
      </c>
      <c r="I5" s="9">
        <f t="shared" ref="I5:I14" si="2">(H5-E5)*100</f>
        <v>5.0724637681159424</v>
      </c>
      <c r="J5" s="2">
        <f t="shared" ref="J5:J12" si="3">F5-G5</f>
        <v>24</v>
      </c>
    </row>
    <row r="6" spans="1:10" x14ac:dyDescent="0.35">
      <c r="A6" s="2" t="s">
        <v>36</v>
      </c>
      <c r="B6" s="2" t="s">
        <v>37</v>
      </c>
      <c r="C6" s="2">
        <f>COUNTA(Vendor_Master_Raw!$A$2:$A$229)</f>
        <v>228</v>
      </c>
      <c r="D6" s="2">
        <f>COUNTIF(Vendor_Master_Raw!$N$2:$N$229,"Valid")</f>
        <v>166</v>
      </c>
      <c r="E6" s="8">
        <f t="shared" si="0"/>
        <v>0.72807017543859653</v>
      </c>
      <c r="F6" s="2">
        <f>COUNTA(Vendor_Master_Golden!$A$2:$A$208)</f>
        <v>207</v>
      </c>
      <c r="G6" s="2">
        <f>COUNTIF(Vendor_Master_Golden!$N$2:$N$208,"Valid")</f>
        <v>155</v>
      </c>
      <c r="H6" s="8">
        <f t="shared" si="1"/>
        <v>0.74879227053140096</v>
      </c>
      <c r="I6" s="9">
        <f t="shared" si="2"/>
        <v>2.0722095092804427</v>
      </c>
      <c r="J6" s="2">
        <f t="shared" si="3"/>
        <v>52</v>
      </c>
    </row>
    <row r="7" spans="1:10" x14ac:dyDescent="0.35">
      <c r="A7" s="2" t="s">
        <v>38</v>
      </c>
      <c r="B7" s="2" t="s">
        <v>39</v>
      </c>
      <c r="C7" s="2">
        <f>COUNTA(Vendor_Master_Raw!$A$2:$A$229)</f>
        <v>228</v>
      </c>
      <c r="D7" s="2">
        <f>COUNTIF(Vendor_Master_Raw!$O$2:$O$229,"Valid")</f>
        <v>209</v>
      </c>
      <c r="E7" s="8">
        <f t="shared" si="0"/>
        <v>0.91666666666666663</v>
      </c>
      <c r="F7" s="2">
        <f>COUNTA(Vendor_Master_Golden!$A$2:$A$208)</f>
        <v>207</v>
      </c>
      <c r="G7" s="2">
        <f>COUNTIF(Vendor_Master_Golden!$O$2:$O$208,"Valid")</f>
        <v>190</v>
      </c>
      <c r="H7" s="8">
        <f t="shared" si="1"/>
        <v>0.91787439613526567</v>
      </c>
      <c r="I7" s="9">
        <f t="shared" si="2"/>
        <v>0.12077294685990392</v>
      </c>
      <c r="J7" s="2">
        <f t="shared" si="3"/>
        <v>17</v>
      </c>
    </row>
    <row r="8" spans="1:10" x14ac:dyDescent="0.35">
      <c r="A8" s="2" t="s">
        <v>40</v>
      </c>
      <c r="B8" s="2" t="s">
        <v>41</v>
      </c>
      <c r="C8" s="2">
        <f>COUNTA(Vendor_Master_Raw!$A$2:$A$229)</f>
        <v>228</v>
      </c>
      <c r="D8" s="2">
        <f>COUNTIF(Vendor_Master_Raw!$P$2:$P$229,"Valid")</f>
        <v>211</v>
      </c>
      <c r="E8" s="8">
        <f t="shared" si="0"/>
        <v>0.92543859649122806</v>
      </c>
      <c r="F8" s="2">
        <f>COUNTA(Vendor_Master_Golden!$A$2:$A$208)</f>
        <v>207</v>
      </c>
      <c r="G8" s="2">
        <f>COUNTIF(Vendor_Master_Golden!$P$2:$P$208,"Valid")</f>
        <v>196</v>
      </c>
      <c r="H8" s="8">
        <f t="shared" si="1"/>
        <v>0.9468599033816425</v>
      </c>
      <c r="I8" s="9">
        <f t="shared" si="2"/>
        <v>2.1421306890414438</v>
      </c>
      <c r="J8" s="2">
        <f t="shared" si="3"/>
        <v>11</v>
      </c>
    </row>
    <row r="9" spans="1:10" x14ac:dyDescent="0.35">
      <c r="A9" s="2" t="s">
        <v>42</v>
      </c>
      <c r="B9" s="2" t="s">
        <v>43</v>
      </c>
      <c r="C9" s="2">
        <f>COUNTA(Vendor_Master_Raw!$A$2:$A$229)</f>
        <v>228</v>
      </c>
      <c r="D9" s="2">
        <f>COUNTIF(Vendor_Master_Raw!$Q$2:$Q$229,"Valid")</f>
        <v>216</v>
      </c>
      <c r="E9" s="8">
        <f t="shared" si="0"/>
        <v>0.94736842105263153</v>
      </c>
      <c r="F9" s="2">
        <f>COUNTA(Vendor_Master_Golden!$A$2:$A$208)</f>
        <v>207</v>
      </c>
      <c r="G9" s="2">
        <f>COUNTIF(Vendor_Master_Golden!$Q$2:$Q$208,"Valid")</f>
        <v>197</v>
      </c>
      <c r="H9" s="8">
        <f t="shared" si="1"/>
        <v>0.95169082125603865</v>
      </c>
      <c r="I9" s="9">
        <f t="shared" si="2"/>
        <v>0.43224002034071285</v>
      </c>
      <c r="J9" s="2">
        <f t="shared" si="3"/>
        <v>10</v>
      </c>
    </row>
    <row r="10" spans="1:10" x14ac:dyDescent="0.35">
      <c r="A10" s="2" t="s">
        <v>44</v>
      </c>
      <c r="B10" s="2" t="s">
        <v>45</v>
      </c>
      <c r="C10" s="2">
        <f>COUNTA(Vendor_Master_Raw!$A$2:$A$229)</f>
        <v>228</v>
      </c>
      <c r="D10" s="2">
        <f>COUNTIF(Vendor_Master_Raw!$R$2:$R$229,"Valid")</f>
        <v>191</v>
      </c>
      <c r="E10" s="8">
        <f t="shared" si="0"/>
        <v>0.83771929824561409</v>
      </c>
      <c r="F10" s="2">
        <f>COUNTA(Vendor_Master_Golden!$A$2:$A$208)</f>
        <v>207</v>
      </c>
      <c r="G10" s="2">
        <f>COUNTIF(Vendor_Master_Golden!$R$2:$R$208,"Valid")</f>
        <v>184</v>
      </c>
      <c r="H10" s="8">
        <f t="shared" si="1"/>
        <v>0.88888888888888884</v>
      </c>
      <c r="I10" s="9">
        <f t="shared" si="2"/>
        <v>5.1169590643274754</v>
      </c>
      <c r="J10" s="2">
        <f t="shared" si="3"/>
        <v>23</v>
      </c>
    </row>
    <row r="11" spans="1:10" x14ac:dyDescent="0.35">
      <c r="A11" s="2" t="s">
        <v>46</v>
      </c>
      <c r="B11" s="2" t="s">
        <v>47</v>
      </c>
      <c r="C11" s="2">
        <f>COUNTA(Vendor_Master_Raw!$A$2:$A$229)</f>
        <v>228</v>
      </c>
      <c r="D11" s="2">
        <f>COUNTIF(Vendor_Master_Raw!$S$2:$S$229,"Valid")</f>
        <v>163</v>
      </c>
      <c r="E11" s="8">
        <f t="shared" si="0"/>
        <v>0.71491228070175439</v>
      </c>
      <c r="F11" s="2">
        <f>COUNTA(Vendor_Master_Golden!$A$2:$A$208)</f>
        <v>207</v>
      </c>
      <c r="G11" s="2">
        <f>COUNTIF(Vendor_Master_Golden!$S$2:$S$208,"Valid")</f>
        <v>207</v>
      </c>
      <c r="H11" s="8">
        <f t="shared" si="1"/>
        <v>1</v>
      </c>
      <c r="I11" s="9">
        <f t="shared" si="2"/>
        <v>28.508771929824562</v>
      </c>
      <c r="J11" s="2">
        <f t="shared" si="3"/>
        <v>0</v>
      </c>
    </row>
    <row r="12" spans="1:10" x14ac:dyDescent="0.35">
      <c r="A12" s="2" t="s">
        <v>48</v>
      </c>
      <c r="B12" s="2" t="s">
        <v>49</v>
      </c>
      <c r="C12" s="2">
        <f>COUNTA(Vendor_Master_Raw!$A$2:$A$229)</f>
        <v>228</v>
      </c>
      <c r="D12" s="2">
        <f>COUNTIF(Vendor_Master_Raw!$T$2:$T$229,"Valid")</f>
        <v>72</v>
      </c>
      <c r="E12" s="8">
        <f t="shared" si="0"/>
        <v>0.31578947368421051</v>
      </c>
      <c r="F12" s="2">
        <f>COUNTA(Vendor_Master_Golden!$A$2:$A$208)</f>
        <v>207</v>
      </c>
      <c r="G12" s="2">
        <f>COUNTIF(Vendor_Master_Golden!$T$2:$T$208,"Valid")</f>
        <v>207</v>
      </c>
      <c r="H12" s="8">
        <f t="shared" si="1"/>
        <v>1</v>
      </c>
      <c r="I12" s="9">
        <f t="shared" si="2"/>
        <v>68.421052631578945</v>
      </c>
      <c r="J12" s="2">
        <f t="shared" si="3"/>
        <v>0</v>
      </c>
    </row>
    <row r="13" spans="1:10" x14ac:dyDescent="0.35">
      <c r="A13" s="10" t="s">
        <v>50</v>
      </c>
      <c r="B13" s="10"/>
      <c r="C13" s="10"/>
      <c r="D13" s="10"/>
      <c r="E13" s="11">
        <f>AVERAGE(E5:E12)</f>
        <v>0.77741228070175439</v>
      </c>
      <c r="F13" s="10"/>
      <c r="G13" s="10"/>
      <c r="H13" s="11">
        <f>AVERAGE(H5:H12)</f>
        <v>0.91727053140096615</v>
      </c>
      <c r="I13" s="12">
        <f t="shared" si="2"/>
        <v>13.985825069921177</v>
      </c>
      <c r="J13" s="10">
        <f>SUM(J5:J12)</f>
        <v>137</v>
      </c>
    </row>
    <row r="14" spans="1:10" x14ac:dyDescent="0.35">
      <c r="A14" s="10" t="s">
        <v>51</v>
      </c>
      <c r="B14" s="10"/>
      <c r="C14" s="10"/>
      <c r="D14" s="10">
        <f>COUNTIF(Vendor_Master_Raw!$U$2:$U$229,0)</f>
        <v>27</v>
      </c>
      <c r="E14" s="11">
        <f>D14/C5</f>
        <v>0.11842105263157894</v>
      </c>
      <c r="F14" s="10"/>
      <c r="G14" s="10">
        <f>COUNTIF(Vendor_Master_Golden!$U$2:$U$208,0)</f>
        <v>122</v>
      </c>
      <c r="H14" s="11">
        <f>G14/F5</f>
        <v>0.58937198067632846</v>
      </c>
      <c r="I14" s="12">
        <f t="shared" si="2"/>
        <v>47.095092804474952</v>
      </c>
      <c r="J14" s="10"/>
    </row>
    <row r="16" spans="1:10" x14ac:dyDescent="0.35">
      <c r="A16" s="4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E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8" customWidth="1"/>
    <col min="3" max="3" width="80" customWidth="1"/>
    <col min="4" max="4" width="10" customWidth="1"/>
    <col min="5" max="5" width="55" customWidth="1"/>
  </cols>
  <sheetData>
    <row r="1" spans="1:5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5">
      <c r="A2" s="13" t="s">
        <v>58</v>
      </c>
      <c r="B2" s="13" t="s">
        <v>34</v>
      </c>
      <c r="C2" s="13" t="s">
        <v>59</v>
      </c>
      <c r="D2" s="13" t="s">
        <v>60</v>
      </c>
      <c r="E2" s="13" t="s">
        <v>61</v>
      </c>
    </row>
    <row r="3" spans="1:5" ht="25" x14ac:dyDescent="0.35">
      <c r="A3" s="13" t="s">
        <v>62</v>
      </c>
      <c r="B3" s="13" t="s">
        <v>36</v>
      </c>
      <c r="C3" s="13" t="s">
        <v>63</v>
      </c>
      <c r="D3" s="13" t="s">
        <v>60</v>
      </c>
      <c r="E3" s="13" t="s">
        <v>64</v>
      </c>
    </row>
    <row r="4" spans="1:5" x14ac:dyDescent="0.35">
      <c r="A4" s="13" t="s">
        <v>65</v>
      </c>
      <c r="B4" s="13" t="s">
        <v>38</v>
      </c>
      <c r="C4" s="13" t="s">
        <v>66</v>
      </c>
      <c r="D4" s="13" t="s">
        <v>67</v>
      </c>
      <c r="E4" s="13" t="s">
        <v>68</v>
      </c>
    </row>
    <row r="5" spans="1:5" x14ac:dyDescent="0.35">
      <c r="A5" s="13" t="s">
        <v>69</v>
      </c>
      <c r="B5" s="13" t="s">
        <v>40</v>
      </c>
      <c r="C5" s="13" t="s">
        <v>70</v>
      </c>
      <c r="D5" s="13" t="s">
        <v>67</v>
      </c>
      <c r="E5" s="13" t="s">
        <v>71</v>
      </c>
    </row>
    <row r="6" spans="1:5" x14ac:dyDescent="0.35">
      <c r="A6" s="13" t="s">
        <v>72</v>
      </c>
      <c r="B6" s="13" t="s">
        <v>73</v>
      </c>
      <c r="C6" s="13" t="s">
        <v>74</v>
      </c>
      <c r="D6" s="13" t="s">
        <v>60</v>
      </c>
      <c r="E6" s="13" t="s">
        <v>75</v>
      </c>
    </row>
    <row r="7" spans="1:5" x14ac:dyDescent="0.35">
      <c r="A7" s="13" t="s">
        <v>76</v>
      </c>
      <c r="B7" s="13" t="s">
        <v>44</v>
      </c>
      <c r="C7" s="13" t="s">
        <v>77</v>
      </c>
      <c r="D7" s="13" t="s">
        <v>60</v>
      </c>
      <c r="E7" s="13" t="s">
        <v>78</v>
      </c>
    </row>
    <row r="8" spans="1:5" x14ac:dyDescent="0.35">
      <c r="A8" s="13" t="s">
        <v>79</v>
      </c>
      <c r="B8" s="13" t="s">
        <v>46</v>
      </c>
      <c r="C8" s="13" t="s">
        <v>80</v>
      </c>
      <c r="D8" s="13" t="s">
        <v>81</v>
      </c>
      <c r="E8" s="13" t="s">
        <v>82</v>
      </c>
    </row>
    <row r="9" spans="1:5" x14ac:dyDescent="0.35">
      <c r="A9" s="13" t="s">
        <v>83</v>
      </c>
      <c r="B9" s="13" t="s">
        <v>84</v>
      </c>
      <c r="C9" s="13" t="s">
        <v>85</v>
      </c>
      <c r="D9" s="13" t="s">
        <v>81</v>
      </c>
      <c r="E9" s="13" t="s">
        <v>86</v>
      </c>
    </row>
    <row r="10" spans="1:5" ht="25" x14ac:dyDescent="0.35">
      <c r="A10" s="13" t="s">
        <v>87</v>
      </c>
      <c r="B10" s="13" t="s">
        <v>88</v>
      </c>
      <c r="C10" s="13" t="s">
        <v>89</v>
      </c>
      <c r="D10" s="13" t="s">
        <v>60</v>
      </c>
      <c r="E10" s="13" t="s">
        <v>90</v>
      </c>
    </row>
    <row r="11" spans="1:5" x14ac:dyDescent="0.35">
      <c r="A11" s="13" t="s">
        <v>91</v>
      </c>
      <c r="B11" s="13" t="s">
        <v>92</v>
      </c>
      <c r="C11" s="13" t="s">
        <v>93</v>
      </c>
      <c r="D11" s="13" t="s">
        <v>67</v>
      </c>
      <c r="E11" s="13" t="s">
        <v>94</v>
      </c>
    </row>
    <row r="12" spans="1:5" x14ac:dyDescent="0.35">
      <c r="A12" s="13" t="s">
        <v>95</v>
      </c>
      <c r="B12" s="13" t="s">
        <v>96</v>
      </c>
      <c r="C12" s="13" t="s">
        <v>97</v>
      </c>
      <c r="D12" s="13" t="s">
        <v>60</v>
      </c>
      <c r="E12" s="13" t="s">
        <v>98</v>
      </c>
    </row>
    <row r="13" spans="1:5" x14ac:dyDescent="0.35">
      <c r="A13" s="13" t="s">
        <v>99</v>
      </c>
      <c r="B13" s="13" t="s">
        <v>100</v>
      </c>
      <c r="C13" s="13" t="s">
        <v>101</v>
      </c>
      <c r="D13" s="13" t="s">
        <v>60</v>
      </c>
      <c r="E13" s="13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X229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10" customWidth="1"/>
    <col min="2" max="2" width="40" customWidth="1"/>
    <col min="3" max="3" width="13" customWidth="1"/>
    <col min="4" max="4" width="17" customWidth="1"/>
    <col min="5" max="5" width="34" customWidth="1"/>
    <col min="6" max="6" width="17" customWidth="1"/>
    <col min="7" max="7" width="18" customWidth="1"/>
    <col min="8" max="8" width="13" customWidth="1"/>
    <col min="9" max="9" width="9" customWidth="1"/>
    <col min="10" max="10" width="13" customWidth="1"/>
    <col min="11" max="11" width="10" customWidth="1"/>
    <col min="12" max="12" width="12" customWidth="1"/>
    <col min="13" max="13" width="11" customWidth="1"/>
    <col min="14" max="14" width="13" customWidth="1"/>
    <col min="15" max="18" width="10" customWidth="1"/>
    <col min="19" max="20" width="12" customWidth="1"/>
    <col min="21" max="21" width="10" customWidth="1"/>
    <col min="22" max="23" width="16" customWidth="1"/>
    <col min="24" max="24" width="12" customWidth="1"/>
  </cols>
  <sheetData>
    <row r="1" spans="1:24" ht="42" customHeight="1" x14ac:dyDescent="0.35">
      <c r="A1" s="1" t="s">
        <v>103</v>
      </c>
      <c r="B1" s="1" t="s">
        <v>104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73</v>
      </c>
      <c r="H1" s="1" t="s">
        <v>44</v>
      </c>
      <c r="I1" s="1" t="s">
        <v>46</v>
      </c>
      <c r="J1" s="1" t="s">
        <v>84</v>
      </c>
      <c r="K1" s="1" t="s">
        <v>105</v>
      </c>
      <c r="L1" s="1" t="s">
        <v>106</v>
      </c>
      <c r="M1" s="14" t="s">
        <v>35</v>
      </c>
      <c r="N1" s="14" t="s">
        <v>37</v>
      </c>
      <c r="O1" s="14" t="s">
        <v>39</v>
      </c>
      <c r="P1" s="14" t="s">
        <v>41</v>
      </c>
      <c r="Q1" s="14" t="s">
        <v>43</v>
      </c>
      <c r="R1" s="14" t="s">
        <v>45</v>
      </c>
      <c r="S1" s="14" t="s">
        <v>47</v>
      </c>
      <c r="T1" s="14" t="s">
        <v>49</v>
      </c>
      <c r="U1" s="14" t="s">
        <v>107</v>
      </c>
      <c r="V1" s="14" t="s">
        <v>108</v>
      </c>
      <c r="W1" s="14" t="s">
        <v>109</v>
      </c>
      <c r="X1" s="14" t="s">
        <v>110</v>
      </c>
    </row>
    <row r="2" spans="1:24" x14ac:dyDescent="0.35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15" t="s">
        <v>117</v>
      </c>
      <c r="H2" s="2" t="s">
        <v>118</v>
      </c>
      <c r="I2" s="2" t="s">
        <v>119</v>
      </c>
      <c r="J2" s="2" t="s">
        <v>120</v>
      </c>
      <c r="K2" s="2" t="s">
        <v>121</v>
      </c>
      <c r="L2" s="2" t="s">
        <v>122</v>
      </c>
      <c r="M2" s="2" t="str">
        <f>IF(TRIM(C2)="","Missing",IF(AND(LEN(TRIM(C2))=10,SUMPRODUCT(--(CODE(MID(TRIM(C2),{1,2,3,4,5,10},1))&gt;=65),--(CODE(MID(TRIM(C2),{1,2,3,4,5,10},1))&lt;=90))=6,ISNUMBER(--MID(TRIM(C2),6,4))),"Valid","Invalid"))</f>
        <v>Valid</v>
      </c>
      <c r="N2" s="2" t="str">
        <f t="shared" ref="N2:N65" si="0">IF(TRIM(D2)="","Missing",IF(AND(LEN(TRIM(D2))=15,MID(TRIM(D2),14,1)="Z"),IF(AND(TRIM(C2)&lt;&gt;"",MID(TRIM(D2),3,10)=TRIM(C2)),"Valid","PAN Mismatch"),"Invalid"))</f>
        <v>Valid</v>
      </c>
      <c r="O2" s="2" t="str">
        <f t="shared" ref="O2:O65" si="1">IF(TRIM(E2)="","Missing",IF(AND(ISNUMBER(FIND("@",E2)),ISERROR(FIND(" ",TRIM(E2))),IFERROR(FIND(".",E2,FIND("@",E2)),0)&gt;0),"Valid","Invalid"))</f>
        <v>Valid</v>
      </c>
      <c r="P2" s="2" t="str">
        <f t="shared" ref="P2:P65" si="2">IF(TRIM(F2)="","Missing",IFERROR(IF(AND(ISNUMBER(--V2),OR(LEN(V2)=10,AND(LEN(V2)=12,LEFT(V2,2)="91")),VALUE(LEFT(RIGHT(V2,10),1))&gt;=6),"Valid","Invalid"),"Invalid"))</f>
        <v>Valid</v>
      </c>
      <c r="Q2" s="2" t="str">
        <f t="shared" ref="Q2:Q65" si="3">IF(TRIM(G2)="","Missing",IFERROR(IF(AND(ISNUMBER(--TRIM(G2)),LEN(TRIM(G2))&gt;=9,LEN(TRIM(G2))&lt;=18,ISERROR(FIND(".",G2))),"Valid","Invalid"),"Invalid"))</f>
        <v>Valid</v>
      </c>
      <c r="R2" s="2" t="str">
        <f>IF(TRIM(H2)="","Missing",IF(AND(LEN(TRIM(H2))=11,SUMPRODUCT(--(CODE(MID(TRIM(H2),{1,2,3,4},1))&gt;=65),--(CODE(MID(TRIM(H2),{1,2,3,4},1))&lt;=90))=4,MID(TRIM(H2),5,1)="0"),"Valid","Invalid"))</f>
        <v>Valid</v>
      </c>
      <c r="S2" s="2" t="str">
        <f t="shared" ref="S2:S65" si="4">IF(TRIM(I2)="","Missing",IF(EXACT(TRIM(I2),"India"),"Valid","Invalid"))</f>
        <v>Invalid</v>
      </c>
      <c r="T2" s="2" t="str">
        <f t="shared" ref="T2:T65" si="5">IF(TRIM(J2)="","Missing",IF(OR(EXACT(TRIM(J2),"Net 15"),EXACT(TRIM(J2),"Net 30"),EXACT(TRIM(J2),"Net 45"),EXACT(TRIM(J2),"Net 60")),"Valid","Invalid"))</f>
        <v>Invalid</v>
      </c>
      <c r="U2" s="2">
        <f t="shared" ref="U2:U65" si="6">COUNTIF(M2:T2,"&lt;&gt;Valid")</f>
        <v>2</v>
      </c>
      <c r="V2" s="2" t="str">
        <f t="shared" ref="V2:V65" si="7">SUBSTITUTE(SUBSTITUTE(SUBSTITUTE(F2," ",""),"-",""),"+","")</f>
        <v>919104054115</v>
      </c>
      <c r="W2" s="2" t="s">
        <v>111</v>
      </c>
      <c r="X2" s="2" t="str">
        <f t="shared" ref="X2:X65" si="8">IF(COUNTIF($W$2:$W$229,W2)&gt;1,"Duplicate","Unique")</f>
        <v>Duplicate</v>
      </c>
    </row>
    <row r="3" spans="1:24" x14ac:dyDescent="0.35">
      <c r="A3" s="2" t="s">
        <v>123</v>
      </c>
      <c r="B3" s="2" t="s">
        <v>124</v>
      </c>
      <c r="C3" s="2" t="s">
        <v>125</v>
      </c>
      <c r="D3" s="2" t="s">
        <v>126</v>
      </c>
      <c r="E3" s="2" t="s">
        <v>127</v>
      </c>
      <c r="F3" s="2" t="s">
        <v>128</v>
      </c>
      <c r="G3" s="15"/>
      <c r="H3" s="2" t="s">
        <v>129</v>
      </c>
      <c r="I3" s="2" t="s">
        <v>130</v>
      </c>
      <c r="J3" s="2" t="s">
        <v>131</v>
      </c>
      <c r="K3" s="2" t="s">
        <v>121</v>
      </c>
      <c r="L3" s="2" t="s">
        <v>132</v>
      </c>
      <c r="M3" s="2" t="str">
        <f>IF(TRIM(C3)="","Missing",IF(AND(LEN(TRIM(C3))=10,SUMPRODUCT(--(CODE(MID(TRIM(C3),{1,2,3,4,5,10},1))&gt;=65),--(CODE(MID(TRIM(C3),{1,2,3,4,5,10},1))&lt;=90))=6,ISNUMBER(--MID(TRIM(C3),6,4))),"Valid","Invalid"))</f>
        <v>Valid</v>
      </c>
      <c r="N3" s="2" t="str">
        <f t="shared" si="0"/>
        <v>Valid</v>
      </c>
      <c r="O3" s="2" t="str">
        <f t="shared" si="1"/>
        <v>Valid</v>
      </c>
      <c r="P3" s="2" t="str">
        <f t="shared" si="2"/>
        <v>Valid</v>
      </c>
      <c r="Q3" s="2" t="str">
        <f t="shared" si="3"/>
        <v>Missing</v>
      </c>
      <c r="R3" s="2" t="str">
        <f>IF(TRIM(H3)="","Missing",IF(AND(LEN(TRIM(H3))=11,SUMPRODUCT(--(CODE(MID(TRIM(H3),{1,2,3,4},1))&gt;=65),--(CODE(MID(TRIM(H3),{1,2,3,4},1))&lt;=90))=4,MID(TRIM(H3),5,1)="0"),"Valid","Invalid"))</f>
        <v>Valid</v>
      </c>
      <c r="S3" s="2" t="str">
        <f t="shared" si="4"/>
        <v>Valid</v>
      </c>
      <c r="T3" s="2" t="str">
        <f t="shared" si="5"/>
        <v>Invalid</v>
      </c>
      <c r="U3" s="2">
        <f t="shared" si="6"/>
        <v>2</v>
      </c>
      <c r="V3" s="2" t="str">
        <f t="shared" si="7"/>
        <v>918439376904</v>
      </c>
      <c r="W3" s="2" t="s">
        <v>123</v>
      </c>
      <c r="X3" s="2" t="str">
        <f t="shared" si="8"/>
        <v>Unique</v>
      </c>
    </row>
    <row r="4" spans="1:24" x14ac:dyDescent="0.35">
      <c r="A4" s="2" t="s">
        <v>133</v>
      </c>
      <c r="B4" s="2" t="s">
        <v>134</v>
      </c>
      <c r="C4" s="2" t="s">
        <v>135</v>
      </c>
      <c r="D4" s="2" t="s">
        <v>136</v>
      </c>
      <c r="E4" s="2" t="s">
        <v>137</v>
      </c>
      <c r="F4" s="2" t="s">
        <v>138</v>
      </c>
      <c r="G4" s="15" t="s">
        <v>139</v>
      </c>
      <c r="H4" s="2" t="s">
        <v>140</v>
      </c>
      <c r="I4" s="2" t="s">
        <v>119</v>
      </c>
      <c r="J4" s="2" t="s">
        <v>141</v>
      </c>
      <c r="K4" s="2" t="s">
        <v>142</v>
      </c>
      <c r="L4" s="2" t="s">
        <v>143</v>
      </c>
      <c r="M4" s="2" t="str">
        <f>IF(TRIM(C4)="","Missing",IF(AND(LEN(TRIM(C4))=10,SUMPRODUCT(--(CODE(MID(TRIM(C4),{1,2,3,4,5,10},1))&gt;=65),--(CODE(MID(TRIM(C4),{1,2,3,4,5,10},1))&lt;=90))=6,ISNUMBER(--MID(TRIM(C4),6,4))),"Valid","Invalid"))</f>
        <v>Valid</v>
      </c>
      <c r="N4" s="2" t="str">
        <f t="shared" si="0"/>
        <v>Valid</v>
      </c>
      <c r="O4" s="2" t="str">
        <f t="shared" si="1"/>
        <v>Valid</v>
      </c>
      <c r="P4" s="2" t="str">
        <f t="shared" si="2"/>
        <v>Valid</v>
      </c>
      <c r="Q4" s="2" t="str">
        <f t="shared" si="3"/>
        <v>Valid</v>
      </c>
      <c r="R4" s="2" t="str">
        <f>IF(TRIM(H4)="","Missing",IF(AND(LEN(TRIM(H4))=11,SUMPRODUCT(--(CODE(MID(TRIM(H4),{1,2,3,4},1))&gt;=65),--(CODE(MID(TRIM(H4),{1,2,3,4},1))&lt;=90))=4,MID(TRIM(H4),5,1)="0"),"Valid","Invalid"))</f>
        <v>Valid</v>
      </c>
      <c r="S4" s="2" t="str">
        <f t="shared" si="4"/>
        <v>Invalid</v>
      </c>
      <c r="T4" s="2" t="str">
        <f t="shared" si="5"/>
        <v>Valid</v>
      </c>
      <c r="U4" s="2">
        <f t="shared" si="6"/>
        <v>1</v>
      </c>
      <c r="V4" s="2" t="str">
        <f t="shared" si="7"/>
        <v>9854777252</v>
      </c>
      <c r="W4" s="2" t="s">
        <v>133</v>
      </c>
      <c r="X4" s="2" t="str">
        <f t="shared" si="8"/>
        <v>Duplicate</v>
      </c>
    </row>
    <row r="5" spans="1:24" x14ac:dyDescent="0.35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 t="s">
        <v>149</v>
      </c>
      <c r="G5" s="15" t="s">
        <v>150</v>
      </c>
      <c r="H5" s="2" t="s">
        <v>151</v>
      </c>
      <c r="I5" s="2" t="s">
        <v>152</v>
      </c>
      <c r="J5" s="2" t="s">
        <v>153</v>
      </c>
      <c r="K5" s="2" t="s">
        <v>121</v>
      </c>
      <c r="L5" s="2" t="s">
        <v>154</v>
      </c>
      <c r="M5" s="2" t="str">
        <f>IF(TRIM(C5)="","Missing",IF(AND(LEN(TRIM(C5))=10,SUMPRODUCT(--(CODE(MID(TRIM(C5),{1,2,3,4,5,10},1))&gt;=65),--(CODE(MID(TRIM(C5),{1,2,3,4,5,10},1))&lt;=90))=6,ISNUMBER(--MID(TRIM(C5),6,4))),"Valid","Invalid"))</f>
        <v>Valid</v>
      </c>
      <c r="N5" s="2" t="str">
        <f t="shared" si="0"/>
        <v>Valid</v>
      </c>
      <c r="O5" s="2" t="str">
        <f t="shared" si="1"/>
        <v>Valid</v>
      </c>
      <c r="P5" s="2" t="str">
        <f t="shared" si="2"/>
        <v>Valid</v>
      </c>
      <c r="Q5" s="2" t="str">
        <f t="shared" si="3"/>
        <v>Valid</v>
      </c>
      <c r="R5" s="2" t="str">
        <f>IF(TRIM(H5)="","Missing",IF(AND(LEN(TRIM(H5))=11,SUMPRODUCT(--(CODE(MID(TRIM(H5),{1,2,3,4},1))&gt;=65),--(CODE(MID(TRIM(H5),{1,2,3,4},1))&lt;=90))=4,MID(TRIM(H5),5,1)="0"),"Valid","Invalid"))</f>
        <v>Valid</v>
      </c>
      <c r="S5" s="2" t="str">
        <f t="shared" si="4"/>
        <v>Invalid</v>
      </c>
      <c r="T5" s="2" t="str">
        <f t="shared" si="5"/>
        <v>Invalid</v>
      </c>
      <c r="U5" s="2">
        <f t="shared" si="6"/>
        <v>2</v>
      </c>
      <c r="V5" s="2" t="str">
        <f t="shared" si="7"/>
        <v>7954316526</v>
      </c>
      <c r="W5" s="2" t="s">
        <v>155</v>
      </c>
      <c r="X5" s="2" t="str">
        <f t="shared" si="8"/>
        <v>Duplicate</v>
      </c>
    </row>
    <row r="6" spans="1:24" x14ac:dyDescent="0.35">
      <c r="A6" s="2" t="s">
        <v>156</v>
      </c>
      <c r="B6" s="2" t="s">
        <v>157</v>
      </c>
      <c r="C6" s="2" t="s">
        <v>158</v>
      </c>
      <c r="D6" s="2" t="s">
        <v>159</v>
      </c>
      <c r="E6" s="2" t="s">
        <v>160</v>
      </c>
      <c r="F6" s="2" t="s">
        <v>161</v>
      </c>
      <c r="G6" s="15" t="s">
        <v>162</v>
      </c>
      <c r="H6" s="2" t="s">
        <v>163</v>
      </c>
      <c r="I6" s="2" t="s">
        <v>119</v>
      </c>
      <c r="J6" s="2" t="s">
        <v>164</v>
      </c>
      <c r="K6" s="2" t="s">
        <v>121</v>
      </c>
      <c r="L6" s="2" t="s">
        <v>165</v>
      </c>
      <c r="M6" s="2" t="str">
        <f>IF(TRIM(C6)="","Missing",IF(AND(LEN(TRIM(C6))=10,SUMPRODUCT(--(CODE(MID(TRIM(C6),{1,2,3,4,5,10},1))&gt;=65),--(CODE(MID(TRIM(C6),{1,2,3,4,5,10},1))&lt;=90))=6,ISNUMBER(--MID(TRIM(C6),6,4))),"Valid","Invalid"))</f>
        <v>Valid</v>
      </c>
      <c r="N6" s="2" t="str">
        <f t="shared" si="0"/>
        <v>Invalid</v>
      </c>
      <c r="O6" s="2" t="str">
        <f t="shared" si="1"/>
        <v>Valid</v>
      </c>
      <c r="P6" s="2" t="str">
        <f t="shared" si="2"/>
        <v>Valid</v>
      </c>
      <c r="Q6" s="2" t="str">
        <f t="shared" si="3"/>
        <v>Valid</v>
      </c>
      <c r="R6" s="2" t="str">
        <f>IF(TRIM(H6)="","Missing",IF(AND(LEN(TRIM(H6))=11,SUMPRODUCT(--(CODE(MID(TRIM(H6),{1,2,3,4},1))&gt;=65),--(CODE(MID(TRIM(H6),{1,2,3,4},1))&lt;=90))=4,MID(TRIM(H6),5,1)="0"),"Valid","Invalid"))</f>
        <v>Valid</v>
      </c>
      <c r="S6" s="2" t="str">
        <f t="shared" si="4"/>
        <v>Invalid</v>
      </c>
      <c r="T6" s="2" t="str">
        <f t="shared" si="5"/>
        <v>Valid</v>
      </c>
      <c r="U6" s="2">
        <f t="shared" si="6"/>
        <v>2</v>
      </c>
      <c r="V6" s="2" t="str">
        <f t="shared" si="7"/>
        <v>918224109881</v>
      </c>
      <c r="W6" s="2" t="s">
        <v>156</v>
      </c>
      <c r="X6" s="2" t="str">
        <f t="shared" si="8"/>
        <v>Unique</v>
      </c>
    </row>
    <row r="7" spans="1:24" x14ac:dyDescent="0.35">
      <c r="A7" s="2" t="s">
        <v>166</v>
      </c>
      <c r="B7" s="2" t="s">
        <v>167</v>
      </c>
      <c r="C7" s="2" t="s">
        <v>168</v>
      </c>
      <c r="D7" s="2" t="s">
        <v>169</v>
      </c>
      <c r="E7" s="2" t="s">
        <v>170</v>
      </c>
      <c r="F7" s="2" t="s">
        <v>171</v>
      </c>
      <c r="G7" s="15" t="s">
        <v>172</v>
      </c>
      <c r="H7" s="2" t="s">
        <v>173</v>
      </c>
      <c r="I7" s="2" t="s">
        <v>152</v>
      </c>
      <c r="J7" s="2" t="s">
        <v>174</v>
      </c>
      <c r="K7" s="2" t="s">
        <v>121</v>
      </c>
      <c r="L7" s="2" t="s">
        <v>175</v>
      </c>
      <c r="M7" s="2" t="str">
        <f>IF(TRIM(C7)="","Missing",IF(AND(LEN(TRIM(C7))=10,SUMPRODUCT(--(CODE(MID(TRIM(C7),{1,2,3,4,5,10},1))&gt;=65),--(CODE(MID(TRIM(C7),{1,2,3,4,5,10},1))&lt;=90))=6,ISNUMBER(--MID(TRIM(C7),6,4))),"Valid","Invalid"))</f>
        <v>Valid</v>
      </c>
      <c r="N7" s="2" t="str">
        <f t="shared" si="0"/>
        <v>Valid</v>
      </c>
      <c r="O7" s="2" t="str">
        <f t="shared" si="1"/>
        <v>Valid</v>
      </c>
      <c r="P7" s="2" t="str">
        <f t="shared" si="2"/>
        <v>Valid</v>
      </c>
      <c r="Q7" s="2" t="str">
        <f t="shared" si="3"/>
        <v>Valid</v>
      </c>
      <c r="R7" s="2" t="str">
        <f>IF(TRIM(H7)="","Missing",IF(AND(LEN(TRIM(H7))=11,SUMPRODUCT(--(CODE(MID(TRIM(H7),{1,2,3,4},1))&gt;=65),--(CODE(MID(TRIM(H7),{1,2,3,4},1))&lt;=90))=4,MID(TRIM(H7),5,1)="0"),"Valid","Invalid"))</f>
        <v>Valid</v>
      </c>
      <c r="S7" s="2" t="str">
        <f t="shared" si="4"/>
        <v>Invalid</v>
      </c>
      <c r="T7" s="2" t="str">
        <f t="shared" si="5"/>
        <v>Valid</v>
      </c>
      <c r="U7" s="2">
        <f t="shared" si="6"/>
        <v>1</v>
      </c>
      <c r="V7" s="2" t="str">
        <f t="shared" si="7"/>
        <v>919724004991</v>
      </c>
      <c r="W7" s="2" t="s">
        <v>166</v>
      </c>
      <c r="X7" s="2" t="str">
        <f t="shared" si="8"/>
        <v>Unique</v>
      </c>
    </row>
    <row r="8" spans="1:24" x14ac:dyDescent="0.35">
      <c r="A8" s="2" t="s">
        <v>176</v>
      </c>
      <c r="B8" s="2" t="s">
        <v>177</v>
      </c>
      <c r="C8" s="2" t="s">
        <v>178</v>
      </c>
      <c r="D8" s="2" t="s">
        <v>179</v>
      </c>
      <c r="E8" s="2" t="s">
        <v>180</v>
      </c>
      <c r="F8" s="2" t="s">
        <v>181</v>
      </c>
      <c r="G8" s="15" t="s">
        <v>182</v>
      </c>
      <c r="H8" s="2" t="s">
        <v>183</v>
      </c>
      <c r="I8" s="2" t="s">
        <v>130</v>
      </c>
      <c r="J8" s="2" t="s">
        <v>184</v>
      </c>
      <c r="K8" s="2" t="s">
        <v>121</v>
      </c>
      <c r="L8" s="2" t="s">
        <v>185</v>
      </c>
      <c r="M8" s="2" t="str">
        <f>IF(TRIM(C8)="","Missing",IF(AND(LEN(TRIM(C8))=10,SUMPRODUCT(--(CODE(MID(TRIM(C8),{1,2,3,4,5,10},1))&gt;=65),--(CODE(MID(TRIM(C8),{1,2,3,4,5,10},1))&lt;=90))=6,ISNUMBER(--MID(TRIM(C8),6,4))),"Valid","Invalid"))</f>
        <v>Valid</v>
      </c>
      <c r="N8" s="2" t="str">
        <f t="shared" si="0"/>
        <v>Valid</v>
      </c>
      <c r="O8" s="2" t="str">
        <f t="shared" si="1"/>
        <v>Valid</v>
      </c>
      <c r="P8" s="2" t="str">
        <f t="shared" si="2"/>
        <v>Valid</v>
      </c>
      <c r="Q8" s="2" t="str">
        <f t="shared" si="3"/>
        <v>Valid</v>
      </c>
      <c r="R8" s="2" t="str">
        <f>IF(TRIM(H8)="","Missing",IF(AND(LEN(TRIM(H8))=11,SUMPRODUCT(--(CODE(MID(TRIM(H8),{1,2,3,4},1))&gt;=65),--(CODE(MID(TRIM(H8),{1,2,3,4},1))&lt;=90))=4,MID(TRIM(H8),5,1)="0"),"Valid","Invalid"))</f>
        <v>Valid</v>
      </c>
      <c r="S8" s="2" t="str">
        <f t="shared" si="4"/>
        <v>Valid</v>
      </c>
      <c r="T8" s="2" t="str">
        <f t="shared" si="5"/>
        <v>Invalid</v>
      </c>
      <c r="U8" s="2">
        <f t="shared" si="6"/>
        <v>1</v>
      </c>
      <c r="V8" s="2" t="str">
        <f t="shared" si="7"/>
        <v>916742243864</v>
      </c>
      <c r="W8" s="2" t="s">
        <v>176</v>
      </c>
      <c r="X8" s="2" t="str">
        <f t="shared" si="8"/>
        <v>Unique</v>
      </c>
    </row>
    <row r="9" spans="1:24" x14ac:dyDescent="0.35">
      <c r="A9" s="2" t="s">
        <v>186</v>
      </c>
      <c r="B9" s="2" t="s">
        <v>187</v>
      </c>
      <c r="C9" s="2" t="s">
        <v>188</v>
      </c>
      <c r="D9" s="2" t="s">
        <v>189</v>
      </c>
      <c r="E9" s="2" t="s">
        <v>190</v>
      </c>
      <c r="F9" s="2" t="s">
        <v>191</v>
      </c>
      <c r="G9" s="15" t="s">
        <v>192</v>
      </c>
      <c r="H9" s="2" t="s">
        <v>193</v>
      </c>
      <c r="I9" s="2" t="s">
        <v>152</v>
      </c>
      <c r="J9" s="2" t="s">
        <v>194</v>
      </c>
      <c r="K9" s="2" t="s">
        <v>121</v>
      </c>
      <c r="L9" s="2" t="s">
        <v>195</v>
      </c>
      <c r="M9" s="2" t="str">
        <f>IF(TRIM(C9)="","Missing",IF(AND(LEN(TRIM(C9))=10,SUMPRODUCT(--(CODE(MID(TRIM(C9),{1,2,3,4,5,10},1))&gt;=65),--(CODE(MID(TRIM(C9),{1,2,3,4,5,10},1))&lt;=90))=6,ISNUMBER(--MID(TRIM(C9),6,4))),"Valid","Invalid"))</f>
        <v>Valid</v>
      </c>
      <c r="N9" s="2" t="str">
        <f t="shared" si="0"/>
        <v>Valid</v>
      </c>
      <c r="O9" s="2" t="str">
        <f t="shared" si="1"/>
        <v>Valid</v>
      </c>
      <c r="P9" s="2" t="str">
        <f t="shared" si="2"/>
        <v>Valid</v>
      </c>
      <c r="Q9" s="2" t="str">
        <f t="shared" si="3"/>
        <v>Valid</v>
      </c>
      <c r="R9" s="2" t="str">
        <f>IF(TRIM(H9)="","Missing",IF(AND(LEN(TRIM(H9))=11,SUMPRODUCT(--(CODE(MID(TRIM(H9),{1,2,3,4},1))&gt;=65),--(CODE(MID(TRIM(H9),{1,2,3,4},1))&lt;=90))=4,MID(TRIM(H9),5,1)="0"),"Valid","Invalid"))</f>
        <v>Valid</v>
      </c>
      <c r="S9" s="2" t="str">
        <f t="shared" si="4"/>
        <v>Invalid</v>
      </c>
      <c r="T9" s="2" t="str">
        <f t="shared" si="5"/>
        <v>Invalid</v>
      </c>
      <c r="U9" s="2">
        <f t="shared" si="6"/>
        <v>2</v>
      </c>
      <c r="V9" s="2" t="str">
        <f t="shared" si="7"/>
        <v>919208115562</v>
      </c>
      <c r="W9" s="2" t="s">
        <v>186</v>
      </c>
      <c r="X9" s="2" t="str">
        <f t="shared" si="8"/>
        <v>Unique</v>
      </c>
    </row>
    <row r="10" spans="1:24" x14ac:dyDescent="0.35">
      <c r="A10" s="2" t="s">
        <v>196</v>
      </c>
      <c r="B10" s="2" t="s">
        <v>197</v>
      </c>
      <c r="C10" s="2" t="s">
        <v>198</v>
      </c>
      <c r="D10" s="2" t="s">
        <v>199</v>
      </c>
      <c r="E10" s="2" t="s">
        <v>200</v>
      </c>
      <c r="F10" s="2" t="s">
        <v>201</v>
      </c>
      <c r="G10" s="15" t="s">
        <v>202</v>
      </c>
      <c r="H10" s="2" t="s">
        <v>203</v>
      </c>
      <c r="I10" s="2" t="s">
        <v>152</v>
      </c>
      <c r="J10" s="2" t="s">
        <v>204</v>
      </c>
      <c r="K10" s="2" t="s">
        <v>121</v>
      </c>
      <c r="L10" s="2" t="s">
        <v>205</v>
      </c>
      <c r="M10" s="2" t="str">
        <f>IF(TRIM(C10)="","Missing",IF(AND(LEN(TRIM(C10))=10,SUMPRODUCT(--(CODE(MID(TRIM(C10),{1,2,3,4,5,10},1))&gt;=65),--(CODE(MID(TRIM(C10),{1,2,3,4,5,10},1))&lt;=90))=6,ISNUMBER(--MID(TRIM(C10),6,4))),"Valid","Invalid"))</f>
        <v>Valid</v>
      </c>
      <c r="N10" s="2" t="str">
        <f t="shared" si="0"/>
        <v>Valid</v>
      </c>
      <c r="O10" s="2" t="str">
        <f t="shared" si="1"/>
        <v>Valid</v>
      </c>
      <c r="P10" s="2" t="str">
        <f t="shared" si="2"/>
        <v>Valid</v>
      </c>
      <c r="Q10" s="2" t="str">
        <f t="shared" si="3"/>
        <v>Valid</v>
      </c>
      <c r="R10" s="2" t="str">
        <f>IF(TRIM(H10)="","Missing",IF(AND(LEN(TRIM(H10))=11,SUMPRODUCT(--(CODE(MID(TRIM(H10),{1,2,3,4},1))&gt;=65),--(CODE(MID(TRIM(H10),{1,2,3,4},1))&lt;=90))=4,MID(TRIM(H10),5,1)="0"),"Valid","Invalid"))</f>
        <v>Valid</v>
      </c>
      <c r="S10" s="2" t="str">
        <f t="shared" si="4"/>
        <v>Invalid</v>
      </c>
      <c r="T10" s="2" t="str">
        <f t="shared" si="5"/>
        <v>Invalid</v>
      </c>
      <c r="U10" s="2">
        <f t="shared" si="6"/>
        <v>2</v>
      </c>
      <c r="V10" s="2" t="str">
        <f t="shared" si="7"/>
        <v>6669849027</v>
      </c>
      <c r="W10" s="2" t="s">
        <v>196</v>
      </c>
      <c r="X10" s="2" t="str">
        <f t="shared" si="8"/>
        <v>Unique</v>
      </c>
    </row>
    <row r="11" spans="1:24" x14ac:dyDescent="0.35">
      <c r="A11" s="2" t="s">
        <v>206</v>
      </c>
      <c r="B11" s="2" t="s">
        <v>207</v>
      </c>
      <c r="C11" s="2" t="s">
        <v>208</v>
      </c>
      <c r="D11" s="2" t="s">
        <v>209</v>
      </c>
      <c r="E11" s="2" t="s">
        <v>210</v>
      </c>
      <c r="F11" s="2" t="s">
        <v>211</v>
      </c>
      <c r="G11" s="15" t="s">
        <v>212</v>
      </c>
      <c r="H11" s="2" t="s">
        <v>213</v>
      </c>
      <c r="I11" s="2" t="s">
        <v>130</v>
      </c>
      <c r="J11" s="2" t="s">
        <v>131</v>
      </c>
      <c r="K11" s="2" t="s">
        <v>121</v>
      </c>
      <c r="L11" s="2" t="s">
        <v>214</v>
      </c>
      <c r="M11" s="2" t="str">
        <f>IF(TRIM(C11)="","Missing",IF(AND(LEN(TRIM(C11))=10,SUMPRODUCT(--(CODE(MID(TRIM(C11),{1,2,3,4,5,10},1))&gt;=65),--(CODE(MID(TRIM(C11),{1,2,3,4,5,10},1))&lt;=90))=6,ISNUMBER(--MID(TRIM(C11),6,4))),"Valid","Invalid"))</f>
        <v>Valid</v>
      </c>
      <c r="N11" s="2" t="str">
        <f t="shared" si="0"/>
        <v>Valid</v>
      </c>
      <c r="O11" s="2" t="str">
        <f t="shared" si="1"/>
        <v>Invalid</v>
      </c>
      <c r="P11" s="2" t="str">
        <f t="shared" si="2"/>
        <v>Valid</v>
      </c>
      <c r="Q11" s="2" t="str">
        <f t="shared" si="3"/>
        <v>Valid</v>
      </c>
      <c r="R11" s="2" t="str">
        <f>IF(TRIM(H11)="","Missing",IF(AND(LEN(TRIM(H11))=11,SUMPRODUCT(--(CODE(MID(TRIM(H11),{1,2,3,4},1))&gt;=65),--(CODE(MID(TRIM(H11),{1,2,3,4},1))&lt;=90))=4,MID(TRIM(H11),5,1)="0"),"Valid","Invalid"))</f>
        <v>Invalid</v>
      </c>
      <c r="S11" s="2" t="str">
        <f t="shared" si="4"/>
        <v>Valid</v>
      </c>
      <c r="T11" s="2" t="str">
        <f t="shared" si="5"/>
        <v>Invalid</v>
      </c>
      <c r="U11" s="2">
        <f t="shared" si="6"/>
        <v>3</v>
      </c>
      <c r="V11" s="2" t="str">
        <f t="shared" si="7"/>
        <v>8339421047</v>
      </c>
      <c r="W11" s="2" t="s">
        <v>206</v>
      </c>
      <c r="X11" s="2" t="str">
        <f t="shared" si="8"/>
        <v>Unique</v>
      </c>
    </row>
    <row r="12" spans="1:24" x14ac:dyDescent="0.35">
      <c r="A12" s="2" t="s">
        <v>215</v>
      </c>
      <c r="B12" s="2" t="s">
        <v>216</v>
      </c>
      <c r="C12" s="2" t="s">
        <v>217</v>
      </c>
      <c r="D12" s="2" t="s">
        <v>218</v>
      </c>
      <c r="E12" s="2" t="s">
        <v>219</v>
      </c>
      <c r="F12" s="2" t="s">
        <v>220</v>
      </c>
      <c r="G12" s="15" t="s">
        <v>221</v>
      </c>
      <c r="H12" s="2" t="s">
        <v>222</v>
      </c>
      <c r="I12" s="2" t="s">
        <v>130</v>
      </c>
      <c r="J12" s="2" t="s">
        <v>164</v>
      </c>
      <c r="K12" s="2" t="s">
        <v>121</v>
      </c>
      <c r="L12" s="2" t="s">
        <v>223</v>
      </c>
      <c r="M12" s="2" t="str">
        <f>IF(TRIM(C12)="","Missing",IF(AND(LEN(TRIM(C12))=10,SUMPRODUCT(--(CODE(MID(TRIM(C12),{1,2,3,4,5,10},1))&gt;=65),--(CODE(MID(TRIM(C12),{1,2,3,4,5,10},1))&lt;=90))=6,ISNUMBER(--MID(TRIM(C12),6,4))),"Valid","Invalid"))</f>
        <v>Valid</v>
      </c>
      <c r="N12" s="2" t="str">
        <f t="shared" si="0"/>
        <v>Valid</v>
      </c>
      <c r="O12" s="2" t="str">
        <f t="shared" si="1"/>
        <v>Valid</v>
      </c>
      <c r="P12" s="2" t="str">
        <f t="shared" si="2"/>
        <v>Valid</v>
      </c>
      <c r="Q12" s="2" t="str">
        <f t="shared" si="3"/>
        <v>Valid</v>
      </c>
      <c r="R12" s="2" t="str">
        <f>IF(TRIM(H12)="","Missing",IF(AND(LEN(TRIM(H12))=11,SUMPRODUCT(--(CODE(MID(TRIM(H12),{1,2,3,4},1))&gt;=65),--(CODE(MID(TRIM(H12),{1,2,3,4},1))&lt;=90))=4,MID(TRIM(H12),5,1)="0"),"Valid","Invalid"))</f>
        <v>Valid</v>
      </c>
      <c r="S12" s="2" t="str">
        <f t="shared" si="4"/>
        <v>Valid</v>
      </c>
      <c r="T12" s="2" t="str">
        <f t="shared" si="5"/>
        <v>Valid</v>
      </c>
      <c r="U12" s="2">
        <f t="shared" si="6"/>
        <v>0</v>
      </c>
      <c r="V12" s="2" t="str">
        <f t="shared" si="7"/>
        <v>8505444713</v>
      </c>
      <c r="W12" s="2" t="s">
        <v>215</v>
      </c>
      <c r="X12" s="2" t="str">
        <f t="shared" si="8"/>
        <v>Unique</v>
      </c>
    </row>
    <row r="13" spans="1:24" x14ac:dyDescent="0.35">
      <c r="A13" s="2" t="s">
        <v>224</v>
      </c>
      <c r="B13" s="2" t="s">
        <v>225</v>
      </c>
      <c r="C13" s="2" t="s">
        <v>226</v>
      </c>
      <c r="D13" s="2"/>
      <c r="E13" s="2" t="s">
        <v>227</v>
      </c>
      <c r="F13" s="2" t="s">
        <v>228</v>
      </c>
      <c r="G13" s="15" t="s">
        <v>229</v>
      </c>
      <c r="H13" s="2" t="s">
        <v>230</v>
      </c>
      <c r="I13" s="2" t="s">
        <v>130</v>
      </c>
      <c r="J13" s="2" t="s">
        <v>231</v>
      </c>
      <c r="K13" s="2" t="s">
        <v>142</v>
      </c>
      <c r="L13" s="2" t="s">
        <v>232</v>
      </c>
      <c r="M13" s="2" t="str">
        <f>IF(TRIM(C13)="","Missing",IF(AND(LEN(TRIM(C13))=10,SUMPRODUCT(--(CODE(MID(TRIM(C13),{1,2,3,4,5,10},1))&gt;=65),--(CODE(MID(TRIM(C13),{1,2,3,4,5,10},1))&lt;=90))=6,ISNUMBER(--MID(TRIM(C13),6,4))),"Valid","Invalid"))</f>
        <v>Valid</v>
      </c>
      <c r="N13" s="2" t="str">
        <f t="shared" si="0"/>
        <v>Missing</v>
      </c>
      <c r="O13" s="2" t="str">
        <f t="shared" si="1"/>
        <v>Valid</v>
      </c>
      <c r="P13" s="2" t="str">
        <f t="shared" si="2"/>
        <v>Valid</v>
      </c>
      <c r="Q13" s="2" t="str">
        <f t="shared" si="3"/>
        <v>Valid</v>
      </c>
      <c r="R13" s="2" t="str">
        <f>IF(TRIM(H13)="","Missing",IF(AND(LEN(TRIM(H13))=11,SUMPRODUCT(--(CODE(MID(TRIM(H13),{1,2,3,4},1))&gt;=65),--(CODE(MID(TRIM(H13),{1,2,3,4},1))&lt;=90))=4,MID(TRIM(H13),5,1)="0"),"Valid","Invalid"))</f>
        <v>Valid</v>
      </c>
      <c r="S13" s="2" t="str">
        <f t="shared" si="4"/>
        <v>Valid</v>
      </c>
      <c r="T13" s="2" t="str">
        <f t="shared" si="5"/>
        <v>Invalid</v>
      </c>
      <c r="U13" s="2">
        <f t="shared" si="6"/>
        <v>2</v>
      </c>
      <c r="V13" s="2" t="str">
        <f t="shared" si="7"/>
        <v>917119079030</v>
      </c>
      <c r="W13" s="2" t="s">
        <v>233</v>
      </c>
      <c r="X13" s="2" t="str">
        <f t="shared" si="8"/>
        <v>Duplicate</v>
      </c>
    </row>
    <row r="14" spans="1:24" x14ac:dyDescent="0.35">
      <c r="A14" s="2" t="s">
        <v>234</v>
      </c>
      <c r="B14" s="2" t="s">
        <v>235</v>
      </c>
      <c r="C14" s="2" t="s">
        <v>236</v>
      </c>
      <c r="D14" s="2" t="s">
        <v>237</v>
      </c>
      <c r="E14" s="2" t="s">
        <v>238</v>
      </c>
      <c r="F14" s="2" t="s">
        <v>239</v>
      </c>
      <c r="G14" s="15" t="s">
        <v>240</v>
      </c>
      <c r="H14" s="2" t="s">
        <v>241</v>
      </c>
      <c r="I14" s="2" t="s">
        <v>242</v>
      </c>
      <c r="J14" s="2" t="s">
        <v>243</v>
      </c>
      <c r="K14" s="2" t="s">
        <v>142</v>
      </c>
      <c r="L14" s="2" t="s">
        <v>244</v>
      </c>
      <c r="M14" s="2" t="str">
        <f>IF(TRIM(C14)="","Missing",IF(AND(LEN(TRIM(C14))=10,SUMPRODUCT(--(CODE(MID(TRIM(C14),{1,2,3,4,5,10},1))&gt;=65),--(CODE(MID(TRIM(C14),{1,2,3,4,5,10},1))&lt;=90))=6,ISNUMBER(--MID(TRIM(C14),6,4))),"Valid","Invalid"))</f>
        <v>Valid</v>
      </c>
      <c r="N14" s="2" t="str">
        <f t="shared" si="0"/>
        <v>Valid</v>
      </c>
      <c r="O14" s="2" t="str">
        <f t="shared" si="1"/>
        <v>Valid</v>
      </c>
      <c r="P14" s="2" t="str">
        <f t="shared" si="2"/>
        <v>Valid</v>
      </c>
      <c r="Q14" s="2" t="str">
        <f t="shared" si="3"/>
        <v>Valid</v>
      </c>
      <c r="R14" s="2" t="str">
        <f>IF(TRIM(H14)="","Missing",IF(AND(LEN(TRIM(H14))=11,SUMPRODUCT(--(CODE(MID(TRIM(H14),{1,2,3,4},1))&gt;=65),--(CODE(MID(TRIM(H14),{1,2,3,4},1))&lt;=90))=4,MID(TRIM(H14),5,1)="0"),"Valid","Invalid"))</f>
        <v>Valid</v>
      </c>
      <c r="S14" s="2" t="str">
        <f t="shared" si="4"/>
        <v>Invalid</v>
      </c>
      <c r="T14" s="2" t="str">
        <f t="shared" si="5"/>
        <v>Invalid</v>
      </c>
      <c r="U14" s="2">
        <f t="shared" si="6"/>
        <v>2</v>
      </c>
      <c r="V14" s="2" t="str">
        <f t="shared" si="7"/>
        <v>919642147649</v>
      </c>
      <c r="W14" s="2" t="s">
        <v>234</v>
      </c>
      <c r="X14" s="2" t="str">
        <f t="shared" si="8"/>
        <v>Unique</v>
      </c>
    </row>
    <row r="15" spans="1:24" x14ac:dyDescent="0.35">
      <c r="A15" s="2" t="s">
        <v>245</v>
      </c>
      <c r="B15" s="2" t="s">
        <v>246</v>
      </c>
      <c r="C15" s="2" t="s">
        <v>247</v>
      </c>
      <c r="D15" s="2" t="s">
        <v>248</v>
      </c>
      <c r="E15" s="2" t="s">
        <v>249</v>
      </c>
      <c r="F15" s="2" t="s">
        <v>250</v>
      </c>
      <c r="G15" s="15" t="s">
        <v>251</v>
      </c>
      <c r="H15" s="2" t="s">
        <v>252</v>
      </c>
      <c r="I15" s="2" t="s">
        <v>130</v>
      </c>
      <c r="J15" s="2" t="s">
        <v>253</v>
      </c>
      <c r="K15" s="2" t="s">
        <v>121</v>
      </c>
      <c r="L15" s="2" t="s">
        <v>254</v>
      </c>
      <c r="M15" s="2" t="str">
        <f>IF(TRIM(C15)="","Missing",IF(AND(LEN(TRIM(C15))=10,SUMPRODUCT(--(CODE(MID(TRIM(C15),{1,2,3,4,5,10},1))&gt;=65),--(CODE(MID(TRIM(C15),{1,2,3,4,5,10},1))&lt;=90))=6,ISNUMBER(--MID(TRIM(C15),6,4))),"Valid","Invalid"))</f>
        <v>Valid</v>
      </c>
      <c r="N15" s="2" t="str">
        <f t="shared" si="0"/>
        <v>Valid</v>
      </c>
      <c r="O15" s="2" t="str">
        <f t="shared" si="1"/>
        <v>Valid</v>
      </c>
      <c r="P15" s="2" t="str">
        <f t="shared" si="2"/>
        <v>Valid</v>
      </c>
      <c r="Q15" s="2" t="str">
        <f t="shared" si="3"/>
        <v>Valid</v>
      </c>
      <c r="R15" s="2" t="str">
        <f>IF(TRIM(H15)="","Missing",IF(AND(LEN(TRIM(H15))=11,SUMPRODUCT(--(CODE(MID(TRIM(H15),{1,2,3,4},1))&gt;=65),--(CODE(MID(TRIM(H15),{1,2,3,4},1))&lt;=90))=4,MID(TRIM(H15),5,1)="0"),"Valid","Invalid"))</f>
        <v>Valid</v>
      </c>
      <c r="S15" s="2" t="str">
        <f t="shared" si="4"/>
        <v>Valid</v>
      </c>
      <c r="T15" s="2" t="str">
        <f t="shared" si="5"/>
        <v>Invalid</v>
      </c>
      <c r="U15" s="2">
        <f t="shared" si="6"/>
        <v>1</v>
      </c>
      <c r="V15" s="2" t="str">
        <f t="shared" si="7"/>
        <v>918574313291</v>
      </c>
      <c r="W15" s="2" t="s">
        <v>245</v>
      </c>
      <c r="X15" s="2" t="str">
        <f t="shared" si="8"/>
        <v>Unique</v>
      </c>
    </row>
    <row r="16" spans="1:24" x14ac:dyDescent="0.35">
      <c r="A16" s="2" t="s">
        <v>255</v>
      </c>
      <c r="B16" s="2" t="s">
        <v>256</v>
      </c>
      <c r="C16" s="2" t="s">
        <v>257</v>
      </c>
      <c r="D16" s="2" t="s">
        <v>258</v>
      </c>
      <c r="E16" s="2" t="s">
        <v>259</v>
      </c>
      <c r="F16" s="2" t="s">
        <v>260</v>
      </c>
      <c r="G16" s="15" t="s">
        <v>261</v>
      </c>
      <c r="H16" s="2" t="s">
        <v>262</v>
      </c>
      <c r="I16" s="2" t="s">
        <v>119</v>
      </c>
      <c r="J16" s="2" t="s">
        <v>141</v>
      </c>
      <c r="K16" s="2" t="s">
        <v>142</v>
      </c>
      <c r="L16" s="2" t="s">
        <v>263</v>
      </c>
      <c r="M16" s="2" t="str">
        <f>IF(TRIM(C16)="","Missing",IF(AND(LEN(TRIM(C16))=10,SUMPRODUCT(--(CODE(MID(TRIM(C16),{1,2,3,4,5,10},1))&gt;=65),--(CODE(MID(TRIM(C16),{1,2,3,4,5,10},1))&lt;=90))=6,ISNUMBER(--MID(TRIM(C16),6,4))),"Valid","Invalid"))</f>
        <v>Valid</v>
      </c>
      <c r="N16" s="2" t="str">
        <f t="shared" si="0"/>
        <v>Valid</v>
      </c>
      <c r="O16" s="2" t="str">
        <f t="shared" si="1"/>
        <v>Valid</v>
      </c>
      <c r="P16" s="2" t="str">
        <f t="shared" si="2"/>
        <v>Valid</v>
      </c>
      <c r="Q16" s="2" t="str">
        <f t="shared" si="3"/>
        <v>Valid</v>
      </c>
      <c r="R16" s="2" t="str">
        <f>IF(TRIM(H16)="","Missing",IF(AND(LEN(TRIM(H16))=11,SUMPRODUCT(--(CODE(MID(TRIM(H16),{1,2,3,4},1))&gt;=65),--(CODE(MID(TRIM(H16),{1,2,3,4},1))&lt;=90))=4,MID(TRIM(H16),5,1)="0"),"Valid","Invalid"))</f>
        <v>Valid</v>
      </c>
      <c r="S16" s="2" t="str">
        <f t="shared" si="4"/>
        <v>Invalid</v>
      </c>
      <c r="T16" s="2" t="str">
        <f t="shared" si="5"/>
        <v>Valid</v>
      </c>
      <c r="U16" s="2">
        <f t="shared" si="6"/>
        <v>1</v>
      </c>
      <c r="V16" s="2" t="str">
        <f t="shared" si="7"/>
        <v>916175186892</v>
      </c>
      <c r="W16" s="2" t="s">
        <v>255</v>
      </c>
      <c r="X16" s="2" t="str">
        <f t="shared" si="8"/>
        <v>Unique</v>
      </c>
    </row>
    <row r="17" spans="1:24" x14ac:dyDescent="0.35">
      <c r="A17" s="2" t="s">
        <v>264</v>
      </c>
      <c r="B17" s="2" t="s">
        <v>265</v>
      </c>
      <c r="C17" s="2" t="s">
        <v>266</v>
      </c>
      <c r="D17" s="2" t="s">
        <v>267</v>
      </c>
      <c r="E17" s="2" t="s">
        <v>268</v>
      </c>
      <c r="F17" s="2"/>
      <c r="G17" s="15"/>
      <c r="H17" s="2" t="s">
        <v>269</v>
      </c>
      <c r="I17" s="2" t="s">
        <v>130</v>
      </c>
      <c r="J17" s="2" t="s">
        <v>270</v>
      </c>
      <c r="K17" s="2" t="s">
        <v>142</v>
      </c>
      <c r="L17" s="2" t="s">
        <v>271</v>
      </c>
      <c r="M17" s="2" t="str">
        <f>IF(TRIM(C17)="","Missing",IF(AND(LEN(TRIM(C17))=10,SUMPRODUCT(--(CODE(MID(TRIM(C17),{1,2,3,4,5,10},1))&gt;=65),--(CODE(MID(TRIM(C17),{1,2,3,4,5,10},1))&lt;=90))=6,ISNUMBER(--MID(TRIM(C17),6,4))),"Valid","Invalid"))</f>
        <v>Valid</v>
      </c>
      <c r="N17" s="2" t="str">
        <f t="shared" si="0"/>
        <v>Valid</v>
      </c>
      <c r="O17" s="2" t="str">
        <f t="shared" si="1"/>
        <v>Valid</v>
      </c>
      <c r="P17" s="2" t="str">
        <f t="shared" si="2"/>
        <v>Missing</v>
      </c>
      <c r="Q17" s="2" t="str">
        <f t="shared" si="3"/>
        <v>Missing</v>
      </c>
      <c r="R17" s="2" t="str">
        <f>IF(TRIM(H17)="","Missing",IF(AND(LEN(TRIM(H17))=11,SUMPRODUCT(--(CODE(MID(TRIM(H17),{1,2,3,4},1))&gt;=65),--(CODE(MID(TRIM(H17),{1,2,3,4},1))&lt;=90))=4,MID(TRIM(H17),5,1)="0"),"Valid","Invalid"))</f>
        <v>Valid</v>
      </c>
      <c r="S17" s="2" t="str">
        <f t="shared" si="4"/>
        <v>Valid</v>
      </c>
      <c r="T17" s="2" t="str">
        <f t="shared" si="5"/>
        <v>Invalid</v>
      </c>
      <c r="U17" s="2">
        <f t="shared" si="6"/>
        <v>3</v>
      </c>
      <c r="V17" s="2" t="str">
        <f t="shared" si="7"/>
        <v/>
      </c>
      <c r="W17" s="2" t="s">
        <v>264</v>
      </c>
      <c r="X17" s="2" t="str">
        <f t="shared" si="8"/>
        <v>Unique</v>
      </c>
    </row>
    <row r="18" spans="1:24" x14ac:dyDescent="0.35">
      <c r="A18" s="2" t="s">
        <v>272</v>
      </c>
      <c r="B18" s="2" t="s">
        <v>273</v>
      </c>
      <c r="C18" s="2" t="s">
        <v>274</v>
      </c>
      <c r="D18" s="2" t="s">
        <v>275</v>
      </c>
      <c r="E18" s="2" t="s">
        <v>276</v>
      </c>
      <c r="F18" s="2" t="s">
        <v>277</v>
      </c>
      <c r="G18" s="15" t="s">
        <v>278</v>
      </c>
      <c r="H18" s="2" t="s">
        <v>279</v>
      </c>
      <c r="I18" s="2" t="s">
        <v>130</v>
      </c>
      <c r="J18" s="2" t="s">
        <v>153</v>
      </c>
      <c r="K18" s="2" t="s">
        <v>121</v>
      </c>
      <c r="L18" s="2" t="s">
        <v>280</v>
      </c>
      <c r="M18" s="2" t="str">
        <f>IF(TRIM(C18)="","Missing",IF(AND(LEN(TRIM(C18))=10,SUMPRODUCT(--(CODE(MID(TRIM(C18),{1,2,3,4,5,10},1))&gt;=65),--(CODE(MID(TRIM(C18),{1,2,3,4,5,10},1))&lt;=90))=6,ISNUMBER(--MID(TRIM(C18),6,4))),"Valid","Invalid"))</f>
        <v>Valid</v>
      </c>
      <c r="N18" s="2" t="str">
        <f t="shared" si="0"/>
        <v>Valid</v>
      </c>
      <c r="O18" s="2" t="str">
        <f t="shared" si="1"/>
        <v>Valid</v>
      </c>
      <c r="P18" s="2" t="str">
        <f t="shared" si="2"/>
        <v>Valid</v>
      </c>
      <c r="Q18" s="2" t="str">
        <f t="shared" si="3"/>
        <v>Valid</v>
      </c>
      <c r="R18" s="2" t="str">
        <f>IF(TRIM(H18)="","Missing",IF(AND(LEN(TRIM(H18))=11,SUMPRODUCT(--(CODE(MID(TRIM(H18),{1,2,3,4},1))&gt;=65),--(CODE(MID(TRIM(H18),{1,2,3,4},1))&lt;=90))=4,MID(TRIM(H18),5,1)="0"),"Valid","Invalid"))</f>
        <v>Valid</v>
      </c>
      <c r="S18" s="2" t="str">
        <f t="shared" si="4"/>
        <v>Valid</v>
      </c>
      <c r="T18" s="2" t="str">
        <f t="shared" si="5"/>
        <v>Invalid</v>
      </c>
      <c r="U18" s="2">
        <f t="shared" si="6"/>
        <v>1</v>
      </c>
      <c r="V18" s="2" t="str">
        <f t="shared" si="7"/>
        <v>8044818321</v>
      </c>
      <c r="W18" s="2" t="s">
        <v>272</v>
      </c>
      <c r="X18" s="2" t="str">
        <f t="shared" si="8"/>
        <v>Unique</v>
      </c>
    </row>
    <row r="19" spans="1:24" x14ac:dyDescent="0.35">
      <c r="A19" s="2" t="s">
        <v>281</v>
      </c>
      <c r="B19" s="2" t="s">
        <v>282</v>
      </c>
      <c r="C19" s="2" t="s">
        <v>283</v>
      </c>
      <c r="D19" s="2" t="s">
        <v>284</v>
      </c>
      <c r="E19" s="2" t="s">
        <v>285</v>
      </c>
      <c r="F19" s="2" t="s">
        <v>286</v>
      </c>
      <c r="G19" s="15" t="s">
        <v>287</v>
      </c>
      <c r="H19" s="2" t="s">
        <v>288</v>
      </c>
      <c r="I19" s="2" t="s">
        <v>130</v>
      </c>
      <c r="J19" s="2" t="s">
        <v>289</v>
      </c>
      <c r="K19" s="2" t="s">
        <v>121</v>
      </c>
      <c r="L19" s="2" t="s">
        <v>290</v>
      </c>
      <c r="M19" s="2" t="str">
        <f>IF(TRIM(C19)="","Missing",IF(AND(LEN(TRIM(C19))=10,SUMPRODUCT(--(CODE(MID(TRIM(C19),{1,2,3,4,5,10},1))&gt;=65),--(CODE(MID(TRIM(C19),{1,2,3,4,5,10},1))&lt;=90))=6,ISNUMBER(--MID(TRIM(C19),6,4))),"Valid","Invalid"))</f>
        <v>Valid</v>
      </c>
      <c r="N19" s="2" t="str">
        <f t="shared" si="0"/>
        <v>Valid</v>
      </c>
      <c r="O19" s="2" t="str">
        <f t="shared" si="1"/>
        <v>Valid</v>
      </c>
      <c r="P19" s="2" t="str">
        <f t="shared" si="2"/>
        <v>Valid</v>
      </c>
      <c r="Q19" s="2" t="str">
        <f t="shared" si="3"/>
        <v>Valid</v>
      </c>
      <c r="R19" s="2" t="str">
        <f>IF(TRIM(H19)="","Missing",IF(AND(LEN(TRIM(H19))=11,SUMPRODUCT(--(CODE(MID(TRIM(H19),{1,2,3,4},1))&gt;=65),--(CODE(MID(TRIM(H19),{1,2,3,4},1))&lt;=90))=4,MID(TRIM(H19),5,1)="0"),"Valid","Invalid"))</f>
        <v>Valid</v>
      </c>
      <c r="S19" s="2" t="str">
        <f t="shared" si="4"/>
        <v>Valid</v>
      </c>
      <c r="T19" s="2" t="str">
        <f t="shared" si="5"/>
        <v>Invalid</v>
      </c>
      <c r="U19" s="2">
        <f t="shared" si="6"/>
        <v>1</v>
      </c>
      <c r="V19" s="2" t="str">
        <f t="shared" si="7"/>
        <v>919054668893</v>
      </c>
      <c r="W19" s="2" t="s">
        <v>281</v>
      </c>
      <c r="X19" s="2" t="str">
        <f t="shared" si="8"/>
        <v>Unique</v>
      </c>
    </row>
    <row r="20" spans="1:24" x14ac:dyDescent="0.35">
      <c r="A20" s="2" t="s">
        <v>291</v>
      </c>
      <c r="B20" s="2" t="s">
        <v>292</v>
      </c>
      <c r="C20" s="2" t="s">
        <v>293</v>
      </c>
      <c r="D20" s="2" t="s">
        <v>294</v>
      </c>
      <c r="E20" s="2" t="s">
        <v>295</v>
      </c>
      <c r="F20" s="2" t="s">
        <v>296</v>
      </c>
      <c r="G20" s="15" t="s">
        <v>297</v>
      </c>
      <c r="H20" s="2"/>
      <c r="I20" s="2" t="s">
        <v>119</v>
      </c>
      <c r="J20" s="2" t="s">
        <v>153</v>
      </c>
      <c r="K20" s="2" t="s">
        <v>142</v>
      </c>
      <c r="L20" s="2" t="s">
        <v>298</v>
      </c>
      <c r="M20" s="2" t="str">
        <f>IF(TRIM(C20)="","Missing",IF(AND(LEN(TRIM(C20))=10,SUMPRODUCT(--(CODE(MID(TRIM(C20),{1,2,3,4,5,10},1))&gt;=65),--(CODE(MID(TRIM(C20),{1,2,3,4,5,10},1))&lt;=90))=6,ISNUMBER(--MID(TRIM(C20),6,4))),"Valid","Invalid"))</f>
        <v>Valid</v>
      </c>
      <c r="N20" s="2" t="str">
        <f t="shared" si="0"/>
        <v>PAN Mismatch</v>
      </c>
      <c r="O20" s="2" t="str">
        <f t="shared" si="1"/>
        <v>Valid</v>
      </c>
      <c r="P20" s="2" t="str">
        <f t="shared" si="2"/>
        <v>Valid</v>
      </c>
      <c r="Q20" s="2" t="str">
        <f t="shared" si="3"/>
        <v>Valid</v>
      </c>
      <c r="R20" s="2" t="str">
        <f>IF(TRIM(H20)="","Missing",IF(AND(LEN(TRIM(H20))=11,SUMPRODUCT(--(CODE(MID(TRIM(H20),{1,2,3,4},1))&gt;=65),--(CODE(MID(TRIM(H20),{1,2,3,4},1))&lt;=90))=4,MID(TRIM(H20),5,1)="0"),"Valid","Invalid"))</f>
        <v>Missing</v>
      </c>
      <c r="S20" s="2" t="str">
        <f t="shared" si="4"/>
        <v>Invalid</v>
      </c>
      <c r="T20" s="2" t="str">
        <f t="shared" si="5"/>
        <v>Invalid</v>
      </c>
      <c r="U20" s="2">
        <f t="shared" si="6"/>
        <v>4</v>
      </c>
      <c r="V20" s="2" t="str">
        <f t="shared" si="7"/>
        <v>917222591365</v>
      </c>
      <c r="W20" s="2" t="s">
        <v>291</v>
      </c>
      <c r="X20" s="2" t="str">
        <f t="shared" si="8"/>
        <v>Unique</v>
      </c>
    </row>
    <row r="21" spans="1:24" x14ac:dyDescent="0.35">
      <c r="A21" s="2" t="s">
        <v>299</v>
      </c>
      <c r="B21" s="2" t="s">
        <v>300</v>
      </c>
      <c r="C21" s="2" t="s">
        <v>301</v>
      </c>
      <c r="D21" s="2" t="s">
        <v>302</v>
      </c>
      <c r="E21" s="2" t="s">
        <v>303</v>
      </c>
      <c r="F21" s="2" t="s">
        <v>304</v>
      </c>
      <c r="G21" s="15" t="s">
        <v>305</v>
      </c>
      <c r="H21" s="2" t="s">
        <v>306</v>
      </c>
      <c r="I21" s="2" t="s">
        <v>130</v>
      </c>
      <c r="J21" s="2" t="s">
        <v>141</v>
      </c>
      <c r="K21" s="2" t="s">
        <v>121</v>
      </c>
      <c r="L21" s="2" t="s">
        <v>307</v>
      </c>
      <c r="M21" s="2" t="str">
        <f>IF(TRIM(C21)="","Missing",IF(AND(LEN(TRIM(C21))=10,SUMPRODUCT(--(CODE(MID(TRIM(C21),{1,2,3,4,5,10},1))&gt;=65),--(CODE(MID(TRIM(C21),{1,2,3,4,5,10},1))&lt;=90))=6,ISNUMBER(--MID(TRIM(C21),6,4))),"Valid","Invalid"))</f>
        <v>Valid</v>
      </c>
      <c r="N21" s="2" t="str">
        <f t="shared" si="0"/>
        <v>Valid</v>
      </c>
      <c r="O21" s="2" t="str">
        <f t="shared" si="1"/>
        <v>Valid</v>
      </c>
      <c r="P21" s="2" t="str">
        <f t="shared" si="2"/>
        <v>Valid</v>
      </c>
      <c r="Q21" s="2" t="str">
        <f t="shared" si="3"/>
        <v>Valid</v>
      </c>
      <c r="R21" s="2" t="str">
        <f>IF(TRIM(H21)="","Missing",IF(AND(LEN(TRIM(H21))=11,SUMPRODUCT(--(CODE(MID(TRIM(H21),{1,2,3,4},1))&gt;=65),--(CODE(MID(TRIM(H21),{1,2,3,4},1))&lt;=90))=4,MID(TRIM(H21),5,1)="0"),"Valid","Invalid"))</f>
        <v>Valid</v>
      </c>
      <c r="S21" s="2" t="str">
        <f t="shared" si="4"/>
        <v>Valid</v>
      </c>
      <c r="T21" s="2" t="str">
        <f t="shared" si="5"/>
        <v>Valid</v>
      </c>
      <c r="U21" s="2">
        <f t="shared" si="6"/>
        <v>0</v>
      </c>
      <c r="V21" s="2" t="str">
        <f t="shared" si="7"/>
        <v>8954508920</v>
      </c>
      <c r="W21" s="2" t="s">
        <v>299</v>
      </c>
      <c r="X21" s="2" t="str">
        <f t="shared" si="8"/>
        <v>Duplicate</v>
      </c>
    </row>
    <row r="22" spans="1:24" x14ac:dyDescent="0.35">
      <c r="A22" s="2" t="s">
        <v>308</v>
      </c>
      <c r="B22" s="2" t="s">
        <v>309</v>
      </c>
      <c r="C22" s="2" t="s">
        <v>310</v>
      </c>
      <c r="D22" s="2" t="s">
        <v>311</v>
      </c>
      <c r="E22" s="2" t="s">
        <v>312</v>
      </c>
      <c r="F22" s="2" t="s">
        <v>313</v>
      </c>
      <c r="G22" s="15" t="s">
        <v>314</v>
      </c>
      <c r="H22" s="2"/>
      <c r="I22" s="2" t="s">
        <v>152</v>
      </c>
      <c r="J22" s="2" t="s">
        <v>153</v>
      </c>
      <c r="K22" s="2" t="s">
        <v>121</v>
      </c>
      <c r="L22" s="2" t="s">
        <v>315</v>
      </c>
      <c r="M22" s="2" t="str">
        <f>IF(TRIM(C22)="","Missing",IF(AND(LEN(TRIM(C22))=10,SUMPRODUCT(--(CODE(MID(TRIM(C22),{1,2,3,4,5,10},1))&gt;=65),--(CODE(MID(TRIM(C22),{1,2,3,4,5,10},1))&lt;=90))=6,ISNUMBER(--MID(TRIM(C22),6,4))),"Valid","Invalid"))</f>
        <v>Valid</v>
      </c>
      <c r="N22" s="2" t="str">
        <f t="shared" si="0"/>
        <v>Valid</v>
      </c>
      <c r="O22" s="2" t="str">
        <f t="shared" si="1"/>
        <v>Valid</v>
      </c>
      <c r="P22" s="2" t="str">
        <f t="shared" si="2"/>
        <v>Valid</v>
      </c>
      <c r="Q22" s="2" t="str">
        <f t="shared" si="3"/>
        <v>Valid</v>
      </c>
      <c r="R22" s="2" t="str">
        <f>IF(TRIM(H22)="","Missing",IF(AND(LEN(TRIM(H22))=11,SUMPRODUCT(--(CODE(MID(TRIM(H22),{1,2,3,4},1))&gt;=65),--(CODE(MID(TRIM(H22),{1,2,3,4},1))&lt;=90))=4,MID(TRIM(H22),5,1)="0"),"Valid","Invalid"))</f>
        <v>Missing</v>
      </c>
      <c r="S22" s="2" t="str">
        <f t="shared" si="4"/>
        <v>Invalid</v>
      </c>
      <c r="T22" s="2" t="str">
        <f t="shared" si="5"/>
        <v>Invalid</v>
      </c>
      <c r="U22" s="2">
        <f t="shared" si="6"/>
        <v>3</v>
      </c>
      <c r="V22" s="2" t="str">
        <f t="shared" si="7"/>
        <v>8870998616</v>
      </c>
      <c r="W22" s="2" t="s">
        <v>308</v>
      </c>
      <c r="X22" s="2" t="str">
        <f t="shared" si="8"/>
        <v>Unique</v>
      </c>
    </row>
    <row r="23" spans="1:24" x14ac:dyDescent="0.35">
      <c r="A23" s="2" t="s">
        <v>316</v>
      </c>
      <c r="B23" s="2" t="s">
        <v>317</v>
      </c>
      <c r="C23" s="2" t="s">
        <v>318</v>
      </c>
      <c r="D23" s="2" t="s">
        <v>319</v>
      </c>
      <c r="E23" s="2" t="s">
        <v>320</v>
      </c>
      <c r="F23" s="2" t="s">
        <v>321</v>
      </c>
      <c r="G23" s="15" t="s">
        <v>322</v>
      </c>
      <c r="H23" s="2" t="s">
        <v>323</v>
      </c>
      <c r="I23" s="2" t="s">
        <v>130</v>
      </c>
      <c r="J23" s="2" t="s">
        <v>120</v>
      </c>
      <c r="K23" s="2" t="s">
        <v>121</v>
      </c>
      <c r="L23" s="2" t="s">
        <v>324</v>
      </c>
      <c r="M23" s="2" t="str">
        <f>IF(TRIM(C23)="","Missing",IF(AND(LEN(TRIM(C23))=10,SUMPRODUCT(--(CODE(MID(TRIM(C23),{1,2,3,4,5,10},1))&gt;=65),--(CODE(MID(TRIM(C23),{1,2,3,4,5,10},1))&lt;=90))=6,ISNUMBER(--MID(TRIM(C23),6,4))),"Valid","Invalid"))</f>
        <v>Valid</v>
      </c>
      <c r="N23" s="2" t="str">
        <f t="shared" si="0"/>
        <v>Valid</v>
      </c>
      <c r="O23" s="2" t="str">
        <f t="shared" si="1"/>
        <v>Valid</v>
      </c>
      <c r="P23" s="2" t="str">
        <f t="shared" si="2"/>
        <v>Valid</v>
      </c>
      <c r="Q23" s="2" t="str">
        <f t="shared" si="3"/>
        <v>Valid</v>
      </c>
      <c r="R23" s="2" t="str">
        <f>IF(TRIM(H23)="","Missing",IF(AND(LEN(TRIM(H23))=11,SUMPRODUCT(--(CODE(MID(TRIM(H23),{1,2,3,4},1))&gt;=65),--(CODE(MID(TRIM(H23),{1,2,3,4},1))&lt;=90))=4,MID(TRIM(H23),5,1)="0"),"Valid","Invalid"))</f>
        <v>Valid</v>
      </c>
      <c r="S23" s="2" t="str">
        <f t="shared" si="4"/>
        <v>Valid</v>
      </c>
      <c r="T23" s="2" t="str">
        <f t="shared" si="5"/>
        <v>Invalid</v>
      </c>
      <c r="U23" s="2">
        <f t="shared" si="6"/>
        <v>1</v>
      </c>
      <c r="V23" s="2" t="str">
        <f t="shared" si="7"/>
        <v>9405377351</v>
      </c>
      <c r="W23" s="2" t="s">
        <v>316</v>
      </c>
      <c r="X23" s="2" t="str">
        <f t="shared" si="8"/>
        <v>Unique</v>
      </c>
    </row>
    <row r="24" spans="1:24" x14ac:dyDescent="0.35">
      <c r="A24" s="2" t="s">
        <v>325</v>
      </c>
      <c r="B24" s="2" t="s">
        <v>326</v>
      </c>
      <c r="C24" s="2" t="s">
        <v>327</v>
      </c>
      <c r="D24" s="2"/>
      <c r="E24" s="2" t="s">
        <v>328</v>
      </c>
      <c r="F24" s="2" t="s">
        <v>329</v>
      </c>
      <c r="G24" s="15" t="s">
        <v>330</v>
      </c>
      <c r="H24" s="2" t="s">
        <v>331</v>
      </c>
      <c r="I24" s="2" t="s">
        <v>130</v>
      </c>
      <c r="J24" s="2" t="s">
        <v>131</v>
      </c>
      <c r="K24" s="2" t="s">
        <v>121</v>
      </c>
      <c r="L24" s="2" t="s">
        <v>332</v>
      </c>
      <c r="M24" s="2" t="str">
        <f>IF(TRIM(C24)="","Missing",IF(AND(LEN(TRIM(C24))=10,SUMPRODUCT(--(CODE(MID(TRIM(C24),{1,2,3,4,5,10},1))&gt;=65),--(CODE(MID(TRIM(C24),{1,2,3,4,5,10},1))&lt;=90))=6,ISNUMBER(--MID(TRIM(C24),6,4))),"Valid","Invalid"))</f>
        <v>Valid</v>
      </c>
      <c r="N24" s="2" t="str">
        <f t="shared" si="0"/>
        <v>Missing</v>
      </c>
      <c r="O24" s="2" t="str">
        <f t="shared" si="1"/>
        <v>Valid</v>
      </c>
      <c r="P24" s="2" t="str">
        <f t="shared" si="2"/>
        <v>Valid</v>
      </c>
      <c r="Q24" s="2" t="str">
        <f t="shared" si="3"/>
        <v>Valid</v>
      </c>
      <c r="R24" s="2" t="str">
        <f>IF(TRIM(H24)="","Missing",IF(AND(LEN(TRIM(H24))=11,SUMPRODUCT(--(CODE(MID(TRIM(H24),{1,2,3,4},1))&gt;=65),--(CODE(MID(TRIM(H24),{1,2,3,4},1))&lt;=90))=4,MID(TRIM(H24),5,1)="0"),"Valid","Invalid"))</f>
        <v>Valid</v>
      </c>
      <c r="S24" s="2" t="str">
        <f t="shared" si="4"/>
        <v>Valid</v>
      </c>
      <c r="T24" s="2" t="str">
        <f t="shared" si="5"/>
        <v>Invalid</v>
      </c>
      <c r="U24" s="2">
        <f t="shared" si="6"/>
        <v>2</v>
      </c>
      <c r="V24" s="2" t="str">
        <f t="shared" si="7"/>
        <v>6119393250</v>
      </c>
      <c r="W24" s="2" t="s">
        <v>325</v>
      </c>
      <c r="X24" s="2" t="str">
        <f t="shared" si="8"/>
        <v>Unique</v>
      </c>
    </row>
    <row r="25" spans="1:24" x14ac:dyDescent="0.35">
      <c r="A25" s="2" t="s">
        <v>333</v>
      </c>
      <c r="B25" s="2" t="s">
        <v>334</v>
      </c>
      <c r="C25" s="2" t="s">
        <v>335</v>
      </c>
      <c r="D25" s="2" t="s">
        <v>336</v>
      </c>
      <c r="E25" s="2" t="s">
        <v>337</v>
      </c>
      <c r="F25" s="2" t="s">
        <v>338</v>
      </c>
      <c r="G25" s="15" t="s">
        <v>339</v>
      </c>
      <c r="H25" s="2" t="s">
        <v>340</v>
      </c>
      <c r="I25" s="2" t="s">
        <v>119</v>
      </c>
      <c r="J25" s="2" t="s">
        <v>174</v>
      </c>
      <c r="K25" s="2" t="s">
        <v>121</v>
      </c>
      <c r="L25" s="2" t="s">
        <v>341</v>
      </c>
      <c r="M25" s="2" t="str">
        <f>IF(TRIM(C25)="","Missing",IF(AND(LEN(TRIM(C25))=10,SUMPRODUCT(--(CODE(MID(TRIM(C25),{1,2,3,4,5,10},1))&gt;=65),--(CODE(MID(TRIM(C25),{1,2,3,4,5,10},1))&lt;=90))=6,ISNUMBER(--MID(TRIM(C25),6,4))),"Valid","Invalid"))</f>
        <v>Valid</v>
      </c>
      <c r="N25" s="2" t="str">
        <f t="shared" si="0"/>
        <v>Valid</v>
      </c>
      <c r="O25" s="2" t="str">
        <f t="shared" si="1"/>
        <v>Valid</v>
      </c>
      <c r="P25" s="2" t="str">
        <f t="shared" si="2"/>
        <v>Valid</v>
      </c>
      <c r="Q25" s="2" t="str">
        <f t="shared" si="3"/>
        <v>Valid</v>
      </c>
      <c r="R25" s="2" t="str">
        <f>IF(TRIM(H25)="","Missing",IF(AND(LEN(TRIM(H25))=11,SUMPRODUCT(--(CODE(MID(TRIM(H25),{1,2,3,4},1))&gt;=65),--(CODE(MID(TRIM(H25),{1,2,3,4},1))&lt;=90))=4,MID(TRIM(H25),5,1)="0"),"Valid","Invalid"))</f>
        <v>Valid</v>
      </c>
      <c r="S25" s="2" t="str">
        <f t="shared" si="4"/>
        <v>Invalid</v>
      </c>
      <c r="T25" s="2" t="str">
        <f t="shared" si="5"/>
        <v>Valid</v>
      </c>
      <c r="U25" s="2">
        <f t="shared" si="6"/>
        <v>1</v>
      </c>
      <c r="V25" s="2" t="str">
        <f t="shared" si="7"/>
        <v>8833394522</v>
      </c>
      <c r="W25" s="2" t="s">
        <v>333</v>
      </c>
      <c r="X25" s="2" t="str">
        <f t="shared" si="8"/>
        <v>Duplicate</v>
      </c>
    </row>
    <row r="26" spans="1:24" x14ac:dyDescent="0.35">
      <c r="A26" s="2" t="s">
        <v>342</v>
      </c>
      <c r="B26" s="2" t="s">
        <v>343</v>
      </c>
      <c r="C26" s="2" t="s">
        <v>344</v>
      </c>
      <c r="D26" s="2"/>
      <c r="E26" s="2" t="s">
        <v>345</v>
      </c>
      <c r="F26" s="2" t="s">
        <v>346</v>
      </c>
      <c r="G26" s="15" t="s">
        <v>347</v>
      </c>
      <c r="H26" s="2" t="s">
        <v>348</v>
      </c>
      <c r="I26" s="2" t="s">
        <v>130</v>
      </c>
      <c r="J26" s="2" t="s">
        <v>253</v>
      </c>
      <c r="K26" s="2" t="s">
        <v>121</v>
      </c>
      <c r="L26" s="2" t="s">
        <v>349</v>
      </c>
      <c r="M26" s="2" t="str">
        <f>IF(TRIM(C26)="","Missing",IF(AND(LEN(TRIM(C26))=10,SUMPRODUCT(--(CODE(MID(TRIM(C26),{1,2,3,4,5,10},1))&gt;=65),--(CODE(MID(TRIM(C26),{1,2,3,4,5,10},1))&lt;=90))=6,ISNUMBER(--MID(TRIM(C26),6,4))),"Valid","Invalid"))</f>
        <v>Valid</v>
      </c>
      <c r="N26" s="2" t="str">
        <f t="shared" si="0"/>
        <v>Missing</v>
      </c>
      <c r="O26" s="2" t="str">
        <f t="shared" si="1"/>
        <v>Valid</v>
      </c>
      <c r="P26" s="2" t="str">
        <f t="shared" si="2"/>
        <v>Invalid</v>
      </c>
      <c r="Q26" s="2" t="str">
        <f t="shared" si="3"/>
        <v>Valid</v>
      </c>
      <c r="R26" s="2" t="str">
        <f>IF(TRIM(H26)="","Missing",IF(AND(LEN(TRIM(H26))=11,SUMPRODUCT(--(CODE(MID(TRIM(H26),{1,2,3,4},1))&gt;=65),--(CODE(MID(TRIM(H26),{1,2,3,4},1))&lt;=90))=4,MID(TRIM(H26),5,1)="0"),"Valid","Invalid"))</f>
        <v>Invalid</v>
      </c>
      <c r="S26" s="2" t="str">
        <f t="shared" si="4"/>
        <v>Valid</v>
      </c>
      <c r="T26" s="2" t="str">
        <f t="shared" si="5"/>
        <v>Invalid</v>
      </c>
      <c r="U26" s="2">
        <f t="shared" si="6"/>
        <v>4</v>
      </c>
      <c r="V26" s="2" t="str">
        <f t="shared" si="7"/>
        <v>717350583</v>
      </c>
      <c r="W26" s="2" t="s">
        <v>350</v>
      </c>
      <c r="X26" s="2" t="str">
        <f t="shared" si="8"/>
        <v>Duplicate</v>
      </c>
    </row>
    <row r="27" spans="1:24" x14ac:dyDescent="0.35">
      <c r="A27" s="2" t="s">
        <v>351</v>
      </c>
      <c r="B27" s="2" t="s">
        <v>352</v>
      </c>
      <c r="C27" s="2" t="s">
        <v>353</v>
      </c>
      <c r="D27" s="2" t="s">
        <v>354</v>
      </c>
      <c r="E27" s="2" t="s">
        <v>355</v>
      </c>
      <c r="F27" s="2" t="s">
        <v>356</v>
      </c>
      <c r="G27" s="15" t="s">
        <v>357</v>
      </c>
      <c r="H27" s="2" t="s">
        <v>358</v>
      </c>
      <c r="I27" s="2" t="s">
        <v>152</v>
      </c>
      <c r="J27" s="2" t="s">
        <v>359</v>
      </c>
      <c r="K27" s="2" t="s">
        <v>121</v>
      </c>
      <c r="L27" s="2" t="s">
        <v>360</v>
      </c>
      <c r="M27" s="2" t="str">
        <f>IF(TRIM(C27)="","Missing",IF(AND(LEN(TRIM(C27))=10,SUMPRODUCT(--(CODE(MID(TRIM(C27),{1,2,3,4,5,10},1))&gt;=65),--(CODE(MID(TRIM(C27),{1,2,3,4,5,10},1))&lt;=90))=6,ISNUMBER(--MID(TRIM(C27),6,4))),"Valid","Invalid"))</f>
        <v>Valid</v>
      </c>
      <c r="N27" s="2" t="str">
        <f t="shared" si="0"/>
        <v>PAN Mismatch</v>
      </c>
      <c r="O27" s="2" t="str">
        <f t="shared" si="1"/>
        <v>Valid</v>
      </c>
      <c r="P27" s="2" t="str">
        <f t="shared" si="2"/>
        <v>Valid</v>
      </c>
      <c r="Q27" s="2" t="str">
        <f t="shared" si="3"/>
        <v>Valid</v>
      </c>
      <c r="R27" s="2" t="str">
        <f>IF(TRIM(H27)="","Missing",IF(AND(LEN(TRIM(H27))=11,SUMPRODUCT(--(CODE(MID(TRIM(H27),{1,2,3,4},1))&gt;=65),--(CODE(MID(TRIM(H27),{1,2,3,4},1))&lt;=90))=4,MID(TRIM(H27),5,1)="0"),"Valid","Invalid"))</f>
        <v>Valid</v>
      </c>
      <c r="S27" s="2" t="str">
        <f t="shared" si="4"/>
        <v>Invalid</v>
      </c>
      <c r="T27" s="2" t="str">
        <f t="shared" si="5"/>
        <v>Valid</v>
      </c>
      <c r="U27" s="2">
        <f t="shared" si="6"/>
        <v>2</v>
      </c>
      <c r="V27" s="2" t="str">
        <f t="shared" si="7"/>
        <v>916417765612</v>
      </c>
      <c r="W27" s="2" t="s">
        <v>351</v>
      </c>
      <c r="X27" s="2" t="str">
        <f t="shared" si="8"/>
        <v>Unique</v>
      </c>
    </row>
    <row r="28" spans="1:24" x14ac:dyDescent="0.35">
      <c r="A28" s="2" t="s">
        <v>361</v>
      </c>
      <c r="B28" s="2" t="s">
        <v>362</v>
      </c>
      <c r="C28" s="2" t="s">
        <v>363</v>
      </c>
      <c r="D28" s="2" t="s">
        <v>364</v>
      </c>
      <c r="E28" s="2" t="s">
        <v>365</v>
      </c>
      <c r="F28" s="2" t="s">
        <v>366</v>
      </c>
      <c r="G28" s="15" t="s">
        <v>367</v>
      </c>
      <c r="H28" s="2" t="s">
        <v>368</v>
      </c>
      <c r="I28" s="2" t="s">
        <v>130</v>
      </c>
      <c r="J28" s="2" t="s">
        <v>369</v>
      </c>
      <c r="K28" s="2" t="s">
        <v>121</v>
      </c>
      <c r="L28" s="2" t="s">
        <v>370</v>
      </c>
      <c r="M28" s="2" t="str">
        <f>IF(TRIM(C28)="","Missing",IF(AND(LEN(TRIM(C28))=10,SUMPRODUCT(--(CODE(MID(TRIM(C28),{1,2,3,4,5,10},1))&gt;=65),--(CODE(MID(TRIM(C28),{1,2,3,4,5,10},1))&lt;=90))=6,ISNUMBER(--MID(TRIM(C28),6,4))),"Valid","Invalid"))</f>
        <v>Valid</v>
      </c>
      <c r="N28" s="2" t="str">
        <f t="shared" si="0"/>
        <v>Valid</v>
      </c>
      <c r="O28" s="2" t="str">
        <f t="shared" si="1"/>
        <v>Valid</v>
      </c>
      <c r="P28" s="2" t="str">
        <f t="shared" si="2"/>
        <v>Valid</v>
      </c>
      <c r="Q28" s="2" t="str">
        <f t="shared" si="3"/>
        <v>Valid</v>
      </c>
      <c r="R28" s="2" t="str">
        <f>IF(TRIM(H28)="","Missing",IF(AND(LEN(TRIM(H28))=11,SUMPRODUCT(--(CODE(MID(TRIM(H28),{1,2,3,4},1))&gt;=65),--(CODE(MID(TRIM(H28),{1,2,3,4},1))&lt;=90))=4,MID(TRIM(H28),5,1)="0"),"Valid","Invalid"))</f>
        <v>Valid</v>
      </c>
      <c r="S28" s="2" t="str">
        <f t="shared" si="4"/>
        <v>Valid</v>
      </c>
      <c r="T28" s="2" t="str">
        <f t="shared" si="5"/>
        <v>Invalid</v>
      </c>
      <c r="U28" s="2">
        <f t="shared" si="6"/>
        <v>1</v>
      </c>
      <c r="V28" s="2" t="str">
        <f t="shared" si="7"/>
        <v>916469632595</v>
      </c>
      <c r="W28" s="2" t="s">
        <v>361</v>
      </c>
      <c r="X28" s="2" t="str">
        <f t="shared" si="8"/>
        <v>Unique</v>
      </c>
    </row>
    <row r="29" spans="1:24" x14ac:dyDescent="0.35">
      <c r="A29" s="2" t="s">
        <v>371</v>
      </c>
      <c r="B29" s="2" t="s">
        <v>372</v>
      </c>
      <c r="C29" s="2"/>
      <c r="D29" s="2" t="s">
        <v>373</v>
      </c>
      <c r="E29" s="2" t="s">
        <v>374</v>
      </c>
      <c r="F29" s="2" t="s">
        <v>375</v>
      </c>
      <c r="G29" s="15" t="s">
        <v>376</v>
      </c>
      <c r="H29" s="2" t="s">
        <v>377</v>
      </c>
      <c r="I29" s="2" t="s">
        <v>130</v>
      </c>
      <c r="J29" s="2" t="s">
        <v>164</v>
      </c>
      <c r="K29" s="2" t="s">
        <v>121</v>
      </c>
      <c r="L29" s="2" t="s">
        <v>378</v>
      </c>
      <c r="M29" s="2" t="str">
        <f>IF(TRIM(C29)="","Missing",IF(AND(LEN(TRIM(C29))=10,SUMPRODUCT(--(CODE(MID(TRIM(C29),{1,2,3,4,5,10},1))&gt;=65),--(CODE(MID(TRIM(C29),{1,2,3,4,5,10},1))&lt;=90))=6,ISNUMBER(--MID(TRIM(C29),6,4))),"Valid","Invalid"))</f>
        <v>Missing</v>
      </c>
      <c r="N29" s="2" t="str">
        <f t="shared" si="0"/>
        <v>PAN Mismatch</v>
      </c>
      <c r="O29" s="2" t="str">
        <f t="shared" si="1"/>
        <v>Valid</v>
      </c>
      <c r="P29" s="2" t="str">
        <f t="shared" si="2"/>
        <v>Valid</v>
      </c>
      <c r="Q29" s="2" t="str">
        <f t="shared" si="3"/>
        <v>Valid</v>
      </c>
      <c r="R29" s="2" t="str">
        <f>IF(TRIM(H29)="","Missing",IF(AND(LEN(TRIM(H29))=11,SUMPRODUCT(--(CODE(MID(TRIM(H29),{1,2,3,4},1))&gt;=65),--(CODE(MID(TRIM(H29),{1,2,3,4},1))&lt;=90))=4,MID(TRIM(H29),5,1)="0"),"Valid","Invalid"))</f>
        <v>Invalid</v>
      </c>
      <c r="S29" s="2" t="str">
        <f t="shared" si="4"/>
        <v>Valid</v>
      </c>
      <c r="T29" s="2" t="str">
        <f t="shared" si="5"/>
        <v>Valid</v>
      </c>
      <c r="U29" s="2">
        <f t="shared" si="6"/>
        <v>3</v>
      </c>
      <c r="V29" s="2" t="str">
        <f t="shared" si="7"/>
        <v>918770054119</v>
      </c>
      <c r="W29" s="2" t="s">
        <v>371</v>
      </c>
      <c r="X29" s="2" t="str">
        <f t="shared" si="8"/>
        <v>Unique</v>
      </c>
    </row>
    <row r="30" spans="1:24" x14ac:dyDescent="0.35">
      <c r="A30" s="2" t="s">
        <v>379</v>
      </c>
      <c r="B30" s="2" t="s">
        <v>380</v>
      </c>
      <c r="C30" s="2" t="s">
        <v>381</v>
      </c>
      <c r="D30" s="2" t="s">
        <v>382</v>
      </c>
      <c r="E30" s="2"/>
      <c r="F30" s="2" t="s">
        <v>383</v>
      </c>
      <c r="G30" s="15" t="s">
        <v>384</v>
      </c>
      <c r="H30" s="2" t="s">
        <v>385</v>
      </c>
      <c r="I30" s="2" t="s">
        <v>119</v>
      </c>
      <c r="J30" s="2" t="s">
        <v>204</v>
      </c>
      <c r="K30" s="2" t="s">
        <v>121</v>
      </c>
      <c r="L30" s="2" t="s">
        <v>386</v>
      </c>
      <c r="M30" s="2" t="str">
        <f>IF(TRIM(C30)="","Missing",IF(AND(LEN(TRIM(C30))=10,SUMPRODUCT(--(CODE(MID(TRIM(C30),{1,2,3,4,5,10},1))&gt;=65),--(CODE(MID(TRIM(C30),{1,2,3,4,5,10},1))&lt;=90))=6,ISNUMBER(--MID(TRIM(C30),6,4))),"Valid","Invalid"))</f>
        <v>Valid</v>
      </c>
      <c r="N30" s="2" t="str">
        <f t="shared" si="0"/>
        <v>Valid</v>
      </c>
      <c r="O30" s="2" t="str">
        <f t="shared" si="1"/>
        <v>Missing</v>
      </c>
      <c r="P30" s="2" t="str">
        <f t="shared" si="2"/>
        <v>Valid</v>
      </c>
      <c r="Q30" s="2" t="str">
        <f t="shared" si="3"/>
        <v>Valid</v>
      </c>
      <c r="R30" s="2" t="str">
        <f>IF(TRIM(H30)="","Missing",IF(AND(LEN(TRIM(H30))=11,SUMPRODUCT(--(CODE(MID(TRIM(H30),{1,2,3,4},1))&gt;=65),--(CODE(MID(TRIM(H30),{1,2,3,4},1))&lt;=90))=4,MID(TRIM(H30),5,1)="0"),"Valid","Invalid"))</f>
        <v>Valid</v>
      </c>
      <c r="S30" s="2" t="str">
        <f t="shared" si="4"/>
        <v>Invalid</v>
      </c>
      <c r="T30" s="2" t="str">
        <f t="shared" si="5"/>
        <v>Invalid</v>
      </c>
      <c r="U30" s="2">
        <f t="shared" si="6"/>
        <v>3</v>
      </c>
      <c r="V30" s="2" t="str">
        <f t="shared" si="7"/>
        <v>917749894134</v>
      </c>
      <c r="W30" s="2" t="s">
        <v>379</v>
      </c>
      <c r="X30" s="2" t="str">
        <f t="shared" si="8"/>
        <v>Unique</v>
      </c>
    </row>
    <row r="31" spans="1:24" x14ac:dyDescent="0.35">
      <c r="A31" s="2" t="s">
        <v>387</v>
      </c>
      <c r="B31" s="2" t="s">
        <v>388</v>
      </c>
      <c r="C31" s="2" t="s">
        <v>389</v>
      </c>
      <c r="D31" s="2" t="s">
        <v>390</v>
      </c>
      <c r="E31" s="2" t="s">
        <v>391</v>
      </c>
      <c r="F31" s="2" t="s">
        <v>392</v>
      </c>
      <c r="G31" s="15" t="s">
        <v>393</v>
      </c>
      <c r="H31" s="2" t="s">
        <v>394</v>
      </c>
      <c r="I31" s="2" t="s">
        <v>130</v>
      </c>
      <c r="J31" s="2" t="s">
        <v>184</v>
      </c>
      <c r="K31" s="2" t="s">
        <v>121</v>
      </c>
      <c r="L31" s="2" t="s">
        <v>395</v>
      </c>
      <c r="M31" s="2" t="str">
        <f>IF(TRIM(C31)="","Missing",IF(AND(LEN(TRIM(C31))=10,SUMPRODUCT(--(CODE(MID(TRIM(C31),{1,2,3,4,5,10},1))&gt;=65),--(CODE(MID(TRIM(C31),{1,2,3,4,5,10},1))&lt;=90))=6,ISNUMBER(--MID(TRIM(C31),6,4))),"Valid","Invalid"))</f>
        <v>Valid</v>
      </c>
      <c r="N31" s="2" t="str">
        <f t="shared" si="0"/>
        <v>Valid</v>
      </c>
      <c r="O31" s="2" t="str">
        <f t="shared" si="1"/>
        <v>Valid</v>
      </c>
      <c r="P31" s="2" t="str">
        <f t="shared" si="2"/>
        <v>Valid</v>
      </c>
      <c r="Q31" s="2" t="str">
        <f t="shared" si="3"/>
        <v>Valid</v>
      </c>
      <c r="R31" s="2" t="str">
        <f>IF(TRIM(H31)="","Missing",IF(AND(LEN(TRIM(H31))=11,SUMPRODUCT(--(CODE(MID(TRIM(H31),{1,2,3,4},1))&gt;=65),--(CODE(MID(TRIM(H31),{1,2,3,4},1))&lt;=90))=4,MID(TRIM(H31),5,1)="0"),"Valid","Invalid"))</f>
        <v>Valid</v>
      </c>
      <c r="S31" s="2" t="str">
        <f t="shared" si="4"/>
        <v>Valid</v>
      </c>
      <c r="T31" s="2" t="str">
        <f t="shared" si="5"/>
        <v>Invalid</v>
      </c>
      <c r="U31" s="2">
        <f t="shared" si="6"/>
        <v>1</v>
      </c>
      <c r="V31" s="2" t="str">
        <f t="shared" si="7"/>
        <v>8191825537</v>
      </c>
      <c r="W31" s="2" t="s">
        <v>387</v>
      </c>
      <c r="X31" s="2" t="str">
        <f t="shared" si="8"/>
        <v>Duplicate</v>
      </c>
    </row>
    <row r="32" spans="1:24" x14ac:dyDescent="0.35">
      <c r="A32" s="2" t="s">
        <v>396</v>
      </c>
      <c r="B32" s="2" t="s">
        <v>397</v>
      </c>
      <c r="C32" s="2" t="s">
        <v>398</v>
      </c>
      <c r="D32" s="2" t="s">
        <v>399</v>
      </c>
      <c r="E32" s="2" t="s">
        <v>400</v>
      </c>
      <c r="F32" s="2" t="s">
        <v>401</v>
      </c>
      <c r="G32" s="15" t="s">
        <v>402</v>
      </c>
      <c r="H32" s="2" t="s">
        <v>403</v>
      </c>
      <c r="I32" s="2" t="s">
        <v>130</v>
      </c>
      <c r="J32" s="2" t="s">
        <v>174</v>
      </c>
      <c r="K32" s="2" t="s">
        <v>121</v>
      </c>
      <c r="L32" s="2" t="s">
        <v>404</v>
      </c>
      <c r="M32" s="2" t="str">
        <f>IF(TRIM(C32)="","Missing",IF(AND(LEN(TRIM(C32))=10,SUMPRODUCT(--(CODE(MID(TRIM(C32),{1,2,3,4,5,10},1))&gt;=65),--(CODE(MID(TRIM(C32),{1,2,3,4,5,10},1))&lt;=90))=6,ISNUMBER(--MID(TRIM(C32),6,4))),"Valid","Invalid"))</f>
        <v>Invalid</v>
      </c>
      <c r="N32" s="2" t="str">
        <f t="shared" si="0"/>
        <v>Valid</v>
      </c>
      <c r="O32" s="2" t="str">
        <f t="shared" si="1"/>
        <v>Valid</v>
      </c>
      <c r="P32" s="2" t="str">
        <f t="shared" si="2"/>
        <v>Valid</v>
      </c>
      <c r="Q32" s="2" t="str">
        <f t="shared" si="3"/>
        <v>Valid</v>
      </c>
      <c r="R32" s="2" t="str">
        <f>IF(TRIM(H32)="","Missing",IF(AND(LEN(TRIM(H32))=11,SUMPRODUCT(--(CODE(MID(TRIM(H32),{1,2,3,4},1))&gt;=65),--(CODE(MID(TRIM(H32),{1,2,3,4},1))&lt;=90))=4,MID(TRIM(H32),5,1)="0"),"Valid","Invalid"))</f>
        <v>Valid</v>
      </c>
      <c r="S32" s="2" t="str">
        <f t="shared" si="4"/>
        <v>Valid</v>
      </c>
      <c r="T32" s="2" t="str">
        <f t="shared" si="5"/>
        <v>Valid</v>
      </c>
      <c r="U32" s="2">
        <f t="shared" si="6"/>
        <v>1</v>
      </c>
      <c r="V32" s="2" t="str">
        <f t="shared" si="7"/>
        <v>917941318699</v>
      </c>
      <c r="W32" s="2" t="s">
        <v>396</v>
      </c>
      <c r="X32" s="2" t="str">
        <f t="shared" si="8"/>
        <v>Unique</v>
      </c>
    </row>
    <row r="33" spans="1:24" x14ac:dyDescent="0.35">
      <c r="A33" s="2" t="s">
        <v>405</v>
      </c>
      <c r="B33" s="2" t="s">
        <v>406</v>
      </c>
      <c r="C33" s="2" t="s">
        <v>407</v>
      </c>
      <c r="D33" s="2" t="s">
        <v>408</v>
      </c>
      <c r="E33" s="2" t="s">
        <v>409</v>
      </c>
      <c r="F33" s="2"/>
      <c r="G33" s="15" t="s">
        <v>410</v>
      </c>
      <c r="H33" s="2" t="s">
        <v>411</v>
      </c>
      <c r="I33" s="2" t="s">
        <v>130</v>
      </c>
      <c r="J33" s="2" t="s">
        <v>412</v>
      </c>
      <c r="K33" s="2" t="s">
        <v>121</v>
      </c>
      <c r="L33" s="2" t="s">
        <v>413</v>
      </c>
      <c r="M33" s="2" t="str">
        <f>IF(TRIM(C33)="","Missing",IF(AND(LEN(TRIM(C33))=10,SUMPRODUCT(--(CODE(MID(TRIM(C33),{1,2,3,4,5,10},1))&gt;=65),--(CODE(MID(TRIM(C33),{1,2,3,4,5,10},1))&lt;=90))=6,ISNUMBER(--MID(TRIM(C33),6,4))),"Valid","Invalid"))</f>
        <v>Valid</v>
      </c>
      <c r="N33" s="2" t="str">
        <f t="shared" si="0"/>
        <v>Valid</v>
      </c>
      <c r="O33" s="2" t="str">
        <f t="shared" si="1"/>
        <v>Valid</v>
      </c>
      <c r="P33" s="2" t="str">
        <f t="shared" si="2"/>
        <v>Missing</v>
      </c>
      <c r="Q33" s="2" t="str">
        <f t="shared" si="3"/>
        <v>Valid</v>
      </c>
      <c r="R33" s="2" t="str">
        <f>IF(TRIM(H33)="","Missing",IF(AND(LEN(TRIM(H33))=11,SUMPRODUCT(--(CODE(MID(TRIM(H33),{1,2,3,4},1))&gt;=65),--(CODE(MID(TRIM(H33),{1,2,3,4},1))&lt;=90))=4,MID(TRIM(H33),5,1)="0"),"Valid","Invalid"))</f>
        <v>Valid</v>
      </c>
      <c r="S33" s="2" t="str">
        <f t="shared" si="4"/>
        <v>Valid</v>
      </c>
      <c r="T33" s="2" t="str">
        <f t="shared" si="5"/>
        <v>Invalid</v>
      </c>
      <c r="U33" s="2">
        <f t="shared" si="6"/>
        <v>2</v>
      </c>
      <c r="V33" s="2" t="str">
        <f t="shared" si="7"/>
        <v/>
      </c>
      <c r="W33" s="2" t="s">
        <v>405</v>
      </c>
      <c r="X33" s="2" t="str">
        <f t="shared" si="8"/>
        <v>Unique</v>
      </c>
    </row>
    <row r="34" spans="1:24" x14ac:dyDescent="0.35">
      <c r="A34" s="2" t="s">
        <v>414</v>
      </c>
      <c r="B34" s="2" t="s">
        <v>415</v>
      </c>
      <c r="C34" s="2" t="s">
        <v>416</v>
      </c>
      <c r="D34" s="2" t="s">
        <v>417</v>
      </c>
      <c r="E34" s="2" t="s">
        <v>418</v>
      </c>
      <c r="F34" s="2" t="s">
        <v>419</v>
      </c>
      <c r="G34" s="15"/>
      <c r="H34" s="2" t="s">
        <v>420</v>
      </c>
      <c r="I34" s="2" t="s">
        <v>152</v>
      </c>
      <c r="J34" s="2" t="s">
        <v>141</v>
      </c>
      <c r="K34" s="2" t="s">
        <v>121</v>
      </c>
      <c r="L34" s="2" t="s">
        <v>421</v>
      </c>
      <c r="M34" s="2" t="str">
        <f>IF(TRIM(C34)="","Missing",IF(AND(LEN(TRIM(C34))=10,SUMPRODUCT(--(CODE(MID(TRIM(C34),{1,2,3,4,5,10},1))&gt;=65),--(CODE(MID(TRIM(C34),{1,2,3,4,5,10},1))&lt;=90))=6,ISNUMBER(--MID(TRIM(C34),6,4))),"Valid","Invalid"))</f>
        <v>Valid</v>
      </c>
      <c r="N34" s="2" t="str">
        <f t="shared" si="0"/>
        <v>Valid</v>
      </c>
      <c r="O34" s="2" t="str">
        <f t="shared" si="1"/>
        <v>Valid</v>
      </c>
      <c r="P34" s="2" t="str">
        <f t="shared" si="2"/>
        <v>Valid</v>
      </c>
      <c r="Q34" s="2" t="str">
        <f t="shared" si="3"/>
        <v>Missing</v>
      </c>
      <c r="R34" s="2" t="str">
        <f>IF(TRIM(H34)="","Missing",IF(AND(LEN(TRIM(H34))=11,SUMPRODUCT(--(CODE(MID(TRIM(H34),{1,2,3,4},1))&gt;=65),--(CODE(MID(TRIM(H34),{1,2,3,4},1))&lt;=90))=4,MID(TRIM(H34),5,1)="0"),"Valid","Invalid"))</f>
        <v>Valid</v>
      </c>
      <c r="S34" s="2" t="str">
        <f t="shared" si="4"/>
        <v>Invalid</v>
      </c>
      <c r="T34" s="2" t="str">
        <f t="shared" si="5"/>
        <v>Valid</v>
      </c>
      <c r="U34" s="2">
        <f t="shared" si="6"/>
        <v>2</v>
      </c>
      <c r="V34" s="2" t="str">
        <f t="shared" si="7"/>
        <v>7222310592</v>
      </c>
      <c r="W34" s="2" t="s">
        <v>414</v>
      </c>
      <c r="X34" s="2" t="str">
        <f t="shared" si="8"/>
        <v>Unique</v>
      </c>
    </row>
    <row r="35" spans="1:24" x14ac:dyDescent="0.35">
      <c r="A35" s="2" t="s">
        <v>422</v>
      </c>
      <c r="B35" s="2" t="s">
        <v>423</v>
      </c>
      <c r="C35" s="2" t="s">
        <v>424</v>
      </c>
      <c r="D35" s="2" t="s">
        <v>425</v>
      </c>
      <c r="E35" s="2" t="s">
        <v>426</v>
      </c>
      <c r="F35" s="2" t="s">
        <v>427</v>
      </c>
      <c r="G35" s="15" t="s">
        <v>428</v>
      </c>
      <c r="H35" s="2" t="s">
        <v>429</v>
      </c>
      <c r="I35" s="2" t="s">
        <v>130</v>
      </c>
      <c r="J35" s="2" t="s">
        <v>412</v>
      </c>
      <c r="K35" s="2" t="s">
        <v>121</v>
      </c>
      <c r="L35" s="2" t="s">
        <v>430</v>
      </c>
      <c r="M35" s="2" t="str">
        <f>IF(TRIM(C35)="","Missing",IF(AND(LEN(TRIM(C35))=10,SUMPRODUCT(--(CODE(MID(TRIM(C35),{1,2,3,4,5,10},1))&gt;=65),--(CODE(MID(TRIM(C35),{1,2,3,4,5,10},1))&lt;=90))=6,ISNUMBER(--MID(TRIM(C35),6,4))),"Valid","Invalid"))</f>
        <v>Valid</v>
      </c>
      <c r="N35" s="2" t="str">
        <f t="shared" si="0"/>
        <v>PAN Mismatch</v>
      </c>
      <c r="O35" s="2" t="str">
        <f t="shared" si="1"/>
        <v>Valid</v>
      </c>
      <c r="P35" s="2" t="str">
        <f t="shared" si="2"/>
        <v>Valid</v>
      </c>
      <c r="Q35" s="2" t="str">
        <f t="shared" si="3"/>
        <v>Valid</v>
      </c>
      <c r="R35" s="2" t="str">
        <f>IF(TRIM(H35)="","Missing",IF(AND(LEN(TRIM(H35))=11,SUMPRODUCT(--(CODE(MID(TRIM(H35),{1,2,3,4},1))&gt;=65),--(CODE(MID(TRIM(H35),{1,2,3,4},1))&lt;=90))=4,MID(TRIM(H35),5,1)="0"),"Valid","Invalid"))</f>
        <v>Valid</v>
      </c>
      <c r="S35" s="2" t="str">
        <f t="shared" si="4"/>
        <v>Valid</v>
      </c>
      <c r="T35" s="2" t="str">
        <f t="shared" si="5"/>
        <v>Invalid</v>
      </c>
      <c r="U35" s="2">
        <f t="shared" si="6"/>
        <v>2</v>
      </c>
      <c r="V35" s="2" t="str">
        <f t="shared" si="7"/>
        <v>6384576205</v>
      </c>
      <c r="W35" s="2" t="s">
        <v>422</v>
      </c>
      <c r="X35" s="2" t="str">
        <f t="shared" si="8"/>
        <v>Unique</v>
      </c>
    </row>
    <row r="36" spans="1:24" x14ac:dyDescent="0.35">
      <c r="A36" s="2" t="s">
        <v>431</v>
      </c>
      <c r="B36" s="2" t="s">
        <v>432</v>
      </c>
      <c r="C36" s="2" t="s">
        <v>433</v>
      </c>
      <c r="D36" s="2" t="s">
        <v>434</v>
      </c>
      <c r="E36" s="2" t="s">
        <v>435</v>
      </c>
      <c r="F36" s="2" t="s">
        <v>436</v>
      </c>
      <c r="G36" s="15" t="s">
        <v>437</v>
      </c>
      <c r="H36" s="2" t="s">
        <v>438</v>
      </c>
      <c r="I36" s="2" t="s">
        <v>130</v>
      </c>
      <c r="J36" s="2" t="s">
        <v>231</v>
      </c>
      <c r="K36" s="2" t="s">
        <v>121</v>
      </c>
      <c r="L36" s="2" t="s">
        <v>439</v>
      </c>
      <c r="M36" s="2" t="str">
        <f>IF(TRIM(C36)="","Missing",IF(AND(LEN(TRIM(C36))=10,SUMPRODUCT(--(CODE(MID(TRIM(C36),{1,2,3,4,5,10},1))&gt;=65),--(CODE(MID(TRIM(C36),{1,2,3,4,5,10},1))&lt;=90))=6,ISNUMBER(--MID(TRIM(C36),6,4))),"Valid","Invalid"))</f>
        <v>Valid</v>
      </c>
      <c r="N36" s="2" t="str">
        <f t="shared" si="0"/>
        <v>Valid</v>
      </c>
      <c r="O36" s="2" t="str">
        <f t="shared" si="1"/>
        <v>Valid</v>
      </c>
      <c r="P36" s="2" t="str">
        <f t="shared" si="2"/>
        <v>Valid</v>
      </c>
      <c r="Q36" s="2" t="str">
        <f t="shared" si="3"/>
        <v>Valid</v>
      </c>
      <c r="R36" s="2" t="str">
        <f>IF(TRIM(H36)="","Missing",IF(AND(LEN(TRIM(H36))=11,SUMPRODUCT(--(CODE(MID(TRIM(H36),{1,2,3,4},1))&gt;=65),--(CODE(MID(TRIM(H36),{1,2,3,4},1))&lt;=90))=4,MID(TRIM(H36),5,1)="0"),"Valid","Invalid"))</f>
        <v>Valid</v>
      </c>
      <c r="S36" s="2" t="str">
        <f t="shared" si="4"/>
        <v>Valid</v>
      </c>
      <c r="T36" s="2" t="str">
        <f t="shared" si="5"/>
        <v>Invalid</v>
      </c>
      <c r="U36" s="2">
        <f t="shared" si="6"/>
        <v>1</v>
      </c>
      <c r="V36" s="2" t="str">
        <f t="shared" si="7"/>
        <v>7252500292</v>
      </c>
      <c r="W36" s="2" t="s">
        <v>431</v>
      </c>
      <c r="X36" s="2" t="str">
        <f t="shared" si="8"/>
        <v>Unique</v>
      </c>
    </row>
    <row r="37" spans="1:24" x14ac:dyDescent="0.35">
      <c r="A37" s="2" t="s">
        <v>440</v>
      </c>
      <c r="B37" s="2" t="s">
        <v>441</v>
      </c>
      <c r="C37" s="2" t="s">
        <v>442</v>
      </c>
      <c r="D37" s="2" t="s">
        <v>443</v>
      </c>
      <c r="E37" s="2" t="s">
        <v>444</v>
      </c>
      <c r="F37" s="2" t="s">
        <v>445</v>
      </c>
      <c r="G37" s="15"/>
      <c r="H37" s="2" t="s">
        <v>446</v>
      </c>
      <c r="I37" s="2" t="s">
        <v>130</v>
      </c>
      <c r="J37" s="2" t="s">
        <v>141</v>
      </c>
      <c r="K37" s="2" t="s">
        <v>142</v>
      </c>
      <c r="L37" s="2" t="s">
        <v>447</v>
      </c>
      <c r="M37" s="2" t="str">
        <f>IF(TRIM(C37)="","Missing",IF(AND(LEN(TRIM(C37))=10,SUMPRODUCT(--(CODE(MID(TRIM(C37),{1,2,3,4,5,10},1))&gt;=65),--(CODE(MID(TRIM(C37),{1,2,3,4,5,10},1))&lt;=90))=6,ISNUMBER(--MID(TRIM(C37),6,4))),"Valid","Invalid"))</f>
        <v>Valid</v>
      </c>
      <c r="N37" s="2" t="str">
        <f t="shared" si="0"/>
        <v>Valid</v>
      </c>
      <c r="O37" s="2" t="str">
        <f t="shared" si="1"/>
        <v>Valid</v>
      </c>
      <c r="P37" s="2" t="str">
        <f t="shared" si="2"/>
        <v>Valid</v>
      </c>
      <c r="Q37" s="2" t="str">
        <f t="shared" si="3"/>
        <v>Missing</v>
      </c>
      <c r="R37" s="2" t="str">
        <f>IF(TRIM(H37)="","Missing",IF(AND(LEN(TRIM(H37))=11,SUMPRODUCT(--(CODE(MID(TRIM(H37),{1,2,3,4},1))&gt;=65),--(CODE(MID(TRIM(H37),{1,2,3,4},1))&lt;=90))=4,MID(TRIM(H37),5,1)="0"),"Valid","Invalid"))</f>
        <v>Valid</v>
      </c>
      <c r="S37" s="2" t="str">
        <f t="shared" si="4"/>
        <v>Valid</v>
      </c>
      <c r="T37" s="2" t="str">
        <f t="shared" si="5"/>
        <v>Valid</v>
      </c>
      <c r="U37" s="2">
        <f t="shared" si="6"/>
        <v>1</v>
      </c>
      <c r="V37" s="2" t="str">
        <f t="shared" si="7"/>
        <v>917421607337</v>
      </c>
      <c r="W37" s="2" t="s">
        <v>448</v>
      </c>
      <c r="X37" s="2" t="str">
        <f t="shared" si="8"/>
        <v>Duplicate</v>
      </c>
    </row>
    <row r="38" spans="1:24" x14ac:dyDescent="0.35">
      <c r="A38" s="2" t="s">
        <v>449</v>
      </c>
      <c r="B38" s="2" t="s">
        <v>450</v>
      </c>
      <c r="C38" s="2" t="s">
        <v>451</v>
      </c>
      <c r="D38" s="2" t="s">
        <v>452</v>
      </c>
      <c r="E38" s="2"/>
      <c r="F38" s="2" t="s">
        <v>453</v>
      </c>
      <c r="G38" s="15" t="s">
        <v>454</v>
      </c>
      <c r="H38" s="2" t="s">
        <v>455</v>
      </c>
      <c r="I38" s="2" t="s">
        <v>152</v>
      </c>
      <c r="J38" s="2" t="s">
        <v>174</v>
      </c>
      <c r="K38" s="2" t="s">
        <v>121</v>
      </c>
      <c r="L38" s="2" t="s">
        <v>456</v>
      </c>
      <c r="M38" s="2" t="str">
        <f>IF(TRIM(C38)="","Missing",IF(AND(LEN(TRIM(C38))=10,SUMPRODUCT(--(CODE(MID(TRIM(C38),{1,2,3,4,5,10},1))&gt;=65),--(CODE(MID(TRIM(C38),{1,2,3,4,5,10},1))&lt;=90))=6,ISNUMBER(--MID(TRIM(C38),6,4))),"Valid","Invalid"))</f>
        <v>Invalid</v>
      </c>
      <c r="N38" s="2" t="str">
        <f t="shared" si="0"/>
        <v>Valid</v>
      </c>
      <c r="O38" s="2" t="str">
        <f t="shared" si="1"/>
        <v>Missing</v>
      </c>
      <c r="P38" s="2" t="str">
        <f t="shared" si="2"/>
        <v>Valid</v>
      </c>
      <c r="Q38" s="2" t="str">
        <f t="shared" si="3"/>
        <v>Valid</v>
      </c>
      <c r="R38" s="2" t="str">
        <f>IF(TRIM(H38)="","Missing",IF(AND(LEN(TRIM(H38))=11,SUMPRODUCT(--(CODE(MID(TRIM(H38),{1,2,3,4},1))&gt;=65),--(CODE(MID(TRIM(H38),{1,2,3,4},1))&lt;=90))=4,MID(TRIM(H38),5,1)="0"),"Valid","Invalid"))</f>
        <v>Valid</v>
      </c>
      <c r="S38" s="2" t="str">
        <f t="shared" si="4"/>
        <v>Invalid</v>
      </c>
      <c r="T38" s="2" t="str">
        <f t="shared" si="5"/>
        <v>Valid</v>
      </c>
      <c r="U38" s="2">
        <f t="shared" si="6"/>
        <v>3</v>
      </c>
      <c r="V38" s="2" t="str">
        <f t="shared" si="7"/>
        <v>9827567043</v>
      </c>
      <c r="W38" s="2" t="s">
        <v>449</v>
      </c>
      <c r="X38" s="2" t="str">
        <f t="shared" si="8"/>
        <v>Unique</v>
      </c>
    </row>
    <row r="39" spans="1:24" x14ac:dyDescent="0.35">
      <c r="A39" s="2" t="s">
        <v>457</v>
      </c>
      <c r="B39" s="2" t="s">
        <v>458</v>
      </c>
      <c r="C39" s="2" t="s">
        <v>459</v>
      </c>
      <c r="D39" s="2" t="s">
        <v>460</v>
      </c>
      <c r="E39" s="2" t="s">
        <v>461</v>
      </c>
      <c r="F39" s="2" t="s">
        <v>462</v>
      </c>
      <c r="G39" s="15" t="s">
        <v>463</v>
      </c>
      <c r="H39" s="2" t="s">
        <v>464</v>
      </c>
      <c r="I39" s="2" t="s">
        <v>130</v>
      </c>
      <c r="J39" s="2" t="s">
        <v>253</v>
      </c>
      <c r="K39" s="2" t="s">
        <v>121</v>
      </c>
      <c r="L39" s="2" t="s">
        <v>465</v>
      </c>
      <c r="M39" s="2" t="str">
        <f>IF(TRIM(C39)="","Missing",IF(AND(LEN(TRIM(C39))=10,SUMPRODUCT(--(CODE(MID(TRIM(C39),{1,2,3,4,5,10},1))&gt;=65),--(CODE(MID(TRIM(C39),{1,2,3,4,5,10},1))&lt;=90))=6,ISNUMBER(--MID(TRIM(C39),6,4))),"Valid","Invalid"))</f>
        <v>Valid</v>
      </c>
      <c r="N39" s="2" t="str">
        <f t="shared" si="0"/>
        <v>Valid</v>
      </c>
      <c r="O39" s="2" t="str">
        <f t="shared" si="1"/>
        <v>Valid</v>
      </c>
      <c r="P39" s="2" t="str">
        <f t="shared" si="2"/>
        <v>Valid</v>
      </c>
      <c r="Q39" s="2" t="str">
        <f t="shared" si="3"/>
        <v>Valid</v>
      </c>
      <c r="R39" s="2" t="str">
        <f>IF(TRIM(H39)="","Missing",IF(AND(LEN(TRIM(H39))=11,SUMPRODUCT(--(CODE(MID(TRIM(H39),{1,2,3,4},1))&gt;=65),--(CODE(MID(TRIM(H39),{1,2,3,4},1))&lt;=90))=4,MID(TRIM(H39),5,1)="0"),"Valid","Invalid"))</f>
        <v>Valid</v>
      </c>
      <c r="S39" s="2" t="str">
        <f t="shared" si="4"/>
        <v>Valid</v>
      </c>
      <c r="T39" s="2" t="str">
        <f t="shared" si="5"/>
        <v>Invalid</v>
      </c>
      <c r="U39" s="2">
        <f t="shared" si="6"/>
        <v>1</v>
      </c>
      <c r="V39" s="2" t="str">
        <f t="shared" si="7"/>
        <v>6472760122</v>
      </c>
      <c r="W39" s="2" t="s">
        <v>457</v>
      </c>
      <c r="X39" s="2" t="str">
        <f t="shared" si="8"/>
        <v>Unique</v>
      </c>
    </row>
    <row r="40" spans="1:24" x14ac:dyDescent="0.35">
      <c r="A40" s="2" t="s">
        <v>466</v>
      </c>
      <c r="B40" s="2" t="s">
        <v>467</v>
      </c>
      <c r="C40" s="2" t="s">
        <v>468</v>
      </c>
      <c r="D40" s="2" t="s">
        <v>469</v>
      </c>
      <c r="E40" s="2" t="s">
        <v>470</v>
      </c>
      <c r="F40" s="2" t="s">
        <v>471</v>
      </c>
      <c r="G40" s="15" t="s">
        <v>472</v>
      </c>
      <c r="H40" s="2" t="s">
        <v>473</v>
      </c>
      <c r="I40" s="2" t="s">
        <v>130</v>
      </c>
      <c r="J40" s="2" t="s">
        <v>204</v>
      </c>
      <c r="K40" s="2" t="s">
        <v>121</v>
      </c>
      <c r="L40" s="2" t="s">
        <v>474</v>
      </c>
      <c r="M40" s="2" t="str">
        <f>IF(TRIM(C40)="","Missing",IF(AND(LEN(TRIM(C40))=10,SUMPRODUCT(--(CODE(MID(TRIM(C40),{1,2,3,4,5,10},1))&gt;=65),--(CODE(MID(TRIM(C40),{1,2,3,4,5,10},1))&lt;=90))=6,ISNUMBER(--MID(TRIM(C40),6,4))),"Valid","Invalid"))</f>
        <v>Valid</v>
      </c>
      <c r="N40" s="2" t="str">
        <f t="shared" si="0"/>
        <v>Valid</v>
      </c>
      <c r="O40" s="2" t="str">
        <f t="shared" si="1"/>
        <v>Valid</v>
      </c>
      <c r="P40" s="2" t="str">
        <f t="shared" si="2"/>
        <v>Valid</v>
      </c>
      <c r="Q40" s="2" t="str">
        <f t="shared" si="3"/>
        <v>Valid</v>
      </c>
      <c r="R40" s="2" t="str">
        <f>IF(TRIM(H40)="","Missing",IF(AND(LEN(TRIM(H40))=11,SUMPRODUCT(--(CODE(MID(TRIM(H40),{1,2,3,4},1))&gt;=65),--(CODE(MID(TRIM(H40),{1,2,3,4},1))&lt;=90))=4,MID(TRIM(H40),5,1)="0"),"Valid","Invalid"))</f>
        <v>Valid</v>
      </c>
      <c r="S40" s="2" t="str">
        <f t="shared" si="4"/>
        <v>Valid</v>
      </c>
      <c r="T40" s="2" t="str">
        <f t="shared" si="5"/>
        <v>Invalid</v>
      </c>
      <c r="U40" s="2">
        <f t="shared" si="6"/>
        <v>1</v>
      </c>
      <c r="V40" s="2" t="str">
        <f t="shared" si="7"/>
        <v>919026952499</v>
      </c>
      <c r="W40" s="2" t="s">
        <v>466</v>
      </c>
      <c r="X40" s="2" t="str">
        <f t="shared" si="8"/>
        <v>Unique</v>
      </c>
    </row>
    <row r="41" spans="1:24" x14ac:dyDescent="0.35">
      <c r="A41" s="2" t="s">
        <v>475</v>
      </c>
      <c r="B41" s="2" t="s">
        <v>476</v>
      </c>
      <c r="C41" s="2" t="s">
        <v>477</v>
      </c>
      <c r="D41" s="2" t="s">
        <v>478</v>
      </c>
      <c r="E41" s="2" t="s">
        <v>479</v>
      </c>
      <c r="F41" s="2" t="s">
        <v>480</v>
      </c>
      <c r="G41" s="15" t="s">
        <v>481</v>
      </c>
      <c r="H41" s="2" t="s">
        <v>482</v>
      </c>
      <c r="I41" s="2" t="s">
        <v>130</v>
      </c>
      <c r="J41" s="2" t="s">
        <v>174</v>
      </c>
      <c r="K41" s="2" t="s">
        <v>121</v>
      </c>
      <c r="L41" s="2" t="s">
        <v>483</v>
      </c>
      <c r="M41" s="2" t="str">
        <f>IF(TRIM(C41)="","Missing",IF(AND(LEN(TRIM(C41))=10,SUMPRODUCT(--(CODE(MID(TRIM(C41),{1,2,3,4,5,10},1))&gt;=65),--(CODE(MID(TRIM(C41),{1,2,3,4,5,10},1))&lt;=90))=6,ISNUMBER(--MID(TRIM(C41),6,4))),"Valid","Invalid"))</f>
        <v>Valid</v>
      </c>
      <c r="N41" s="2" t="str">
        <f t="shared" si="0"/>
        <v>Valid</v>
      </c>
      <c r="O41" s="2" t="str">
        <f t="shared" si="1"/>
        <v>Valid</v>
      </c>
      <c r="P41" s="2" t="str">
        <f t="shared" si="2"/>
        <v>Valid</v>
      </c>
      <c r="Q41" s="2" t="str">
        <f t="shared" si="3"/>
        <v>Valid</v>
      </c>
      <c r="R41" s="2" t="str">
        <f>IF(TRIM(H41)="","Missing",IF(AND(LEN(TRIM(H41))=11,SUMPRODUCT(--(CODE(MID(TRIM(H41),{1,2,3,4},1))&gt;=65),--(CODE(MID(TRIM(H41),{1,2,3,4},1))&lt;=90))=4,MID(TRIM(H41),5,1)="0"),"Valid","Invalid"))</f>
        <v>Valid</v>
      </c>
      <c r="S41" s="2" t="str">
        <f t="shared" si="4"/>
        <v>Valid</v>
      </c>
      <c r="T41" s="2" t="str">
        <f t="shared" si="5"/>
        <v>Valid</v>
      </c>
      <c r="U41" s="2">
        <f t="shared" si="6"/>
        <v>0</v>
      </c>
      <c r="V41" s="2" t="str">
        <f t="shared" si="7"/>
        <v>917144270312</v>
      </c>
      <c r="W41" s="2" t="s">
        <v>475</v>
      </c>
      <c r="X41" s="2" t="str">
        <f t="shared" si="8"/>
        <v>Unique</v>
      </c>
    </row>
    <row r="42" spans="1:24" x14ac:dyDescent="0.35">
      <c r="A42" s="2" t="s">
        <v>484</v>
      </c>
      <c r="B42" s="2" t="s">
        <v>485</v>
      </c>
      <c r="C42" s="2" t="s">
        <v>486</v>
      </c>
      <c r="D42" s="2" t="s">
        <v>487</v>
      </c>
      <c r="E42" s="2" t="s">
        <v>488</v>
      </c>
      <c r="F42" s="2" t="s">
        <v>489</v>
      </c>
      <c r="G42" s="15" t="s">
        <v>490</v>
      </c>
      <c r="H42" s="2" t="s">
        <v>491</v>
      </c>
      <c r="I42" s="2" t="s">
        <v>152</v>
      </c>
      <c r="J42" s="2" t="s">
        <v>359</v>
      </c>
      <c r="K42" s="2" t="s">
        <v>121</v>
      </c>
      <c r="L42" s="2" t="s">
        <v>492</v>
      </c>
      <c r="M42" s="2" t="str">
        <f>IF(TRIM(C42)="","Missing",IF(AND(LEN(TRIM(C42))=10,SUMPRODUCT(--(CODE(MID(TRIM(C42),{1,2,3,4,5,10},1))&gt;=65),--(CODE(MID(TRIM(C42),{1,2,3,4,5,10},1))&lt;=90))=6,ISNUMBER(--MID(TRIM(C42),6,4))),"Valid","Invalid"))</f>
        <v>Invalid</v>
      </c>
      <c r="N42" s="2" t="str">
        <f t="shared" si="0"/>
        <v>Valid</v>
      </c>
      <c r="O42" s="2" t="str">
        <f t="shared" si="1"/>
        <v>Valid</v>
      </c>
      <c r="P42" s="2" t="str">
        <f t="shared" si="2"/>
        <v>Valid</v>
      </c>
      <c r="Q42" s="2" t="str">
        <f t="shared" si="3"/>
        <v>Valid</v>
      </c>
      <c r="R42" s="2" t="str">
        <f>IF(TRIM(H42)="","Missing",IF(AND(LEN(TRIM(H42))=11,SUMPRODUCT(--(CODE(MID(TRIM(H42),{1,2,3,4},1))&gt;=65),--(CODE(MID(TRIM(H42),{1,2,3,4},1))&lt;=90))=4,MID(TRIM(H42),5,1)="0"),"Valid","Invalid"))</f>
        <v>Valid</v>
      </c>
      <c r="S42" s="2" t="str">
        <f t="shared" si="4"/>
        <v>Invalid</v>
      </c>
      <c r="T42" s="2" t="str">
        <f t="shared" si="5"/>
        <v>Valid</v>
      </c>
      <c r="U42" s="2">
        <f t="shared" si="6"/>
        <v>2</v>
      </c>
      <c r="V42" s="2" t="str">
        <f t="shared" si="7"/>
        <v>7863840666</v>
      </c>
      <c r="W42" s="2" t="s">
        <v>484</v>
      </c>
      <c r="X42" s="2" t="str">
        <f t="shared" si="8"/>
        <v>Duplicate</v>
      </c>
    </row>
    <row r="43" spans="1:24" x14ac:dyDescent="0.35">
      <c r="A43" s="2" t="s">
        <v>493</v>
      </c>
      <c r="B43" s="2" t="s">
        <v>494</v>
      </c>
      <c r="C43" s="2" t="s">
        <v>495</v>
      </c>
      <c r="D43" s="2"/>
      <c r="E43" s="2"/>
      <c r="F43" s="2" t="s">
        <v>496</v>
      </c>
      <c r="G43" s="15" t="s">
        <v>497</v>
      </c>
      <c r="H43" s="2" t="s">
        <v>498</v>
      </c>
      <c r="I43" s="2" t="s">
        <v>130</v>
      </c>
      <c r="J43" s="2" t="s">
        <v>253</v>
      </c>
      <c r="K43" s="2" t="s">
        <v>121</v>
      </c>
      <c r="L43" s="2" t="s">
        <v>499</v>
      </c>
      <c r="M43" s="2" t="str">
        <f>IF(TRIM(C43)="","Missing",IF(AND(LEN(TRIM(C43))=10,SUMPRODUCT(--(CODE(MID(TRIM(C43),{1,2,3,4,5,10},1))&gt;=65),--(CODE(MID(TRIM(C43),{1,2,3,4,5,10},1))&lt;=90))=6,ISNUMBER(--MID(TRIM(C43),6,4))),"Valid","Invalid"))</f>
        <v>Valid</v>
      </c>
      <c r="N43" s="2" t="str">
        <f t="shared" si="0"/>
        <v>Missing</v>
      </c>
      <c r="O43" s="2" t="str">
        <f t="shared" si="1"/>
        <v>Missing</v>
      </c>
      <c r="P43" s="2" t="str">
        <f t="shared" si="2"/>
        <v>Valid</v>
      </c>
      <c r="Q43" s="2" t="str">
        <f t="shared" si="3"/>
        <v>Valid</v>
      </c>
      <c r="R43" s="2" t="str">
        <f>IF(TRIM(H43)="","Missing",IF(AND(LEN(TRIM(H43))=11,SUMPRODUCT(--(CODE(MID(TRIM(H43),{1,2,3,4},1))&gt;=65),--(CODE(MID(TRIM(H43),{1,2,3,4},1))&lt;=90))=4,MID(TRIM(H43),5,1)="0"),"Valid","Invalid"))</f>
        <v>Valid</v>
      </c>
      <c r="S43" s="2" t="str">
        <f t="shared" si="4"/>
        <v>Valid</v>
      </c>
      <c r="T43" s="2" t="str">
        <f t="shared" si="5"/>
        <v>Invalid</v>
      </c>
      <c r="U43" s="2">
        <f t="shared" si="6"/>
        <v>3</v>
      </c>
      <c r="V43" s="2" t="str">
        <f t="shared" si="7"/>
        <v>918578610357</v>
      </c>
      <c r="W43" s="2" t="s">
        <v>493</v>
      </c>
      <c r="X43" s="2" t="str">
        <f t="shared" si="8"/>
        <v>Unique</v>
      </c>
    </row>
    <row r="44" spans="1:24" x14ac:dyDescent="0.35">
      <c r="A44" s="2" t="s">
        <v>500</v>
      </c>
      <c r="B44" s="2" t="s">
        <v>501</v>
      </c>
      <c r="C44" s="2" t="s">
        <v>502</v>
      </c>
      <c r="D44" s="2" t="s">
        <v>503</v>
      </c>
      <c r="E44" s="2" t="s">
        <v>504</v>
      </c>
      <c r="F44" s="2" t="s">
        <v>505</v>
      </c>
      <c r="G44" s="15" t="s">
        <v>506</v>
      </c>
      <c r="H44" s="2" t="s">
        <v>507</v>
      </c>
      <c r="I44" s="2" t="s">
        <v>130</v>
      </c>
      <c r="J44" s="2" t="s">
        <v>141</v>
      </c>
      <c r="K44" s="2" t="s">
        <v>121</v>
      </c>
      <c r="L44" s="2" t="s">
        <v>508</v>
      </c>
      <c r="M44" s="2" t="str">
        <f>IF(TRIM(C44)="","Missing",IF(AND(LEN(TRIM(C44))=10,SUMPRODUCT(--(CODE(MID(TRIM(C44),{1,2,3,4,5,10},1))&gt;=65),--(CODE(MID(TRIM(C44),{1,2,3,4,5,10},1))&lt;=90))=6,ISNUMBER(--MID(TRIM(C44),6,4))),"Valid","Invalid"))</f>
        <v>Valid</v>
      </c>
      <c r="N44" s="2" t="str">
        <f t="shared" si="0"/>
        <v>Valid</v>
      </c>
      <c r="O44" s="2" t="str">
        <f t="shared" si="1"/>
        <v>Valid</v>
      </c>
      <c r="P44" s="2" t="str">
        <f t="shared" si="2"/>
        <v>Valid</v>
      </c>
      <c r="Q44" s="2" t="str">
        <f t="shared" si="3"/>
        <v>Valid</v>
      </c>
      <c r="R44" s="2" t="str">
        <f>IF(TRIM(H44)="","Missing",IF(AND(LEN(TRIM(H44))=11,SUMPRODUCT(--(CODE(MID(TRIM(H44),{1,2,3,4},1))&gt;=65),--(CODE(MID(TRIM(H44),{1,2,3,4},1))&lt;=90))=4,MID(TRIM(H44),5,1)="0"),"Valid","Invalid"))</f>
        <v>Valid</v>
      </c>
      <c r="S44" s="2" t="str">
        <f t="shared" si="4"/>
        <v>Valid</v>
      </c>
      <c r="T44" s="2" t="str">
        <f t="shared" si="5"/>
        <v>Valid</v>
      </c>
      <c r="U44" s="2">
        <f t="shared" si="6"/>
        <v>0</v>
      </c>
      <c r="V44" s="2" t="str">
        <f t="shared" si="7"/>
        <v>9453521818</v>
      </c>
      <c r="W44" s="2" t="s">
        <v>500</v>
      </c>
      <c r="X44" s="2" t="str">
        <f t="shared" si="8"/>
        <v>Unique</v>
      </c>
    </row>
    <row r="45" spans="1:24" x14ac:dyDescent="0.35">
      <c r="A45" s="2" t="s">
        <v>509</v>
      </c>
      <c r="B45" s="2" t="s">
        <v>510</v>
      </c>
      <c r="C45" s="2" t="s">
        <v>511</v>
      </c>
      <c r="D45" s="2" t="s">
        <v>512</v>
      </c>
      <c r="E45" s="2" t="s">
        <v>513</v>
      </c>
      <c r="F45" s="2" t="s">
        <v>514</v>
      </c>
      <c r="G45" s="15" t="s">
        <v>515</v>
      </c>
      <c r="H45" s="2" t="s">
        <v>516</v>
      </c>
      <c r="I45" s="2" t="s">
        <v>119</v>
      </c>
      <c r="J45" s="2" t="s">
        <v>204</v>
      </c>
      <c r="K45" s="2" t="s">
        <v>121</v>
      </c>
      <c r="L45" s="2" t="s">
        <v>517</v>
      </c>
      <c r="M45" s="2" t="str">
        <f>IF(TRIM(C45)="","Missing",IF(AND(LEN(TRIM(C45))=10,SUMPRODUCT(--(CODE(MID(TRIM(C45),{1,2,3,4,5,10},1))&gt;=65),--(CODE(MID(TRIM(C45),{1,2,3,4,5,10},1))&lt;=90))=6,ISNUMBER(--MID(TRIM(C45),6,4))),"Valid","Invalid"))</f>
        <v>Valid</v>
      </c>
      <c r="N45" s="2" t="str">
        <f t="shared" si="0"/>
        <v>Valid</v>
      </c>
      <c r="O45" s="2" t="str">
        <f t="shared" si="1"/>
        <v>Valid</v>
      </c>
      <c r="P45" s="2" t="str">
        <f t="shared" si="2"/>
        <v>Valid</v>
      </c>
      <c r="Q45" s="2" t="str">
        <f t="shared" si="3"/>
        <v>Valid</v>
      </c>
      <c r="R45" s="2" t="str">
        <f>IF(TRIM(H45)="","Missing",IF(AND(LEN(TRIM(H45))=11,SUMPRODUCT(--(CODE(MID(TRIM(H45),{1,2,3,4},1))&gt;=65),--(CODE(MID(TRIM(H45),{1,2,3,4},1))&lt;=90))=4,MID(TRIM(H45),5,1)="0"),"Valid","Invalid"))</f>
        <v>Invalid</v>
      </c>
      <c r="S45" s="2" t="str">
        <f t="shared" si="4"/>
        <v>Invalid</v>
      </c>
      <c r="T45" s="2" t="str">
        <f t="shared" si="5"/>
        <v>Invalid</v>
      </c>
      <c r="U45" s="2">
        <f t="shared" si="6"/>
        <v>3</v>
      </c>
      <c r="V45" s="2" t="str">
        <f t="shared" si="7"/>
        <v>916943969078</v>
      </c>
      <c r="W45" s="2" t="s">
        <v>509</v>
      </c>
      <c r="X45" s="2" t="str">
        <f t="shared" si="8"/>
        <v>Unique</v>
      </c>
    </row>
    <row r="46" spans="1:24" x14ac:dyDescent="0.35">
      <c r="A46" s="2" t="s">
        <v>518</v>
      </c>
      <c r="B46" s="2" t="s">
        <v>519</v>
      </c>
      <c r="C46" s="2" t="s">
        <v>520</v>
      </c>
      <c r="D46" s="2" t="s">
        <v>521</v>
      </c>
      <c r="E46" s="2" t="s">
        <v>522</v>
      </c>
      <c r="F46" s="2" t="s">
        <v>523</v>
      </c>
      <c r="G46" s="15" t="s">
        <v>524</v>
      </c>
      <c r="H46" s="2" t="s">
        <v>525</v>
      </c>
      <c r="I46" s="2" t="s">
        <v>130</v>
      </c>
      <c r="J46" s="2" t="s">
        <v>526</v>
      </c>
      <c r="K46" s="2" t="s">
        <v>121</v>
      </c>
      <c r="L46" s="2" t="s">
        <v>527</v>
      </c>
      <c r="M46" s="2" t="str">
        <f>IF(TRIM(C46)="","Missing",IF(AND(LEN(TRIM(C46))=10,SUMPRODUCT(--(CODE(MID(TRIM(C46),{1,2,3,4,5,10},1))&gt;=65),--(CODE(MID(TRIM(C46),{1,2,3,4,5,10},1))&lt;=90))=6,ISNUMBER(--MID(TRIM(C46),6,4))),"Valid","Invalid"))</f>
        <v>Valid</v>
      </c>
      <c r="N46" s="2" t="str">
        <f t="shared" si="0"/>
        <v>Valid</v>
      </c>
      <c r="O46" s="2" t="str">
        <f t="shared" si="1"/>
        <v>Valid</v>
      </c>
      <c r="P46" s="2" t="str">
        <f t="shared" si="2"/>
        <v>Valid</v>
      </c>
      <c r="Q46" s="2" t="str">
        <f t="shared" si="3"/>
        <v>Valid</v>
      </c>
      <c r="R46" s="2" t="str">
        <f>IF(TRIM(H46)="","Missing",IF(AND(LEN(TRIM(H46))=11,SUMPRODUCT(--(CODE(MID(TRIM(H46),{1,2,3,4},1))&gt;=65),--(CODE(MID(TRIM(H46),{1,2,3,4},1))&lt;=90))=4,MID(TRIM(H46),5,1)="0"),"Valid","Invalid"))</f>
        <v>Valid</v>
      </c>
      <c r="S46" s="2" t="str">
        <f t="shared" si="4"/>
        <v>Valid</v>
      </c>
      <c r="T46" s="2" t="str">
        <f t="shared" si="5"/>
        <v>Invalid</v>
      </c>
      <c r="U46" s="2">
        <f t="shared" si="6"/>
        <v>1</v>
      </c>
      <c r="V46" s="2" t="str">
        <f t="shared" si="7"/>
        <v>917938525800</v>
      </c>
      <c r="W46" s="2" t="s">
        <v>518</v>
      </c>
      <c r="X46" s="2" t="str">
        <f t="shared" si="8"/>
        <v>Unique</v>
      </c>
    </row>
    <row r="47" spans="1:24" x14ac:dyDescent="0.35">
      <c r="A47" s="2" t="s">
        <v>528</v>
      </c>
      <c r="B47" s="2" t="s">
        <v>529</v>
      </c>
      <c r="C47" s="2" t="s">
        <v>530</v>
      </c>
      <c r="D47" s="2" t="s">
        <v>531</v>
      </c>
      <c r="E47" s="2" t="s">
        <v>532</v>
      </c>
      <c r="F47" s="2" t="s">
        <v>533</v>
      </c>
      <c r="G47" s="15" t="s">
        <v>534</v>
      </c>
      <c r="H47" s="2" t="s">
        <v>535</v>
      </c>
      <c r="I47" s="2" t="s">
        <v>130</v>
      </c>
      <c r="J47" s="2" t="s">
        <v>131</v>
      </c>
      <c r="K47" s="2" t="s">
        <v>121</v>
      </c>
      <c r="L47" s="2" t="s">
        <v>536</v>
      </c>
      <c r="M47" s="2" t="str">
        <f>IF(TRIM(C47)="","Missing",IF(AND(LEN(TRIM(C47))=10,SUMPRODUCT(--(CODE(MID(TRIM(C47),{1,2,3,4,5,10},1))&gt;=65),--(CODE(MID(TRIM(C47),{1,2,3,4,5,10},1))&lt;=90))=6,ISNUMBER(--MID(TRIM(C47),6,4))),"Valid","Invalid"))</f>
        <v>Invalid</v>
      </c>
      <c r="N47" s="2" t="str">
        <f t="shared" si="0"/>
        <v>Invalid</v>
      </c>
      <c r="O47" s="2" t="str">
        <f t="shared" si="1"/>
        <v>Invalid</v>
      </c>
      <c r="P47" s="2" t="str">
        <f t="shared" si="2"/>
        <v>Valid</v>
      </c>
      <c r="Q47" s="2" t="str">
        <f t="shared" si="3"/>
        <v>Valid</v>
      </c>
      <c r="R47" s="2" t="str">
        <f>IF(TRIM(H47)="","Missing",IF(AND(LEN(TRIM(H47))=11,SUMPRODUCT(--(CODE(MID(TRIM(H47),{1,2,3,4},1))&gt;=65),--(CODE(MID(TRIM(H47),{1,2,3,4},1))&lt;=90))=4,MID(TRIM(H47),5,1)="0"),"Valid","Invalid"))</f>
        <v>Valid</v>
      </c>
      <c r="S47" s="2" t="str">
        <f t="shared" si="4"/>
        <v>Valid</v>
      </c>
      <c r="T47" s="2" t="str">
        <f t="shared" si="5"/>
        <v>Invalid</v>
      </c>
      <c r="U47" s="2">
        <f t="shared" si="6"/>
        <v>4</v>
      </c>
      <c r="V47" s="2" t="str">
        <f t="shared" si="7"/>
        <v>918637454990</v>
      </c>
      <c r="W47" s="2" t="s">
        <v>528</v>
      </c>
      <c r="X47" s="2" t="str">
        <f t="shared" si="8"/>
        <v>Unique</v>
      </c>
    </row>
    <row r="48" spans="1:24" x14ac:dyDescent="0.35">
      <c r="A48" s="2" t="s">
        <v>537</v>
      </c>
      <c r="B48" s="2" t="s">
        <v>538</v>
      </c>
      <c r="C48" s="2" t="s">
        <v>539</v>
      </c>
      <c r="D48" s="2" t="s">
        <v>540</v>
      </c>
      <c r="E48" s="2" t="s">
        <v>541</v>
      </c>
      <c r="F48" s="2" t="s">
        <v>542</v>
      </c>
      <c r="G48" s="15" t="s">
        <v>543</v>
      </c>
      <c r="H48" s="2" t="s">
        <v>544</v>
      </c>
      <c r="I48" s="2" t="s">
        <v>242</v>
      </c>
      <c r="J48" s="2" t="s">
        <v>164</v>
      </c>
      <c r="K48" s="2" t="s">
        <v>121</v>
      </c>
      <c r="L48" s="2" t="s">
        <v>545</v>
      </c>
      <c r="M48" s="2" t="str">
        <f>IF(TRIM(C48)="","Missing",IF(AND(LEN(TRIM(C48))=10,SUMPRODUCT(--(CODE(MID(TRIM(C48),{1,2,3,4,5,10},1))&gt;=65),--(CODE(MID(TRIM(C48),{1,2,3,4,5,10},1))&lt;=90))=6,ISNUMBER(--MID(TRIM(C48),6,4))),"Valid","Invalid"))</f>
        <v>Valid</v>
      </c>
      <c r="N48" s="2" t="str">
        <f t="shared" si="0"/>
        <v>Valid</v>
      </c>
      <c r="O48" s="2" t="str">
        <f t="shared" si="1"/>
        <v>Valid</v>
      </c>
      <c r="P48" s="2" t="str">
        <f t="shared" si="2"/>
        <v>Valid</v>
      </c>
      <c r="Q48" s="2" t="str">
        <f t="shared" si="3"/>
        <v>Valid</v>
      </c>
      <c r="R48" s="2" t="str">
        <f>IF(TRIM(H48)="","Missing",IF(AND(LEN(TRIM(H48))=11,SUMPRODUCT(--(CODE(MID(TRIM(H48),{1,2,3,4},1))&gt;=65),--(CODE(MID(TRIM(H48),{1,2,3,4},1))&lt;=90))=4,MID(TRIM(H48),5,1)="0"),"Valid","Invalid"))</f>
        <v>Valid</v>
      </c>
      <c r="S48" s="2" t="str">
        <f t="shared" si="4"/>
        <v>Invalid</v>
      </c>
      <c r="T48" s="2" t="str">
        <f t="shared" si="5"/>
        <v>Valid</v>
      </c>
      <c r="U48" s="2">
        <f t="shared" si="6"/>
        <v>1</v>
      </c>
      <c r="V48" s="2" t="str">
        <f t="shared" si="7"/>
        <v>919895009751</v>
      </c>
      <c r="W48" s="2" t="s">
        <v>537</v>
      </c>
      <c r="X48" s="2" t="str">
        <f t="shared" si="8"/>
        <v>Unique</v>
      </c>
    </row>
    <row r="49" spans="1:24" x14ac:dyDescent="0.35">
      <c r="A49" s="2" t="s">
        <v>546</v>
      </c>
      <c r="B49" s="2" t="s">
        <v>547</v>
      </c>
      <c r="C49" s="2" t="s">
        <v>548</v>
      </c>
      <c r="D49" s="2" t="s">
        <v>549</v>
      </c>
      <c r="E49" s="2" t="s">
        <v>550</v>
      </c>
      <c r="F49" s="2" t="s">
        <v>551</v>
      </c>
      <c r="G49" s="15" t="s">
        <v>552</v>
      </c>
      <c r="H49" s="2" t="s">
        <v>553</v>
      </c>
      <c r="I49" s="2" t="s">
        <v>152</v>
      </c>
      <c r="J49" s="2" t="s">
        <v>164</v>
      </c>
      <c r="K49" s="2" t="s">
        <v>121</v>
      </c>
      <c r="L49" s="2" t="s">
        <v>554</v>
      </c>
      <c r="M49" s="2" t="str">
        <f>IF(TRIM(C49)="","Missing",IF(AND(LEN(TRIM(C49))=10,SUMPRODUCT(--(CODE(MID(TRIM(C49),{1,2,3,4,5,10},1))&gt;=65),--(CODE(MID(TRIM(C49),{1,2,3,4,5,10},1))&lt;=90))=6,ISNUMBER(--MID(TRIM(C49),6,4))),"Valid","Invalid"))</f>
        <v>Valid</v>
      </c>
      <c r="N49" s="2" t="str">
        <f t="shared" si="0"/>
        <v>PAN Mismatch</v>
      </c>
      <c r="O49" s="2" t="str">
        <f t="shared" si="1"/>
        <v>Valid</v>
      </c>
      <c r="P49" s="2" t="str">
        <f t="shared" si="2"/>
        <v>Valid</v>
      </c>
      <c r="Q49" s="2" t="str">
        <f t="shared" si="3"/>
        <v>Valid</v>
      </c>
      <c r="R49" s="2" t="str">
        <f>IF(TRIM(H49)="","Missing",IF(AND(LEN(TRIM(H49))=11,SUMPRODUCT(--(CODE(MID(TRIM(H49),{1,2,3,4},1))&gt;=65),--(CODE(MID(TRIM(H49),{1,2,3,4},1))&lt;=90))=4,MID(TRIM(H49),5,1)="0"),"Valid","Invalid"))</f>
        <v>Valid</v>
      </c>
      <c r="S49" s="2" t="str">
        <f t="shared" si="4"/>
        <v>Invalid</v>
      </c>
      <c r="T49" s="2" t="str">
        <f t="shared" si="5"/>
        <v>Valid</v>
      </c>
      <c r="U49" s="2">
        <f t="shared" si="6"/>
        <v>2</v>
      </c>
      <c r="V49" s="2" t="str">
        <f t="shared" si="7"/>
        <v>8814876963</v>
      </c>
      <c r="W49" s="2" t="s">
        <v>546</v>
      </c>
      <c r="X49" s="2" t="str">
        <f t="shared" si="8"/>
        <v>Unique</v>
      </c>
    </row>
    <row r="50" spans="1:24" x14ac:dyDescent="0.35">
      <c r="A50" s="2" t="s">
        <v>555</v>
      </c>
      <c r="B50" s="2" t="s">
        <v>556</v>
      </c>
      <c r="C50" s="2" t="s">
        <v>557</v>
      </c>
      <c r="D50" s="2" t="s">
        <v>558</v>
      </c>
      <c r="E50" s="2" t="s">
        <v>559</v>
      </c>
      <c r="F50" s="2" t="s">
        <v>560</v>
      </c>
      <c r="G50" s="15" t="s">
        <v>561</v>
      </c>
      <c r="H50" s="2" t="s">
        <v>562</v>
      </c>
      <c r="I50" s="2" t="s">
        <v>130</v>
      </c>
      <c r="J50" s="2" t="s">
        <v>563</v>
      </c>
      <c r="K50" s="2" t="s">
        <v>121</v>
      </c>
      <c r="L50" s="2" t="s">
        <v>564</v>
      </c>
      <c r="M50" s="2" t="str">
        <f>IF(TRIM(C50)="","Missing",IF(AND(LEN(TRIM(C50))=10,SUMPRODUCT(--(CODE(MID(TRIM(C50),{1,2,3,4,5,10},1))&gt;=65),--(CODE(MID(TRIM(C50),{1,2,3,4,5,10},1))&lt;=90))=6,ISNUMBER(--MID(TRIM(C50),6,4))),"Valid","Invalid"))</f>
        <v>Valid</v>
      </c>
      <c r="N50" s="2" t="str">
        <f t="shared" si="0"/>
        <v>Valid</v>
      </c>
      <c r="O50" s="2" t="str">
        <f t="shared" si="1"/>
        <v>Valid</v>
      </c>
      <c r="P50" s="2" t="str">
        <f t="shared" si="2"/>
        <v>Valid</v>
      </c>
      <c r="Q50" s="2" t="str">
        <f t="shared" si="3"/>
        <v>Valid</v>
      </c>
      <c r="R50" s="2" t="str">
        <f>IF(TRIM(H50)="","Missing",IF(AND(LEN(TRIM(H50))=11,SUMPRODUCT(--(CODE(MID(TRIM(H50),{1,2,3,4},1))&gt;=65),--(CODE(MID(TRIM(H50),{1,2,3,4},1))&lt;=90))=4,MID(TRIM(H50),5,1)="0"),"Valid","Invalid"))</f>
        <v>Valid</v>
      </c>
      <c r="S50" s="2" t="str">
        <f t="shared" si="4"/>
        <v>Valid</v>
      </c>
      <c r="T50" s="2" t="str">
        <f t="shared" si="5"/>
        <v>Invalid</v>
      </c>
      <c r="U50" s="2">
        <f t="shared" si="6"/>
        <v>1</v>
      </c>
      <c r="V50" s="2" t="str">
        <f t="shared" si="7"/>
        <v>6752245933</v>
      </c>
      <c r="W50" s="2" t="s">
        <v>555</v>
      </c>
      <c r="X50" s="2" t="str">
        <f t="shared" si="8"/>
        <v>Unique</v>
      </c>
    </row>
    <row r="51" spans="1:24" x14ac:dyDescent="0.35">
      <c r="A51" s="2" t="s">
        <v>565</v>
      </c>
      <c r="B51" s="2" t="s">
        <v>566</v>
      </c>
      <c r="C51" s="2" t="s">
        <v>567</v>
      </c>
      <c r="D51" s="2" t="s">
        <v>568</v>
      </c>
      <c r="E51" s="2" t="s">
        <v>569</v>
      </c>
      <c r="F51" s="2" t="s">
        <v>570</v>
      </c>
      <c r="G51" s="15" t="s">
        <v>571</v>
      </c>
      <c r="H51" s="2" t="s">
        <v>572</v>
      </c>
      <c r="I51" s="2" t="s">
        <v>130</v>
      </c>
      <c r="J51" s="2" t="s">
        <v>164</v>
      </c>
      <c r="K51" s="2" t="s">
        <v>121</v>
      </c>
      <c r="L51" s="2" t="s">
        <v>573</v>
      </c>
      <c r="M51" s="2" t="str">
        <f>IF(TRIM(C51)="","Missing",IF(AND(LEN(TRIM(C51))=10,SUMPRODUCT(--(CODE(MID(TRIM(C51),{1,2,3,4,5,10},1))&gt;=65),--(CODE(MID(TRIM(C51),{1,2,3,4,5,10},1))&lt;=90))=6,ISNUMBER(--MID(TRIM(C51),6,4))),"Valid","Invalid"))</f>
        <v>Invalid</v>
      </c>
      <c r="N51" s="2" t="str">
        <f t="shared" si="0"/>
        <v>Valid</v>
      </c>
      <c r="O51" s="2" t="str">
        <f t="shared" si="1"/>
        <v>Valid</v>
      </c>
      <c r="P51" s="2" t="str">
        <f t="shared" si="2"/>
        <v>Valid</v>
      </c>
      <c r="Q51" s="2" t="str">
        <f t="shared" si="3"/>
        <v>Valid</v>
      </c>
      <c r="R51" s="2" t="str">
        <f>IF(TRIM(H51)="","Missing",IF(AND(LEN(TRIM(H51))=11,SUMPRODUCT(--(CODE(MID(TRIM(H51),{1,2,3,4},1))&gt;=65),--(CODE(MID(TRIM(H51),{1,2,3,4},1))&lt;=90))=4,MID(TRIM(H51),5,1)="0"),"Valid","Invalid"))</f>
        <v>Valid</v>
      </c>
      <c r="S51" s="2" t="str">
        <f t="shared" si="4"/>
        <v>Valid</v>
      </c>
      <c r="T51" s="2" t="str">
        <f t="shared" si="5"/>
        <v>Valid</v>
      </c>
      <c r="U51" s="2">
        <f t="shared" si="6"/>
        <v>1</v>
      </c>
      <c r="V51" s="2" t="str">
        <f t="shared" si="7"/>
        <v>9666832723</v>
      </c>
      <c r="W51" s="2" t="s">
        <v>565</v>
      </c>
      <c r="X51" s="2" t="str">
        <f t="shared" si="8"/>
        <v>Unique</v>
      </c>
    </row>
    <row r="52" spans="1:24" x14ac:dyDescent="0.35">
      <c r="A52" s="2" t="s">
        <v>574</v>
      </c>
      <c r="B52" s="2" t="s">
        <v>575</v>
      </c>
      <c r="C52" s="2" t="s">
        <v>576</v>
      </c>
      <c r="D52" s="2" t="s">
        <v>577</v>
      </c>
      <c r="E52" s="2" t="s">
        <v>578</v>
      </c>
      <c r="F52" s="2" t="s">
        <v>579</v>
      </c>
      <c r="G52" s="15" t="s">
        <v>580</v>
      </c>
      <c r="H52" s="2"/>
      <c r="I52" s="2" t="s">
        <v>152</v>
      </c>
      <c r="J52" s="2" t="s">
        <v>289</v>
      </c>
      <c r="K52" s="2" t="s">
        <v>121</v>
      </c>
      <c r="L52" s="2" t="s">
        <v>581</v>
      </c>
      <c r="M52" s="2" t="str">
        <f>IF(TRIM(C52)="","Missing",IF(AND(LEN(TRIM(C52))=10,SUMPRODUCT(--(CODE(MID(TRIM(C52),{1,2,3,4,5,10},1))&gt;=65),--(CODE(MID(TRIM(C52),{1,2,3,4,5,10},1))&lt;=90))=6,ISNUMBER(--MID(TRIM(C52),6,4))),"Valid","Invalid"))</f>
        <v>Valid</v>
      </c>
      <c r="N52" s="2" t="str">
        <f t="shared" si="0"/>
        <v>Valid</v>
      </c>
      <c r="O52" s="2" t="str">
        <f t="shared" si="1"/>
        <v>Valid</v>
      </c>
      <c r="P52" s="2" t="str">
        <f t="shared" si="2"/>
        <v>Valid</v>
      </c>
      <c r="Q52" s="2" t="str">
        <f t="shared" si="3"/>
        <v>Valid</v>
      </c>
      <c r="R52" s="2" t="str">
        <f>IF(TRIM(H52)="","Missing",IF(AND(LEN(TRIM(H52))=11,SUMPRODUCT(--(CODE(MID(TRIM(H52),{1,2,3,4},1))&gt;=65),--(CODE(MID(TRIM(H52),{1,2,3,4},1))&lt;=90))=4,MID(TRIM(H52),5,1)="0"),"Valid","Invalid"))</f>
        <v>Missing</v>
      </c>
      <c r="S52" s="2" t="str">
        <f t="shared" si="4"/>
        <v>Invalid</v>
      </c>
      <c r="T52" s="2" t="str">
        <f t="shared" si="5"/>
        <v>Invalid</v>
      </c>
      <c r="U52" s="2">
        <f t="shared" si="6"/>
        <v>3</v>
      </c>
      <c r="V52" s="2" t="str">
        <f t="shared" si="7"/>
        <v>918051531952</v>
      </c>
      <c r="W52" s="2" t="s">
        <v>574</v>
      </c>
      <c r="X52" s="2" t="str">
        <f t="shared" si="8"/>
        <v>Duplicate</v>
      </c>
    </row>
    <row r="53" spans="1:24" x14ac:dyDescent="0.35">
      <c r="A53" s="2" t="s">
        <v>582</v>
      </c>
      <c r="B53" s="2" t="s">
        <v>583</v>
      </c>
      <c r="C53" s="2"/>
      <c r="D53" s="2" t="s">
        <v>584</v>
      </c>
      <c r="E53" s="2" t="s">
        <v>585</v>
      </c>
      <c r="F53" s="2" t="s">
        <v>586</v>
      </c>
      <c r="G53" s="15" t="s">
        <v>587</v>
      </c>
      <c r="H53" s="2"/>
      <c r="I53" s="2" t="s">
        <v>152</v>
      </c>
      <c r="J53" s="2" t="s">
        <v>253</v>
      </c>
      <c r="K53" s="2" t="s">
        <v>121</v>
      </c>
      <c r="L53" s="2" t="s">
        <v>588</v>
      </c>
      <c r="M53" s="2" t="str">
        <f>IF(TRIM(C53)="","Missing",IF(AND(LEN(TRIM(C53))=10,SUMPRODUCT(--(CODE(MID(TRIM(C53),{1,2,3,4,5,10},1))&gt;=65),--(CODE(MID(TRIM(C53),{1,2,3,4,5,10},1))&lt;=90))=6,ISNUMBER(--MID(TRIM(C53),6,4))),"Valid","Invalid"))</f>
        <v>Missing</v>
      </c>
      <c r="N53" s="2" t="str">
        <f t="shared" si="0"/>
        <v>PAN Mismatch</v>
      </c>
      <c r="O53" s="2" t="str">
        <f t="shared" si="1"/>
        <v>Valid</v>
      </c>
      <c r="P53" s="2" t="str">
        <f t="shared" si="2"/>
        <v>Valid</v>
      </c>
      <c r="Q53" s="2" t="str">
        <f t="shared" si="3"/>
        <v>Valid</v>
      </c>
      <c r="R53" s="2" t="str">
        <f>IF(TRIM(H53)="","Missing",IF(AND(LEN(TRIM(H53))=11,SUMPRODUCT(--(CODE(MID(TRIM(H53),{1,2,3,4},1))&gt;=65),--(CODE(MID(TRIM(H53),{1,2,3,4},1))&lt;=90))=4,MID(TRIM(H53),5,1)="0"),"Valid","Invalid"))</f>
        <v>Missing</v>
      </c>
      <c r="S53" s="2" t="str">
        <f t="shared" si="4"/>
        <v>Invalid</v>
      </c>
      <c r="T53" s="2" t="str">
        <f t="shared" si="5"/>
        <v>Invalid</v>
      </c>
      <c r="U53" s="2">
        <f t="shared" si="6"/>
        <v>5</v>
      </c>
      <c r="V53" s="2" t="str">
        <f t="shared" si="7"/>
        <v>916656049451</v>
      </c>
      <c r="W53" s="2" t="s">
        <v>582</v>
      </c>
      <c r="X53" s="2" t="str">
        <f t="shared" si="8"/>
        <v>Unique</v>
      </c>
    </row>
    <row r="54" spans="1:24" x14ac:dyDescent="0.35">
      <c r="A54" s="2" t="s">
        <v>589</v>
      </c>
      <c r="B54" s="2" t="s">
        <v>590</v>
      </c>
      <c r="C54" s="2" t="s">
        <v>591</v>
      </c>
      <c r="D54" s="2" t="s">
        <v>592</v>
      </c>
      <c r="E54" s="2" t="s">
        <v>593</v>
      </c>
      <c r="F54" s="2" t="s">
        <v>594</v>
      </c>
      <c r="G54" s="15" t="s">
        <v>595</v>
      </c>
      <c r="H54" s="2" t="s">
        <v>596</v>
      </c>
      <c r="I54" s="2" t="s">
        <v>152</v>
      </c>
      <c r="J54" s="2" t="s">
        <v>153</v>
      </c>
      <c r="K54" s="2" t="s">
        <v>121</v>
      </c>
      <c r="L54" s="2" t="s">
        <v>597</v>
      </c>
      <c r="M54" s="2" t="str">
        <f>IF(TRIM(C54)="","Missing",IF(AND(LEN(TRIM(C54))=10,SUMPRODUCT(--(CODE(MID(TRIM(C54),{1,2,3,4,5,10},1))&gt;=65),--(CODE(MID(TRIM(C54),{1,2,3,4,5,10},1))&lt;=90))=6,ISNUMBER(--MID(TRIM(C54),6,4))),"Valid","Invalid"))</f>
        <v>Valid</v>
      </c>
      <c r="N54" s="2" t="str">
        <f t="shared" si="0"/>
        <v>Valid</v>
      </c>
      <c r="O54" s="2" t="str">
        <f t="shared" si="1"/>
        <v>Invalid</v>
      </c>
      <c r="P54" s="2" t="str">
        <f t="shared" si="2"/>
        <v>Valid</v>
      </c>
      <c r="Q54" s="2" t="str">
        <f t="shared" si="3"/>
        <v>Valid</v>
      </c>
      <c r="R54" s="2" t="str">
        <f>IF(TRIM(H54)="","Missing",IF(AND(LEN(TRIM(H54))=11,SUMPRODUCT(--(CODE(MID(TRIM(H54),{1,2,3,4},1))&gt;=65),--(CODE(MID(TRIM(H54),{1,2,3,4},1))&lt;=90))=4,MID(TRIM(H54),5,1)="0"),"Valid","Invalid"))</f>
        <v>Valid</v>
      </c>
      <c r="S54" s="2" t="str">
        <f t="shared" si="4"/>
        <v>Invalid</v>
      </c>
      <c r="T54" s="2" t="str">
        <f t="shared" si="5"/>
        <v>Invalid</v>
      </c>
      <c r="U54" s="2">
        <f t="shared" si="6"/>
        <v>3</v>
      </c>
      <c r="V54" s="2" t="str">
        <f t="shared" si="7"/>
        <v>6466183982</v>
      </c>
      <c r="W54" s="2" t="s">
        <v>589</v>
      </c>
      <c r="X54" s="2" t="str">
        <f t="shared" si="8"/>
        <v>Unique</v>
      </c>
    </row>
    <row r="55" spans="1:24" x14ac:dyDescent="0.35">
      <c r="A55" s="2" t="s">
        <v>598</v>
      </c>
      <c r="B55" s="2" t="s">
        <v>599</v>
      </c>
      <c r="C55" s="2" t="s">
        <v>600</v>
      </c>
      <c r="D55" s="2"/>
      <c r="E55" s="2" t="s">
        <v>601</v>
      </c>
      <c r="F55" s="2" t="s">
        <v>602</v>
      </c>
      <c r="G55" s="15" t="s">
        <v>603</v>
      </c>
      <c r="H55" s="2" t="s">
        <v>604</v>
      </c>
      <c r="I55" s="2" t="s">
        <v>119</v>
      </c>
      <c r="J55" s="2" t="s">
        <v>526</v>
      </c>
      <c r="K55" s="2" t="s">
        <v>121</v>
      </c>
      <c r="L55" s="2" t="s">
        <v>605</v>
      </c>
      <c r="M55" s="2" t="str">
        <f>IF(TRIM(C55)="","Missing",IF(AND(LEN(TRIM(C55))=10,SUMPRODUCT(--(CODE(MID(TRIM(C55),{1,2,3,4,5,10},1))&gt;=65),--(CODE(MID(TRIM(C55),{1,2,3,4,5,10},1))&lt;=90))=6,ISNUMBER(--MID(TRIM(C55),6,4))),"Valid","Invalid"))</f>
        <v>Valid</v>
      </c>
      <c r="N55" s="2" t="str">
        <f t="shared" si="0"/>
        <v>Missing</v>
      </c>
      <c r="O55" s="2" t="str">
        <f t="shared" si="1"/>
        <v>Valid</v>
      </c>
      <c r="P55" s="2" t="str">
        <f t="shared" si="2"/>
        <v>Valid</v>
      </c>
      <c r="Q55" s="2" t="str">
        <f t="shared" si="3"/>
        <v>Valid</v>
      </c>
      <c r="R55" s="2" t="str">
        <f>IF(TRIM(H55)="","Missing",IF(AND(LEN(TRIM(H55))=11,SUMPRODUCT(--(CODE(MID(TRIM(H55),{1,2,3,4},1))&gt;=65),--(CODE(MID(TRIM(H55),{1,2,3,4},1))&lt;=90))=4,MID(TRIM(H55),5,1)="0"),"Valid","Invalid"))</f>
        <v>Valid</v>
      </c>
      <c r="S55" s="2" t="str">
        <f t="shared" si="4"/>
        <v>Invalid</v>
      </c>
      <c r="T55" s="2" t="str">
        <f t="shared" si="5"/>
        <v>Invalid</v>
      </c>
      <c r="U55" s="2">
        <f t="shared" si="6"/>
        <v>3</v>
      </c>
      <c r="V55" s="2" t="str">
        <f t="shared" si="7"/>
        <v>917787429671</v>
      </c>
      <c r="W55" s="2" t="s">
        <v>598</v>
      </c>
      <c r="X55" s="2" t="str">
        <f t="shared" si="8"/>
        <v>Unique</v>
      </c>
    </row>
    <row r="56" spans="1:24" x14ac:dyDescent="0.35">
      <c r="A56" s="2" t="s">
        <v>606</v>
      </c>
      <c r="B56" s="2" t="s">
        <v>607</v>
      </c>
      <c r="C56" s="2" t="s">
        <v>608</v>
      </c>
      <c r="D56" s="2" t="s">
        <v>609</v>
      </c>
      <c r="E56" s="2" t="s">
        <v>610</v>
      </c>
      <c r="F56" s="2" t="s">
        <v>611</v>
      </c>
      <c r="G56" s="15" t="s">
        <v>612</v>
      </c>
      <c r="H56" s="2" t="s">
        <v>613</v>
      </c>
      <c r="I56" s="2" t="s">
        <v>130</v>
      </c>
      <c r="J56" s="2" t="s">
        <v>153</v>
      </c>
      <c r="K56" s="2" t="s">
        <v>142</v>
      </c>
      <c r="L56" s="2" t="s">
        <v>614</v>
      </c>
      <c r="M56" s="2" t="str">
        <f>IF(TRIM(C56)="","Missing",IF(AND(LEN(TRIM(C56))=10,SUMPRODUCT(--(CODE(MID(TRIM(C56),{1,2,3,4,5,10},1))&gt;=65),--(CODE(MID(TRIM(C56),{1,2,3,4,5,10},1))&lt;=90))=6,ISNUMBER(--MID(TRIM(C56),6,4))),"Valid","Invalid"))</f>
        <v>Valid</v>
      </c>
      <c r="N56" s="2" t="str">
        <f t="shared" si="0"/>
        <v>Valid</v>
      </c>
      <c r="O56" s="2" t="str">
        <f t="shared" si="1"/>
        <v>Valid</v>
      </c>
      <c r="P56" s="2" t="str">
        <f t="shared" si="2"/>
        <v>Valid</v>
      </c>
      <c r="Q56" s="2" t="str">
        <f t="shared" si="3"/>
        <v>Valid</v>
      </c>
      <c r="R56" s="2" t="str">
        <f>IF(TRIM(H56)="","Missing",IF(AND(LEN(TRIM(H56))=11,SUMPRODUCT(--(CODE(MID(TRIM(H56),{1,2,3,4},1))&gt;=65),--(CODE(MID(TRIM(H56),{1,2,3,4},1))&lt;=90))=4,MID(TRIM(H56),5,1)="0"),"Valid","Invalid"))</f>
        <v>Valid</v>
      </c>
      <c r="S56" s="2" t="str">
        <f t="shared" si="4"/>
        <v>Valid</v>
      </c>
      <c r="T56" s="2" t="str">
        <f t="shared" si="5"/>
        <v>Invalid</v>
      </c>
      <c r="U56" s="2">
        <f t="shared" si="6"/>
        <v>1</v>
      </c>
      <c r="V56" s="2" t="str">
        <f t="shared" si="7"/>
        <v>8300684866</v>
      </c>
      <c r="W56" s="2" t="s">
        <v>606</v>
      </c>
      <c r="X56" s="2" t="str">
        <f t="shared" si="8"/>
        <v>Unique</v>
      </c>
    </row>
    <row r="57" spans="1:24" x14ac:dyDescent="0.35">
      <c r="A57" s="2" t="s">
        <v>615</v>
      </c>
      <c r="B57" s="2" t="s">
        <v>616</v>
      </c>
      <c r="C57" s="2" t="s">
        <v>617</v>
      </c>
      <c r="D57" s="2" t="s">
        <v>618</v>
      </c>
      <c r="E57" s="2" t="s">
        <v>619</v>
      </c>
      <c r="F57" s="2" t="s">
        <v>620</v>
      </c>
      <c r="G57" s="15" t="s">
        <v>621</v>
      </c>
      <c r="H57" s="2" t="s">
        <v>622</v>
      </c>
      <c r="I57" s="2" t="s">
        <v>130</v>
      </c>
      <c r="J57" s="2" t="s">
        <v>204</v>
      </c>
      <c r="K57" s="2" t="s">
        <v>121</v>
      </c>
      <c r="L57" s="2" t="s">
        <v>623</v>
      </c>
      <c r="M57" s="2" t="str">
        <f>IF(TRIM(C57)="","Missing",IF(AND(LEN(TRIM(C57))=10,SUMPRODUCT(--(CODE(MID(TRIM(C57),{1,2,3,4,5,10},1))&gt;=65),--(CODE(MID(TRIM(C57),{1,2,3,4,5,10},1))&lt;=90))=6,ISNUMBER(--MID(TRIM(C57),6,4))),"Valid","Invalid"))</f>
        <v>Valid</v>
      </c>
      <c r="N57" s="2" t="str">
        <f t="shared" si="0"/>
        <v>Valid</v>
      </c>
      <c r="O57" s="2" t="str">
        <f t="shared" si="1"/>
        <v>Valid</v>
      </c>
      <c r="P57" s="2" t="str">
        <f t="shared" si="2"/>
        <v>Valid</v>
      </c>
      <c r="Q57" s="2" t="str">
        <f t="shared" si="3"/>
        <v>Valid</v>
      </c>
      <c r="R57" s="2" t="str">
        <f>IF(TRIM(H57)="","Missing",IF(AND(LEN(TRIM(H57))=11,SUMPRODUCT(--(CODE(MID(TRIM(H57),{1,2,3,4},1))&gt;=65),--(CODE(MID(TRIM(H57),{1,2,3,4},1))&lt;=90))=4,MID(TRIM(H57),5,1)="0"),"Valid","Invalid"))</f>
        <v>Valid</v>
      </c>
      <c r="S57" s="2" t="str">
        <f t="shared" si="4"/>
        <v>Valid</v>
      </c>
      <c r="T57" s="2" t="str">
        <f t="shared" si="5"/>
        <v>Invalid</v>
      </c>
      <c r="U57" s="2">
        <f t="shared" si="6"/>
        <v>1</v>
      </c>
      <c r="V57" s="2" t="str">
        <f t="shared" si="7"/>
        <v>9022356972</v>
      </c>
      <c r="W57" s="2" t="s">
        <v>615</v>
      </c>
      <c r="X57" s="2" t="str">
        <f t="shared" si="8"/>
        <v>Duplicate</v>
      </c>
    </row>
    <row r="58" spans="1:24" x14ac:dyDescent="0.35">
      <c r="A58" s="2" t="s">
        <v>624</v>
      </c>
      <c r="B58" s="2" t="s">
        <v>625</v>
      </c>
      <c r="C58" s="2" t="s">
        <v>626</v>
      </c>
      <c r="D58" s="2" t="s">
        <v>627</v>
      </c>
      <c r="E58" s="2" t="s">
        <v>628</v>
      </c>
      <c r="F58" s="2" t="s">
        <v>629</v>
      </c>
      <c r="G58" s="15" t="s">
        <v>630</v>
      </c>
      <c r="H58" s="2" t="s">
        <v>631</v>
      </c>
      <c r="I58" s="2" t="s">
        <v>130</v>
      </c>
      <c r="J58" s="2" t="s">
        <v>194</v>
      </c>
      <c r="K58" s="2" t="s">
        <v>121</v>
      </c>
      <c r="L58" s="2" t="s">
        <v>632</v>
      </c>
      <c r="M58" s="2" t="str">
        <f>IF(TRIM(C58)="","Missing",IF(AND(LEN(TRIM(C58))=10,SUMPRODUCT(--(CODE(MID(TRIM(C58),{1,2,3,4,5,10},1))&gt;=65),--(CODE(MID(TRIM(C58),{1,2,3,4,5,10},1))&lt;=90))=6,ISNUMBER(--MID(TRIM(C58),6,4))),"Valid","Invalid"))</f>
        <v>Valid</v>
      </c>
      <c r="N58" s="2" t="str">
        <f t="shared" si="0"/>
        <v>Valid</v>
      </c>
      <c r="O58" s="2" t="str">
        <f t="shared" si="1"/>
        <v>Valid</v>
      </c>
      <c r="P58" s="2" t="str">
        <f t="shared" si="2"/>
        <v>Valid</v>
      </c>
      <c r="Q58" s="2" t="str">
        <f t="shared" si="3"/>
        <v>Valid</v>
      </c>
      <c r="R58" s="2" t="str">
        <f>IF(TRIM(H58)="","Missing",IF(AND(LEN(TRIM(H58))=11,SUMPRODUCT(--(CODE(MID(TRIM(H58),{1,2,3,4},1))&gt;=65),--(CODE(MID(TRIM(H58),{1,2,3,4},1))&lt;=90))=4,MID(TRIM(H58),5,1)="0"),"Valid","Invalid"))</f>
        <v>Valid</v>
      </c>
      <c r="S58" s="2" t="str">
        <f t="shared" si="4"/>
        <v>Valid</v>
      </c>
      <c r="T58" s="2" t="str">
        <f t="shared" si="5"/>
        <v>Invalid</v>
      </c>
      <c r="U58" s="2">
        <f t="shared" si="6"/>
        <v>1</v>
      </c>
      <c r="V58" s="2" t="str">
        <f t="shared" si="7"/>
        <v>916792904904</v>
      </c>
      <c r="W58" s="2" t="s">
        <v>624</v>
      </c>
      <c r="X58" s="2" t="str">
        <f t="shared" si="8"/>
        <v>Unique</v>
      </c>
    </row>
    <row r="59" spans="1:24" x14ac:dyDescent="0.35">
      <c r="A59" s="2" t="s">
        <v>633</v>
      </c>
      <c r="B59" s="2" t="s">
        <v>634</v>
      </c>
      <c r="C59" s="2" t="s">
        <v>635</v>
      </c>
      <c r="D59" s="2" t="s">
        <v>636</v>
      </c>
      <c r="E59" s="2" t="s">
        <v>637</v>
      </c>
      <c r="F59" s="2" t="s">
        <v>638</v>
      </c>
      <c r="G59" s="15" t="s">
        <v>639</v>
      </c>
      <c r="H59" s="2" t="s">
        <v>640</v>
      </c>
      <c r="I59" s="2" t="s">
        <v>130</v>
      </c>
      <c r="J59" s="2" t="s">
        <v>141</v>
      </c>
      <c r="K59" s="2" t="s">
        <v>121</v>
      </c>
      <c r="L59" s="2" t="s">
        <v>641</v>
      </c>
      <c r="M59" s="2" t="str">
        <f>IF(TRIM(C59)="","Missing",IF(AND(LEN(TRIM(C59))=10,SUMPRODUCT(--(CODE(MID(TRIM(C59),{1,2,3,4,5,10},1))&gt;=65),--(CODE(MID(TRIM(C59),{1,2,3,4,5,10},1))&lt;=90))=6,ISNUMBER(--MID(TRIM(C59),6,4))),"Valid","Invalid"))</f>
        <v>Invalid</v>
      </c>
      <c r="N59" s="2" t="str">
        <f t="shared" si="0"/>
        <v>Valid</v>
      </c>
      <c r="O59" s="2" t="str">
        <f t="shared" si="1"/>
        <v>Valid</v>
      </c>
      <c r="P59" s="2" t="str">
        <f t="shared" si="2"/>
        <v>Valid</v>
      </c>
      <c r="Q59" s="2" t="str">
        <f t="shared" si="3"/>
        <v>Valid</v>
      </c>
      <c r="R59" s="2" t="str">
        <f>IF(TRIM(H59)="","Missing",IF(AND(LEN(TRIM(H59))=11,SUMPRODUCT(--(CODE(MID(TRIM(H59),{1,2,3,4},1))&gt;=65),--(CODE(MID(TRIM(H59),{1,2,3,4},1))&lt;=90))=4,MID(TRIM(H59),5,1)="0"),"Valid","Invalid"))</f>
        <v>Valid</v>
      </c>
      <c r="S59" s="2" t="str">
        <f t="shared" si="4"/>
        <v>Valid</v>
      </c>
      <c r="T59" s="2" t="str">
        <f t="shared" si="5"/>
        <v>Valid</v>
      </c>
      <c r="U59" s="2">
        <f t="shared" si="6"/>
        <v>1</v>
      </c>
      <c r="V59" s="2" t="str">
        <f t="shared" si="7"/>
        <v>917655647292</v>
      </c>
      <c r="W59" s="2" t="s">
        <v>633</v>
      </c>
      <c r="X59" s="2" t="str">
        <f t="shared" si="8"/>
        <v>Unique</v>
      </c>
    </row>
    <row r="60" spans="1:24" x14ac:dyDescent="0.35">
      <c r="A60" s="2" t="s">
        <v>642</v>
      </c>
      <c r="B60" s="2" t="s">
        <v>643</v>
      </c>
      <c r="C60" s="2" t="s">
        <v>644</v>
      </c>
      <c r="D60" s="2" t="s">
        <v>645</v>
      </c>
      <c r="E60" s="2" t="s">
        <v>646</v>
      </c>
      <c r="F60" s="2" t="s">
        <v>647</v>
      </c>
      <c r="G60" s="15" t="s">
        <v>648</v>
      </c>
      <c r="H60" s="2" t="s">
        <v>649</v>
      </c>
      <c r="I60" s="2" t="s">
        <v>130</v>
      </c>
      <c r="J60" s="2" t="s">
        <v>526</v>
      </c>
      <c r="K60" s="2" t="s">
        <v>121</v>
      </c>
      <c r="L60" s="2" t="s">
        <v>650</v>
      </c>
      <c r="M60" s="2" t="str">
        <f>IF(TRIM(C60)="","Missing",IF(AND(LEN(TRIM(C60))=10,SUMPRODUCT(--(CODE(MID(TRIM(C60),{1,2,3,4,5,10},1))&gt;=65),--(CODE(MID(TRIM(C60),{1,2,3,4,5,10},1))&lt;=90))=6,ISNUMBER(--MID(TRIM(C60),6,4))),"Valid","Invalid"))</f>
        <v>Valid</v>
      </c>
      <c r="N60" s="2" t="str">
        <f t="shared" si="0"/>
        <v>Valid</v>
      </c>
      <c r="O60" s="2" t="str">
        <f t="shared" si="1"/>
        <v>Valid</v>
      </c>
      <c r="P60" s="2" t="str">
        <f t="shared" si="2"/>
        <v>Valid</v>
      </c>
      <c r="Q60" s="2" t="str">
        <f t="shared" si="3"/>
        <v>Valid</v>
      </c>
      <c r="R60" s="2" t="str">
        <f>IF(TRIM(H60)="","Missing",IF(AND(LEN(TRIM(H60))=11,SUMPRODUCT(--(CODE(MID(TRIM(H60),{1,2,3,4},1))&gt;=65),--(CODE(MID(TRIM(H60),{1,2,3,4},1))&lt;=90))=4,MID(TRIM(H60),5,1)="0"),"Valid","Invalid"))</f>
        <v>Valid</v>
      </c>
      <c r="S60" s="2" t="str">
        <f t="shared" si="4"/>
        <v>Valid</v>
      </c>
      <c r="T60" s="2" t="str">
        <f t="shared" si="5"/>
        <v>Invalid</v>
      </c>
      <c r="U60" s="2">
        <f t="shared" si="6"/>
        <v>1</v>
      </c>
      <c r="V60" s="2" t="str">
        <f t="shared" si="7"/>
        <v>9150416591</v>
      </c>
      <c r="W60" s="2" t="s">
        <v>642</v>
      </c>
      <c r="X60" s="2" t="str">
        <f t="shared" si="8"/>
        <v>Unique</v>
      </c>
    </row>
    <row r="61" spans="1:24" x14ac:dyDescent="0.35">
      <c r="A61" s="2" t="s">
        <v>651</v>
      </c>
      <c r="B61" s="2" t="s">
        <v>652</v>
      </c>
      <c r="C61" s="2"/>
      <c r="D61" s="2"/>
      <c r="E61" s="2" t="s">
        <v>374</v>
      </c>
      <c r="F61" s="2" t="s">
        <v>653</v>
      </c>
      <c r="G61" s="15" t="s">
        <v>376</v>
      </c>
      <c r="H61" s="2" t="s">
        <v>377</v>
      </c>
      <c r="I61" s="2" t="s">
        <v>130</v>
      </c>
      <c r="J61" s="2" t="s">
        <v>289</v>
      </c>
      <c r="K61" s="2" t="s">
        <v>121</v>
      </c>
      <c r="L61" s="2" t="s">
        <v>654</v>
      </c>
      <c r="M61" s="2" t="str">
        <f>IF(TRIM(C61)="","Missing",IF(AND(LEN(TRIM(C61))=10,SUMPRODUCT(--(CODE(MID(TRIM(C61),{1,2,3,4,5,10},1))&gt;=65),--(CODE(MID(TRIM(C61),{1,2,3,4,5,10},1))&lt;=90))=6,ISNUMBER(--MID(TRIM(C61),6,4))),"Valid","Invalid"))</f>
        <v>Missing</v>
      </c>
      <c r="N61" s="2" t="str">
        <f t="shared" si="0"/>
        <v>Missing</v>
      </c>
      <c r="O61" s="2" t="str">
        <f t="shared" si="1"/>
        <v>Valid</v>
      </c>
      <c r="P61" s="2" t="str">
        <f t="shared" si="2"/>
        <v>Valid</v>
      </c>
      <c r="Q61" s="2" t="str">
        <f t="shared" si="3"/>
        <v>Valid</v>
      </c>
      <c r="R61" s="2" t="str">
        <f>IF(TRIM(H61)="","Missing",IF(AND(LEN(TRIM(H61))=11,SUMPRODUCT(--(CODE(MID(TRIM(H61),{1,2,3,4},1))&gt;=65),--(CODE(MID(TRIM(H61),{1,2,3,4},1))&lt;=90))=4,MID(TRIM(H61),5,1)="0"),"Valid","Invalid"))</f>
        <v>Invalid</v>
      </c>
      <c r="S61" s="2" t="str">
        <f t="shared" si="4"/>
        <v>Valid</v>
      </c>
      <c r="T61" s="2" t="str">
        <f t="shared" si="5"/>
        <v>Invalid</v>
      </c>
      <c r="U61" s="2">
        <f t="shared" si="6"/>
        <v>4</v>
      </c>
      <c r="V61" s="2" t="str">
        <f t="shared" si="7"/>
        <v>8770054119</v>
      </c>
      <c r="W61" s="2" t="s">
        <v>651</v>
      </c>
      <c r="X61" s="2" t="str">
        <f t="shared" si="8"/>
        <v>Unique</v>
      </c>
    </row>
    <row r="62" spans="1:24" x14ac:dyDescent="0.35">
      <c r="A62" s="2" t="s">
        <v>655</v>
      </c>
      <c r="B62" s="2" t="s">
        <v>656</v>
      </c>
      <c r="C62" s="2" t="s">
        <v>657</v>
      </c>
      <c r="D62" s="2" t="s">
        <v>658</v>
      </c>
      <c r="E62" s="2"/>
      <c r="F62" s="2" t="s">
        <v>659</v>
      </c>
      <c r="G62" s="15" t="s">
        <v>660</v>
      </c>
      <c r="H62" s="2" t="s">
        <v>661</v>
      </c>
      <c r="I62" s="2" t="s">
        <v>130</v>
      </c>
      <c r="J62" s="2" t="s">
        <v>194</v>
      </c>
      <c r="K62" s="2" t="s">
        <v>121</v>
      </c>
      <c r="L62" s="2" t="s">
        <v>662</v>
      </c>
      <c r="M62" s="2" t="str">
        <f>IF(TRIM(C62)="","Missing",IF(AND(LEN(TRIM(C62))=10,SUMPRODUCT(--(CODE(MID(TRIM(C62),{1,2,3,4,5,10},1))&gt;=65),--(CODE(MID(TRIM(C62),{1,2,3,4,5,10},1))&lt;=90))=6,ISNUMBER(--MID(TRIM(C62),6,4))),"Valid","Invalid"))</f>
        <v>Valid</v>
      </c>
      <c r="N62" s="2" t="str">
        <f t="shared" si="0"/>
        <v>Valid</v>
      </c>
      <c r="O62" s="2" t="str">
        <f t="shared" si="1"/>
        <v>Missing</v>
      </c>
      <c r="P62" s="2" t="str">
        <f t="shared" si="2"/>
        <v>Valid</v>
      </c>
      <c r="Q62" s="2" t="str">
        <f t="shared" si="3"/>
        <v>Valid</v>
      </c>
      <c r="R62" s="2" t="str">
        <f>IF(TRIM(H62)="","Missing",IF(AND(LEN(TRIM(H62))=11,SUMPRODUCT(--(CODE(MID(TRIM(H62),{1,2,3,4},1))&gt;=65),--(CODE(MID(TRIM(H62),{1,2,3,4},1))&lt;=90))=4,MID(TRIM(H62),5,1)="0"),"Valid","Invalid"))</f>
        <v>Invalid</v>
      </c>
      <c r="S62" s="2" t="str">
        <f t="shared" si="4"/>
        <v>Valid</v>
      </c>
      <c r="T62" s="2" t="str">
        <f t="shared" si="5"/>
        <v>Invalid</v>
      </c>
      <c r="U62" s="2">
        <f t="shared" si="6"/>
        <v>3</v>
      </c>
      <c r="V62" s="2" t="str">
        <f t="shared" si="7"/>
        <v>916792911179</v>
      </c>
      <c r="W62" s="2" t="s">
        <v>655</v>
      </c>
      <c r="X62" s="2" t="str">
        <f t="shared" si="8"/>
        <v>Unique</v>
      </c>
    </row>
    <row r="63" spans="1:24" x14ac:dyDescent="0.35">
      <c r="A63" s="2" t="s">
        <v>663</v>
      </c>
      <c r="B63" s="2" t="s">
        <v>664</v>
      </c>
      <c r="C63" s="2" t="s">
        <v>665</v>
      </c>
      <c r="D63" s="2" t="s">
        <v>666</v>
      </c>
      <c r="E63" s="2" t="s">
        <v>667</v>
      </c>
      <c r="F63" s="2" t="s">
        <v>668</v>
      </c>
      <c r="G63" s="15" t="s">
        <v>669</v>
      </c>
      <c r="H63" s="2" t="s">
        <v>670</v>
      </c>
      <c r="I63" s="2" t="s">
        <v>130</v>
      </c>
      <c r="J63" s="2" t="s">
        <v>141</v>
      </c>
      <c r="K63" s="2" t="s">
        <v>121</v>
      </c>
      <c r="L63" s="2" t="s">
        <v>671</v>
      </c>
      <c r="M63" s="2" t="str">
        <f>IF(TRIM(C63)="","Missing",IF(AND(LEN(TRIM(C63))=10,SUMPRODUCT(--(CODE(MID(TRIM(C63),{1,2,3,4,5,10},1))&gt;=65),--(CODE(MID(TRIM(C63),{1,2,3,4,5,10},1))&lt;=90))=6,ISNUMBER(--MID(TRIM(C63),6,4))),"Valid","Invalid"))</f>
        <v>Invalid</v>
      </c>
      <c r="N63" s="2" t="str">
        <f t="shared" si="0"/>
        <v>Valid</v>
      </c>
      <c r="O63" s="2" t="str">
        <f t="shared" si="1"/>
        <v>Valid</v>
      </c>
      <c r="P63" s="2" t="str">
        <f t="shared" si="2"/>
        <v>Valid</v>
      </c>
      <c r="Q63" s="2" t="str">
        <f t="shared" si="3"/>
        <v>Valid</v>
      </c>
      <c r="R63" s="2" t="str">
        <f>IF(TRIM(H63)="","Missing",IF(AND(LEN(TRIM(H63))=11,SUMPRODUCT(--(CODE(MID(TRIM(H63),{1,2,3,4},1))&gt;=65),--(CODE(MID(TRIM(H63),{1,2,3,4},1))&lt;=90))=4,MID(TRIM(H63),5,1)="0"),"Valid","Invalid"))</f>
        <v>Valid</v>
      </c>
      <c r="S63" s="2" t="str">
        <f t="shared" si="4"/>
        <v>Valid</v>
      </c>
      <c r="T63" s="2" t="str">
        <f t="shared" si="5"/>
        <v>Valid</v>
      </c>
      <c r="U63" s="2">
        <f t="shared" si="6"/>
        <v>1</v>
      </c>
      <c r="V63" s="2" t="str">
        <f t="shared" si="7"/>
        <v>6126691215</v>
      </c>
      <c r="W63" s="2" t="s">
        <v>663</v>
      </c>
      <c r="X63" s="2" t="str">
        <f t="shared" si="8"/>
        <v>Unique</v>
      </c>
    </row>
    <row r="64" spans="1:24" x14ac:dyDescent="0.35">
      <c r="A64" s="2" t="s">
        <v>672</v>
      </c>
      <c r="B64" s="2" t="s">
        <v>673</v>
      </c>
      <c r="C64" s="2" t="s">
        <v>335</v>
      </c>
      <c r="D64" s="2" t="s">
        <v>336</v>
      </c>
      <c r="E64" s="2" t="s">
        <v>674</v>
      </c>
      <c r="F64" s="2" t="s">
        <v>338</v>
      </c>
      <c r="G64" s="15" t="s">
        <v>339</v>
      </c>
      <c r="H64" s="2" t="s">
        <v>340</v>
      </c>
      <c r="I64" s="2" t="s">
        <v>119</v>
      </c>
      <c r="J64" s="2" t="s">
        <v>120</v>
      </c>
      <c r="K64" s="2" t="s">
        <v>121</v>
      </c>
      <c r="L64" s="2" t="s">
        <v>675</v>
      </c>
      <c r="M64" s="2" t="str">
        <f>IF(TRIM(C64)="","Missing",IF(AND(LEN(TRIM(C64))=10,SUMPRODUCT(--(CODE(MID(TRIM(C64),{1,2,3,4,5,10},1))&gt;=65),--(CODE(MID(TRIM(C64),{1,2,3,4,5,10},1))&lt;=90))=6,ISNUMBER(--MID(TRIM(C64),6,4))),"Valid","Invalid"))</f>
        <v>Valid</v>
      </c>
      <c r="N64" s="2" t="str">
        <f t="shared" si="0"/>
        <v>Valid</v>
      </c>
      <c r="O64" s="2" t="str">
        <f t="shared" si="1"/>
        <v>Valid</v>
      </c>
      <c r="P64" s="2" t="str">
        <f t="shared" si="2"/>
        <v>Valid</v>
      </c>
      <c r="Q64" s="2" t="str">
        <f t="shared" si="3"/>
        <v>Valid</v>
      </c>
      <c r="R64" s="2" t="str">
        <f>IF(TRIM(H64)="","Missing",IF(AND(LEN(TRIM(H64))=11,SUMPRODUCT(--(CODE(MID(TRIM(H64),{1,2,3,4},1))&gt;=65),--(CODE(MID(TRIM(H64),{1,2,3,4},1))&lt;=90))=4,MID(TRIM(H64),5,1)="0"),"Valid","Invalid"))</f>
        <v>Valid</v>
      </c>
      <c r="S64" s="2" t="str">
        <f t="shared" si="4"/>
        <v>Invalid</v>
      </c>
      <c r="T64" s="2" t="str">
        <f t="shared" si="5"/>
        <v>Invalid</v>
      </c>
      <c r="U64" s="2">
        <f t="shared" si="6"/>
        <v>2</v>
      </c>
      <c r="V64" s="2" t="str">
        <f t="shared" si="7"/>
        <v>8833394522</v>
      </c>
      <c r="W64" s="2" t="s">
        <v>333</v>
      </c>
      <c r="X64" s="2" t="str">
        <f t="shared" si="8"/>
        <v>Duplicate</v>
      </c>
    </row>
    <row r="65" spans="1:24" x14ac:dyDescent="0.35">
      <c r="A65" s="2" t="s">
        <v>676</v>
      </c>
      <c r="B65" s="2" t="s">
        <v>677</v>
      </c>
      <c r="C65" s="2" t="s">
        <v>678</v>
      </c>
      <c r="D65" s="2" t="s">
        <v>679</v>
      </c>
      <c r="E65" s="2" t="s">
        <v>680</v>
      </c>
      <c r="F65" s="2" t="s">
        <v>681</v>
      </c>
      <c r="G65" s="15" t="s">
        <v>682</v>
      </c>
      <c r="H65" s="2"/>
      <c r="I65" s="2" t="s">
        <v>242</v>
      </c>
      <c r="J65" s="2" t="s">
        <v>243</v>
      </c>
      <c r="K65" s="2" t="s">
        <v>142</v>
      </c>
      <c r="L65" s="2" t="s">
        <v>683</v>
      </c>
      <c r="M65" s="2" t="e">
        <f>IF(TRIM(C65)="","Missing",IF(AND(LEN(TRIM(C65))=10,SUMPRODUCT(--(CODE(MID(TRIM(C65),{1,2,3,4,5,10},1))&gt;=65),--(CODE(MID(TRIM(C65),{1,2,3,4,5,10},1))&lt;=90))=6,ISNUMBER(--MID(TRIM(C65),6,4))),"Valid","Invalid"))</f>
        <v>#VALUE!</v>
      </c>
      <c r="N65" s="2" t="str">
        <f t="shared" si="0"/>
        <v>PAN Mismatch</v>
      </c>
      <c r="O65" s="2" t="str">
        <f t="shared" si="1"/>
        <v>Valid</v>
      </c>
      <c r="P65" s="2" t="str">
        <f t="shared" si="2"/>
        <v>Valid</v>
      </c>
      <c r="Q65" s="2" t="str">
        <f t="shared" si="3"/>
        <v>Valid</v>
      </c>
      <c r="R65" s="2" t="str">
        <f>IF(TRIM(H65)="","Missing",IF(AND(LEN(TRIM(H65))=11,SUMPRODUCT(--(CODE(MID(TRIM(H65),{1,2,3,4},1))&gt;=65),--(CODE(MID(TRIM(H65),{1,2,3,4},1))&lt;=90))=4,MID(TRIM(H65),5,1)="0"),"Valid","Invalid"))</f>
        <v>Missing</v>
      </c>
      <c r="S65" s="2" t="str">
        <f t="shared" si="4"/>
        <v>Invalid</v>
      </c>
      <c r="T65" s="2" t="str">
        <f t="shared" si="5"/>
        <v>Invalid</v>
      </c>
      <c r="U65" s="2">
        <f t="shared" si="6"/>
        <v>5</v>
      </c>
      <c r="V65" s="2" t="str">
        <f t="shared" si="7"/>
        <v>8869380686</v>
      </c>
      <c r="W65" s="2" t="s">
        <v>676</v>
      </c>
      <c r="X65" s="2" t="str">
        <f t="shared" si="8"/>
        <v>Unique</v>
      </c>
    </row>
    <row r="66" spans="1:24" x14ac:dyDescent="0.35">
      <c r="A66" s="2" t="s">
        <v>684</v>
      </c>
      <c r="B66" s="2" t="s">
        <v>685</v>
      </c>
      <c r="C66" s="2" t="s">
        <v>686</v>
      </c>
      <c r="D66" s="2" t="s">
        <v>687</v>
      </c>
      <c r="E66" s="2" t="s">
        <v>688</v>
      </c>
      <c r="F66" s="2" t="s">
        <v>689</v>
      </c>
      <c r="G66" s="15" t="s">
        <v>690</v>
      </c>
      <c r="H66" s="2" t="s">
        <v>691</v>
      </c>
      <c r="I66" s="2" t="s">
        <v>130</v>
      </c>
      <c r="J66" s="2" t="s">
        <v>131</v>
      </c>
      <c r="K66" s="2" t="s">
        <v>121</v>
      </c>
      <c r="L66" s="2" t="s">
        <v>692</v>
      </c>
      <c r="M66" s="2" t="str">
        <f>IF(TRIM(C66)="","Missing",IF(AND(LEN(TRIM(C66))=10,SUMPRODUCT(--(CODE(MID(TRIM(C66),{1,2,3,4,5,10},1))&gt;=65),--(CODE(MID(TRIM(C66),{1,2,3,4,5,10},1))&lt;=90))=6,ISNUMBER(--MID(TRIM(C66),6,4))),"Valid","Invalid"))</f>
        <v>Valid</v>
      </c>
      <c r="N66" s="2" t="str">
        <f t="shared" ref="N66:N129" si="9">IF(TRIM(D66)="","Missing",IF(AND(LEN(TRIM(D66))=15,MID(TRIM(D66),14,1)="Z"),IF(AND(TRIM(C66)&lt;&gt;"",MID(TRIM(D66),3,10)=TRIM(C66)),"Valid","PAN Mismatch"),"Invalid"))</f>
        <v>Valid</v>
      </c>
      <c r="O66" s="2" t="str">
        <f t="shared" ref="O66:O129" si="10">IF(TRIM(E66)="","Missing",IF(AND(ISNUMBER(FIND("@",E66)),ISERROR(FIND(" ",TRIM(E66))),IFERROR(FIND(".",E66,FIND("@",E66)),0)&gt;0),"Valid","Invalid"))</f>
        <v>Valid</v>
      </c>
      <c r="P66" s="2" t="str">
        <f t="shared" ref="P66:P129" si="11">IF(TRIM(F66)="","Missing",IFERROR(IF(AND(ISNUMBER(--V66),OR(LEN(V66)=10,AND(LEN(V66)=12,LEFT(V66,2)="91")),VALUE(LEFT(RIGHT(V66,10),1))&gt;=6),"Valid","Invalid"),"Invalid"))</f>
        <v>Invalid</v>
      </c>
      <c r="Q66" s="2" t="str">
        <f t="shared" ref="Q66:Q129" si="12">IF(TRIM(G66)="","Missing",IFERROR(IF(AND(ISNUMBER(--TRIM(G66)),LEN(TRIM(G66))&gt;=9,LEN(TRIM(G66))&lt;=18,ISERROR(FIND(".",G66))),"Valid","Invalid"),"Invalid"))</f>
        <v>Valid</v>
      </c>
      <c r="R66" s="2" t="str">
        <f>IF(TRIM(H66)="","Missing",IF(AND(LEN(TRIM(H66))=11,SUMPRODUCT(--(CODE(MID(TRIM(H66),{1,2,3,4},1))&gt;=65),--(CODE(MID(TRIM(H66),{1,2,3,4},1))&lt;=90))=4,MID(TRIM(H66),5,1)="0"),"Valid","Invalid"))</f>
        <v>Valid</v>
      </c>
      <c r="S66" s="2" t="str">
        <f t="shared" ref="S66:S129" si="13">IF(TRIM(I66)="","Missing",IF(EXACT(TRIM(I66),"India"),"Valid","Invalid"))</f>
        <v>Valid</v>
      </c>
      <c r="T66" s="2" t="str">
        <f t="shared" ref="T66:T129" si="14">IF(TRIM(J66)="","Missing",IF(OR(EXACT(TRIM(J66),"Net 15"),EXACT(TRIM(J66),"Net 30"),EXACT(TRIM(J66),"Net 45"),EXACT(TRIM(J66),"Net 60")),"Valid","Invalid"))</f>
        <v>Invalid</v>
      </c>
      <c r="U66" s="2">
        <f t="shared" ref="U66:U129" si="15">COUNTIF(M66:T66,"&lt;&gt;Valid")</f>
        <v>2</v>
      </c>
      <c r="V66" s="2" t="str">
        <f t="shared" ref="V66:V129" si="16">SUBSTITUTE(SUBSTITUTE(SUBSTITUTE(F66," ",""),"-",""),"+","")</f>
        <v>735548640</v>
      </c>
      <c r="W66" s="2" t="s">
        <v>684</v>
      </c>
      <c r="X66" s="2" t="str">
        <f t="shared" ref="X66:X129" si="17">IF(COUNTIF($W$2:$W$229,W66)&gt;1,"Duplicate","Unique")</f>
        <v>Unique</v>
      </c>
    </row>
    <row r="67" spans="1:24" x14ac:dyDescent="0.35">
      <c r="A67" s="2" t="s">
        <v>693</v>
      </c>
      <c r="B67" s="2" t="s">
        <v>694</v>
      </c>
      <c r="C67" s="2" t="s">
        <v>695</v>
      </c>
      <c r="D67" s="2" t="s">
        <v>696</v>
      </c>
      <c r="E67" s="2" t="s">
        <v>697</v>
      </c>
      <c r="F67" s="2" t="s">
        <v>698</v>
      </c>
      <c r="G67" s="15" t="s">
        <v>699</v>
      </c>
      <c r="H67" s="2" t="s">
        <v>700</v>
      </c>
      <c r="I67" s="2" t="s">
        <v>130</v>
      </c>
      <c r="J67" s="2" t="s">
        <v>141</v>
      </c>
      <c r="K67" s="2" t="s">
        <v>121</v>
      </c>
      <c r="L67" s="2" t="s">
        <v>341</v>
      </c>
      <c r="M67" s="2" t="str">
        <f>IF(TRIM(C67)="","Missing",IF(AND(LEN(TRIM(C67))=10,SUMPRODUCT(--(CODE(MID(TRIM(C67),{1,2,3,4,5,10},1))&gt;=65),--(CODE(MID(TRIM(C67),{1,2,3,4,5,10},1))&lt;=90))=6,ISNUMBER(--MID(TRIM(C67),6,4))),"Valid","Invalid"))</f>
        <v>Valid</v>
      </c>
      <c r="N67" s="2" t="str">
        <f t="shared" si="9"/>
        <v>Valid</v>
      </c>
      <c r="O67" s="2" t="str">
        <f t="shared" si="10"/>
        <v>Valid</v>
      </c>
      <c r="P67" s="2" t="str">
        <f t="shared" si="11"/>
        <v>Valid</v>
      </c>
      <c r="Q67" s="2" t="str">
        <f t="shared" si="12"/>
        <v>Valid</v>
      </c>
      <c r="R67" s="2" t="str">
        <f>IF(TRIM(H67)="","Missing",IF(AND(LEN(TRIM(H67))=11,SUMPRODUCT(--(CODE(MID(TRIM(H67),{1,2,3,4},1))&gt;=65),--(CODE(MID(TRIM(H67),{1,2,3,4},1))&lt;=90))=4,MID(TRIM(H67),5,1)="0"),"Valid","Invalid"))</f>
        <v>Valid</v>
      </c>
      <c r="S67" s="2" t="str">
        <f t="shared" si="13"/>
        <v>Valid</v>
      </c>
      <c r="T67" s="2" t="str">
        <f t="shared" si="14"/>
        <v>Valid</v>
      </c>
      <c r="U67" s="2">
        <f t="shared" si="15"/>
        <v>0</v>
      </c>
      <c r="V67" s="2" t="str">
        <f t="shared" si="16"/>
        <v>917100996881</v>
      </c>
      <c r="W67" s="2" t="s">
        <v>693</v>
      </c>
      <c r="X67" s="2" t="str">
        <f t="shared" si="17"/>
        <v>Unique</v>
      </c>
    </row>
    <row r="68" spans="1:24" x14ac:dyDescent="0.35">
      <c r="A68" s="2" t="s">
        <v>701</v>
      </c>
      <c r="B68" s="2" t="s">
        <v>702</v>
      </c>
      <c r="C68" s="2" t="s">
        <v>703</v>
      </c>
      <c r="D68" s="2" t="s">
        <v>704</v>
      </c>
      <c r="E68" s="2" t="s">
        <v>705</v>
      </c>
      <c r="F68" s="2" t="s">
        <v>706</v>
      </c>
      <c r="G68" s="15"/>
      <c r="H68" s="2"/>
      <c r="I68" s="2" t="s">
        <v>130</v>
      </c>
      <c r="J68" s="2" t="s">
        <v>231</v>
      </c>
      <c r="K68" s="2" t="s">
        <v>142</v>
      </c>
      <c r="L68" s="2" t="s">
        <v>707</v>
      </c>
      <c r="M68" s="2" t="str">
        <f>IF(TRIM(C68)="","Missing",IF(AND(LEN(TRIM(C68))=10,SUMPRODUCT(--(CODE(MID(TRIM(C68),{1,2,3,4,5,10},1))&gt;=65),--(CODE(MID(TRIM(C68),{1,2,3,4,5,10},1))&lt;=90))=6,ISNUMBER(--MID(TRIM(C68),6,4))),"Valid","Invalid"))</f>
        <v>Valid</v>
      </c>
      <c r="N68" s="2" t="str">
        <f t="shared" si="9"/>
        <v>Valid</v>
      </c>
      <c r="O68" s="2" t="str">
        <f t="shared" si="10"/>
        <v>Valid</v>
      </c>
      <c r="P68" s="2" t="str">
        <f t="shared" si="11"/>
        <v>Valid</v>
      </c>
      <c r="Q68" s="2" t="str">
        <f t="shared" si="12"/>
        <v>Missing</v>
      </c>
      <c r="R68" s="2" t="str">
        <f>IF(TRIM(H68)="","Missing",IF(AND(LEN(TRIM(H68))=11,SUMPRODUCT(--(CODE(MID(TRIM(H68),{1,2,3,4},1))&gt;=65),--(CODE(MID(TRIM(H68),{1,2,3,4},1))&lt;=90))=4,MID(TRIM(H68),5,1)="0"),"Valid","Invalid"))</f>
        <v>Missing</v>
      </c>
      <c r="S68" s="2" t="str">
        <f t="shared" si="13"/>
        <v>Valid</v>
      </c>
      <c r="T68" s="2" t="str">
        <f t="shared" si="14"/>
        <v>Invalid</v>
      </c>
      <c r="U68" s="2">
        <f t="shared" si="15"/>
        <v>3</v>
      </c>
      <c r="V68" s="2" t="str">
        <f t="shared" si="16"/>
        <v>916557784872</v>
      </c>
      <c r="W68" s="2" t="s">
        <v>701</v>
      </c>
      <c r="X68" s="2" t="str">
        <f t="shared" si="17"/>
        <v>Unique</v>
      </c>
    </row>
    <row r="69" spans="1:24" x14ac:dyDescent="0.35">
      <c r="A69" s="2" t="s">
        <v>708</v>
      </c>
      <c r="B69" s="2" t="s">
        <v>709</v>
      </c>
      <c r="C69" s="2" t="s">
        <v>710</v>
      </c>
      <c r="D69" s="2" t="s">
        <v>711</v>
      </c>
      <c r="E69" s="2" t="s">
        <v>712</v>
      </c>
      <c r="F69" s="2" t="s">
        <v>713</v>
      </c>
      <c r="G69" s="15" t="s">
        <v>714</v>
      </c>
      <c r="H69" s="2"/>
      <c r="I69" s="2" t="s">
        <v>130</v>
      </c>
      <c r="J69" s="2" t="s">
        <v>174</v>
      </c>
      <c r="K69" s="2" t="s">
        <v>121</v>
      </c>
      <c r="L69" s="2" t="s">
        <v>545</v>
      </c>
      <c r="M69" s="2" t="str">
        <f>IF(TRIM(C69)="","Missing",IF(AND(LEN(TRIM(C69))=10,SUMPRODUCT(--(CODE(MID(TRIM(C69),{1,2,3,4,5,10},1))&gt;=65),--(CODE(MID(TRIM(C69),{1,2,3,4,5,10},1))&lt;=90))=6,ISNUMBER(--MID(TRIM(C69),6,4))),"Valid","Invalid"))</f>
        <v>Valid</v>
      </c>
      <c r="N69" s="2" t="str">
        <f t="shared" si="9"/>
        <v>Valid</v>
      </c>
      <c r="O69" s="2" t="str">
        <f t="shared" si="10"/>
        <v>Valid</v>
      </c>
      <c r="P69" s="2" t="str">
        <f t="shared" si="11"/>
        <v>Valid</v>
      </c>
      <c r="Q69" s="2" t="str">
        <f t="shared" si="12"/>
        <v>Valid</v>
      </c>
      <c r="R69" s="2" t="str">
        <f>IF(TRIM(H69)="","Missing",IF(AND(LEN(TRIM(H69))=11,SUMPRODUCT(--(CODE(MID(TRIM(H69),{1,2,3,4},1))&gt;=65),--(CODE(MID(TRIM(H69),{1,2,3,4},1))&lt;=90))=4,MID(TRIM(H69),5,1)="0"),"Valid","Invalid"))</f>
        <v>Missing</v>
      </c>
      <c r="S69" s="2" t="str">
        <f t="shared" si="13"/>
        <v>Valid</v>
      </c>
      <c r="T69" s="2" t="str">
        <f t="shared" si="14"/>
        <v>Valid</v>
      </c>
      <c r="U69" s="2">
        <f t="shared" si="15"/>
        <v>1</v>
      </c>
      <c r="V69" s="2" t="str">
        <f t="shared" si="16"/>
        <v>8124782613</v>
      </c>
      <c r="W69" s="2" t="s">
        <v>708</v>
      </c>
      <c r="X69" s="2" t="str">
        <f t="shared" si="17"/>
        <v>Unique</v>
      </c>
    </row>
    <row r="70" spans="1:24" x14ac:dyDescent="0.35">
      <c r="A70" s="2" t="s">
        <v>715</v>
      </c>
      <c r="B70" s="2" t="s">
        <v>716</v>
      </c>
      <c r="C70" s="2" t="s">
        <v>717</v>
      </c>
      <c r="D70" s="2" t="s">
        <v>718</v>
      </c>
      <c r="E70" s="2"/>
      <c r="F70" s="2"/>
      <c r="G70" s="15" t="s">
        <v>719</v>
      </c>
      <c r="H70" s="2" t="s">
        <v>720</v>
      </c>
      <c r="I70" s="2" t="s">
        <v>130</v>
      </c>
      <c r="J70" s="2" t="s">
        <v>131</v>
      </c>
      <c r="K70" s="2" t="s">
        <v>121</v>
      </c>
      <c r="L70" s="2" t="s">
        <v>721</v>
      </c>
      <c r="M70" s="2" t="str">
        <f>IF(TRIM(C70)="","Missing",IF(AND(LEN(TRIM(C70))=10,SUMPRODUCT(--(CODE(MID(TRIM(C70),{1,2,3,4,5,10},1))&gt;=65),--(CODE(MID(TRIM(C70),{1,2,3,4,5,10},1))&lt;=90))=6,ISNUMBER(--MID(TRIM(C70),6,4))),"Valid","Invalid"))</f>
        <v>Valid</v>
      </c>
      <c r="N70" s="2" t="str">
        <f t="shared" si="9"/>
        <v>Valid</v>
      </c>
      <c r="O70" s="2" t="str">
        <f t="shared" si="10"/>
        <v>Missing</v>
      </c>
      <c r="P70" s="2" t="str">
        <f t="shared" si="11"/>
        <v>Missing</v>
      </c>
      <c r="Q70" s="2" t="str">
        <f t="shared" si="12"/>
        <v>Valid</v>
      </c>
      <c r="R70" s="2" t="str">
        <f>IF(TRIM(H70)="","Missing",IF(AND(LEN(TRIM(H70))=11,SUMPRODUCT(--(CODE(MID(TRIM(H70),{1,2,3,4},1))&gt;=65),--(CODE(MID(TRIM(H70),{1,2,3,4},1))&lt;=90))=4,MID(TRIM(H70),5,1)="0"),"Valid","Invalid"))</f>
        <v>Valid</v>
      </c>
      <c r="S70" s="2" t="str">
        <f t="shared" si="13"/>
        <v>Valid</v>
      </c>
      <c r="T70" s="2" t="str">
        <f t="shared" si="14"/>
        <v>Invalid</v>
      </c>
      <c r="U70" s="2">
        <f t="shared" si="15"/>
        <v>3</v>
      </c>
      <c r="V70" s="2" t="str">
        <f t="shared" si="16"/>
        <v/>
      </c>
      <c r="W70" s="2" t="s">
        <v>715</v>
      </c>
      <c r="X70" s="2" t="str">
        <f t="shared" si="17"/>
        <v>Unique</v>
      </c>
    </row>
    <row r="71" spans="1:24" x14ac:dyDescent="0.35">
      <c r="A71" s="2" t="s">
        <v>722</v>
      </c>
      <c r="B71" s="2" t="s">
        <v>723</v>
      </c>
      <c r="C71" s="2" t="s">
        <v>724</v>
      </c>
      <c r="D71" s="2"/>
      <c r="E71" s="2" t="s">
        <v>725</v>
      </c>
      <c r="F71" s="2" t="s">
        <v>726</v>
      </c>
      <c r="G71" s="15" t="s">
        <v>727</v>
      </c>
      <c r="H71" s="2" t="s">
        <v>728</v>
      </c>
      <c r="I71" s="2" t="s">
        <v>130</v>
      </c>
      <c r="J71" s="2" t="s">
        <v>184</v>
      </c>
      <c r="K71" s="2" t="s">
        <v>121</v>
      </c>
      <c r="L71" s="2" t="s">
        <v>729</v>
      </c>
      <c r="M71" s="2" t="str">
        <f>IF(TRIM(C71)="","Missing",IF(AND(LEN(TRIM(C71))=10,SUMPRODUCT(--(CODE(MID(TRIM(C71),{1,2,3,4,5,10},1))&gt;=65),--(CODE(MID(TRIM(C71),{1,2,3,4,5,10},1))&lt;=90))=6,ISNUMBER(--MID(TRIM(C71),6,4))),"Valid","Invalid"))</f>
        <v>Valid</v>
      </c>
      <c r="N71" s="2" t="str">
        <f t="shared" si="9"/>
        <v>Missing</v>
      </c>
      <c r="O71" s="2" t="str">
        <f t="shared" si="10"/>
        <v>Valid</v>
      </c>
      <c r="P71" s="2" t="str">
        <f t="shared" si="11"/>
        <v>Valid</v>
      </c>
      <c r="Q71" s="2" t="str">
        <f t="shared" si="12"/>
        <v>Valid</v>
      </c>
      <c r="R71" s="2" t="str">
        <f>IF(TRIM(H71)="","Missing",IF(AND(LEN(TRIM(H71))=11,SUMPRODUCT(--(CODE(MID(TRIM(H71),{1,2,3,4},1))&gt;=65),--(CODE(MID(TRIM(H71),{1,2,3,4},1))&lt;=90))=4,MID(TRIM(H71),5,1)="0"),"Valid","Invalid"))</f>
        <v>Valid</v>
      </c>
      <c r="S71" s="2" t="str">
        <f t="shared" si="13"/>
        <v>Valid</v>
      </c>
      <c r="T71" s="2" t="str">
        <f t="shared" si="14"/>
        <v>Invalid</v>
      </c>
      <c r="U71" s="2">
        <f t="shared" si="15"/>
        <v>2</v>
      </c>
      <c r="V71" s="2" t="str">
        <f t="shared" si="16"/>
        <v>9246287334</v>
      </c>
      <c r="W71" s="2" t="s">
        <v>722</v>
      </c>
      <c r="X71" s="2" t="str">
        <f t="shared" si="17"/>
        <v>Unique</v>
      </c>
    </row>
    <row r="72" spans="1:24" x14ac:dyDescent="0.35">
      <c r="A72" s="2" t="s">
        <v>730</v>
      </c>
      <c r="B72" s="2" t="s">
        <v>731</v>
      </c>
      <c r="C72" s="2" t="s">
        <v>732</v>
      </c>
      <c r="D72" s="2" t="s">
        <v>733</v>
      </c>
      <c r="E72" s="2" t="s">
        <v>734</v>
      </c>
      <c r="F72" s="2" t="s">
        <v>735</v>
      </c>
      <c r="G72" s="15" t="s">
        <v>736</v>
      </c>
      <c r="H72" s="2" t="s">
        <v>737</v>
      </c>
      <c r="I72" s="2" t="s">
        <v>130</v>
      </c>
      <c r="J72" s="2" t="s">
        <v>253</v>
      </c>
      <c r="K72" s="2" t="s">
        <v>121</v>
      </c>
      <c r="L72" s="2" t="s">
        <v>738</v>
      </c>
      <c r="M72" s="2" t="str">
        <f>IF(TRIM(C72)="","Missing",IF(AND(LEN(TRIM(C72))=10,SUMPRODUCT(--(CODE(MID(TRIM(C72),{1,2,3,4,5,10},1))&gt;=65),--(CODE(MID(TRIM(C72),{1,2,3,4,5,10},1))&lt;=90))=6,ISNUMBER(--MID(TRIM(C72),6,4))),"Valid","Invalid"))</f>
        <v>Valid</v>
      </c>
      <c r="N72" s="2" t="str">
        <f t="shared" si="9"/>
        <v>Valid</v>
      </c>
      <c r="O72" s="2" t="str">
        <f t="shared" si="10"/>
        <v>Valid</v>
      </c>
      <c r="P72" s="2" t="str">
        <f t="shared" si="11"/>
        <v>Valid</v>
      </c>
      <c r="Q72" s="2" t="str">
        <f t="shared" si="12"/>
        <v>Valid</v>
      </c>
      <c r="R72" s="2" t="str">
        <f>IF(TRIM(H72)="","Missing",IF(AND(LEN(TRIM(H72))=11,SUMPRODUCT(--(CODE(MID(TRIM(H72),{1,2,3,4},1))&gt;=65),--(CODE(MID(TRIM(H72),{1,2,3,4},1))&lt;=90))=4,MID(TRIM(H72),5,1)="0"),"Valid","Invalid"))</f>
        <v>Invalid</v>
      </c>
      <c r="S72" s="2" t="str">
        <f t="shared" si="13"/>
        <v>Valid</v>
      </c>
      <c r="T72" s="2" t="str">
        <f t="shared" si="14"/>
        <v>Invalid</v>
      </c>
      <c r="U72" s="2">
        <f t="shared" si="15"/>
        <v>2</v>
      </c>
      <c r="V72" s="2" t="str">
        <f t="shared" si="16"/>
        <v>6862118233</v>
      </c>
      <c r="W72" s="2" t="s">
        <v>730</v>
      </c>
      <c r="X72" s="2" t="str">
        <f t="shared" si="17"/>
        <v>Unique</v>
      </c>
    </row>
    <row r="73" spans="1:24" x14ac:dyDescent="0.35">
      <c r="A73" s="2" t="s">
        <v>739</v>
      </c>
      <c r="B73" s="2" t="s">
        <v>740</v>
      </c>
      <c r="C73" s="2" t="s">
        <v>741</v>
      </c>
      <c r="D73" s="2"/>
      <c r="E73" s="2" t="s">
        <v>742</v>
      </c>
      <c r="F73" s="2" t="s">
        <v>743</v>
      </c>
      <c r="G73" s="15" t="s">
        <v>744</v>
      </c>
      <c r="H73" s="2" t="s">
        <v>745</v>
      </c>
      <c r="I73" s="2" t="s">
        <v>130</v>
      </c>
      <c r="J73" s="2" t="s">
        <v>359</v>
      </c>
      <c r="K73" s="2" t="s">
        <v>121</v>
      </c>
      <c r="L73" s="2" t="s">
        <v>232</v>
      </c>
      <c r="M73" s="2" t="str">
        <f>IF(TRIM(C73)="","Missing",IF(AND(LEN(TRIM(C73))=10,SUMPRODUCT(--(CODE(MID(TRIM(C73),{1,2,3,4,5,10},1))&gt;=65),--(CODE(MID(TRIM(C73),{1,2,3,4,5,10},1))&lt;=90))=6,ISNUMBER(--MID(TRIM(C73),6,4))),"Valid","Invalid"))</f>
        <v>Valid</v>
      </c>
      <c r="N73" s="2" t="str">
        <f t="shared" si="9"/>
        <v>Missing</v>
      </c>
      <c r="O73" s="2" t="str">
        <f t="shared" si="10"/>
        <v>Valid</v>
      </c>
      <c r="P73" s="2" t="str">
        <f t="shared" si="11"/>
        <v>Valid</v>
      </c>
      <c r="Q73" s="2" t="str">
        <f t="shared" si="12"/>
        <v>Valid</v>
      </c>
      <c r="R73" s="2" t="str">
        <f>IF(TRIM(H73)="","Missing",IF(AND(LEN(TRIM(H73))=11,SUMPRODUCT(--(CODE(MID(TRIM(H73),{1,2,3,4},1))&gt;=65),--(CODE(MID(TRIM(H73),{1,2,3,4},1))&lt;=90))=4,MID(TRIM(H73),5,1)="0"),"Valid","Invalid"))</f>
        <v>Valid</v>
      </c>
      <c r="S73" s="2" t="str">
        <f t="shared" si="13"/>
        <v>Valid</v>
      </c>
      <c r="T73" s="2" t="str">
        <f t="shared" si="14"/>
        <v>Valid</v>
      </c>
      <c r="U73" s="2">
        <f t="shared" si="15"/>
        <v>1</v>
      </c>
      <c r="V73" s="2" t="str">
        <f t="shared" si="16"/>
        <v>919262570165</v>
      </c>
      <c r="W73" s="2" t="s">
        <v>739</v>
      </c>
      <c r="X73" s="2" t="str">
        <f t="shared" si="17"/>
        <v>Unique</v>
      </c>
    </row>
    <row r="74" spans="1:24" x14ac:dyDescent="0.35">
      <c r="A74" s="2" t="s">
        <v>746</v>
      </c>
      <c r="B74" s="2" t="s">
        <v>747</v>
      </c>
      <c r="C74" s="2" t="s">
        <v>748</v>
      </c>
      <c r="D74" s="2" t="s">
        <v>749</v>
      </c>
      <c r="E74" s="2" t="s">
        <v>750</v>
      </c>
      <c r="F74" s="2" t="s">
        <v>751</v>
      </c>
      <c r="G74" s="15" t="s">
        <v>752</v>
      </c>
      <c r="H74" s="2" t="s">
        <v>753</v>
      </c>
      <c r="I74" s="2" t="s">
        <v>130</v>
      </c>
      <c r="J74" s="2" t="s">
        <v>243</v>
      </c>
      <c r="K74" s="2" t="s">
        <v>121</v>
      </c>
      <c r="L74" s="2" t="s">
        <v>754</v>
      </c>
      <c r="M74" s="2" t="str">
        <f>IF(TRIM(C74)="","Missing",IF(AND(LEN(TRIM(C74))=10,SUMPRODUCT(--(CODE(MID(TRIM(C74),{1,2,3,4,5,10},1))&gt;=65),--(CODE(MID(TRIM(C74),{1,2,3,4,5,10},1))&lt;=90))=6,ISNUMBER(--MID(TRIM(C74),6,4))),"Valid","Invalid"))</f>
        <v>Valid</v>
      </c>
      <c r="N74" s="2" t="str">
        <f t="shared" si="9"/>
        <v>Valid</v>
      </c>
      <c r="O74" s="2" t="str">
        <f t="shared" si="10"/>
        <v>Valid</v>
      </c>
      <c r="P74" s="2" t="str">
        <f t="shared" si="11"/>
        <v>Valid</v>
      </c>
      <c r="Q74" s="2" t="str">
        <f t="shared" si="12"/>
        <v>Valid</v>
      </c>
      <c r="R74" s="2" t="str">
        <f>IF(TRIM(H74)="","Missing",IF(AND(LEN(TRIM(H74))=11,SUMPRODUCT(--(CODE(MID(TRIM(H74),{1,2,3,4},1))&gt;=65),--(CODE(MID(TRIM(H74),{1,2,3,4},1))&lt;=90))=4,MID(TRIM(H74),5,1)="0"),"Valid","Invalid"))</f>
        <v>Valid</v>
      </c>
      <c r="S74" s="2" t="str">
        <f t="shared" si="13"/>
        <v>Valid</v>
      </c>
      <c r="T74" s="2" t="str">
        <f t="shared" si="14"/>
        <v>Invalid</v>
      </c>
      <c r="U74" s="2">
        <f t="shared" si="15"/>
        <v>1</v>
      </c>
      <c r="V74" s="2" t="str">
        <f t="shared" si="16"/>
        <v>8478137674</v>
      </c>
      <c r="W74" s="2" t="s">
        <v>746</v>
      </c>
      <c r="X74" s="2" t="str">
        <f t="shared" si="17"/>
        <v>Unique</v>
      </c>
    </row>
    <row r="75" spans="1:24" x14ac:dyDescent="0.35">
      <c r="A75" s="2" t="s">
        <v>755</v>
      </c>
      <c r="B75" s="2" t="s">
        <v>756</v>
      </c>
      <c r="C75" s="2" t="s">
        <v>389</v>
      </c>
      <c r="D75" s="2" t="s">
        <v>390</v>
      </c>
      <c r="E75" s="2" t="s">
        <v>757</v>
      </c>
      <c r="F75" s="2" t="s">
        <v>758</v>
      </c>
      <c r="G75" s="15"/>
      <c r="H75" s="2" t="s">
        <v>394</v>
      </c>
      <c r="I75" s="2" t="s">
        <v>119</v>
      </c>
      <c r="J75" s="2" t="s">
        <v>359</v>
      </c>
      <c r="K75" s="2" t="s">
        <v>121</v>
      </c>
      <c r="L75" s="2" t="s">
        <v>759</v>
      </c>
      <c r="M75" s="2" t="str">
        <f>IF(TRIM(C75)="","Missing",IF(AND(LEN(TRIM(C75))=10,SUMPRODUCT(--(CODE(MID(TRIM(C75),{1,2,3,4,5,10},1))&gt;=65),--(CODE(MID(TRIM(C75),{1,2,3,4,5,10},1))&lt;=90))=6,ISNUMBER(--MID(TRIM(C75),6,4))),"Valid","Invalid"))</f>
        <v>Valid</v>
      </c>
      <c r="N75" s="2" t="str">
        <f t="shared" si="9"/>
        <v>Valid</v>
      </c>
      <c r="O75" s="2" t="str">
        <f t="shared" si="10"/>
        <v>Invalid</v>
      </c>
      <c r="P75" s="2" t="str">
        <f t="shared" si="11"/>
        <v>Invalid</v>
      </c>
      <c r="Q75" s="2" t="str">
        <f t="shared" si="12"/>
        <v>Missing</v>
      </c>
      <c r="R75" s="2" t="str">
        <f>IF(TRIM(H75)="","Missing",IF(AND(LEN(TRIM(H75))=11,SUMPRODUCT(--(CODE(MID(TRIM(H75),{1,2,3,4},1))&gt;=65),--(CODE(MID(TRIM(H75),{1,2,3,4},1))&lt;=90))=4,MID(TRIM(H75),5,1)="0"),"Valid","Invalid"))</f>
        <v>Valid</v>
      </c>
      <c r="S75" s="2" t="str">
        <f t="shared" si="13"/>
        <v>Invalid</v>
      </c>
      <c r="T75" s="2" t="str">
        <f t="shared" si="14"/>
        <v>Valid</v>
      </c>
      <c r="U75" s="2">
        <f t="shared" si="15"/>
        <v>4</v>
      </c>
      <c r="V75" s="2" t="str">
        <f t="shared" si="16"/>
        <v>819182553</v>
      </c>
      <c r="W75" s="2" t="s">
        <v>387</v>
      </c>
      <c r="X75" s="2" t="str">
        <f t="shared" si="17"/>
        <v>Duplicate</v>
      </c>
    </row>
    <row r="76" spans="1:24" x14ac:dyDescent="0.35">
      <c r="A76" s="2" t="s">
        <v>760</v>
      </c>
      <c r="B76" s="2" t="s">
        <v>761</v>
      </c>
      <c r="C76" s="2" t="s">
        <v>762</v>
      </c>
      <c r="D76" s="2" t="s">
        <v>763</v>
      </c>
      <c r="E76" s="2" t="s">
        <v>764</v>
      </c>
      <c r="F76" s="2" t="s">
        <v>765</v>
      </c>
      <c r="G76" s="15" t="s">
        <v>766</v>
      </c>
      <c r="H76" s="2" t="s">
        <v>767</v>
      </c>
      <c r="I76" s="2" t="s">
        <v>130</v>
      </c>
      <c r="J76" s="2" t="s">
        <v>174</v>
      </c>
      <c r="K76" s="2" t="s">
        <v>121</v>
      </c>
      <c r="L76" s="2" t="s">
        <v>768</v>
      </c>
      <c r="M76" s="2" t="str">
        <f>IF(TRIM(C76)="","Missing",IF(AND(LEN(TRIM(C76))=10,SUMPRODUCT(--(CODE(MID(TRIM(C76),{1,2,3,4,5,10},1))&gt;=65),--(CODE(MID(TRIM(C76),{1,2,3,4,5,10},1))&lt;=90))=6,ISNUMBER(--MID(TRIM(C76),6,4))),"Valid","Invalid"))</f>
        <v>Valid</v>
      </c>
      <c r="N76" s="2" t="str">
        <f t="shared" si="9"/>
        <v>Valid</v>
      </c>
      <c r="O76" s="2" t="str">
        <f t="shared" si="10"/>
        <v>Valid</v>
      </c>
      <c r="P76" s="2" t="str">
        <f t="shared" si="11"/>
        <v>Valid</v>
      </c>
      <c r="Q76" s="2" t="str">
        <f t="shared" si="12"/>
        <v>Valid</v>
      </c>
      <c r="R76" s="2" t="str">
        <f>IF(TRIM(H76)="","Missing",IF(AND(LEN(TRIM(H76))=11,SUMPRODUCT(--(CODE(MID(TRIM(H76),{1,2,3,4},1))&gt;=65),--(CODE(MID(TRIM(H76),{1,2,3,4},1))&lt;=90))=4,MID(TRIM(H76),5,1)="0"),"Valid","Invalid"))</f>
        <v>Valid</v>
      </c>
      <c r="S76" s="2" t="str">
        <f t="shared" si="13"/>
        <v>Valid</v>
      </c>
      <c r="T76" s="2" t="str">
        <f t="shared" si="14"/>
        <v>Valid</v>
      </c>
      <c r="U76" s="2">
        <f t="shared" si="15"/>
        <v>0</v>
      </c>
      <c r="V76" s="2" t="str">
        <f t="shared" si="16"/>
        <v>8573875717</v>
      </c>
      <c r="W76" s="2" t="s">
        <v>760</v>
      </c>
      <c r="X76" s="2" t="str">
        <f t="shared" si="17"/>
        <v>Unique</v>
      </c>
    </row>
    <row r="77" spans="1:24" x14ac:dyDescent="0.35">
      <c r="A77" s="2" t="s">
        <v>769</v>
      </c>
      <c r="B77" s="2" t="s">
        <v>770</v>
      </c>
      <c r="C77" s="2" t="s">
        <v>771</v>
      </c>
      <c r="D77" s="2" t="s">
        <v>302</v>
      </c>
      <c r="E77" s="2" t="s">
        <v>772</v>
      </c>
      <c r="F77" s="2" t="s">
        <v>304</v>
      </c>
      <c r="G77" s="15" t="s">
        <v>305</v>
      </c>
      <c r="H77" s="2" t="s">
        <v>306</v>
      </c>
      <c r="I77" s="2" t="s">
        <v>130</v>
      </c>
      <c r="J77" s="2" t="s">
        <v>131</v>
      </c>
      <c r="K77" s="2" t="s">
        <v>121</v>
      </c>
      <c r="L77" s="2" t="s">
        <v>773</v>
      </c>
      <c r="M77" s="2" t="str">
        <f>IF(TRIM(C77)="","Missing",IF(AND(LEN(TRIM(C77))=10,SUMPRODUCT(--(CODE(MID(TRIM(C77),{1,2,3,4,5,10},1))&gt;=65),--(CODE(MID(TRIM(C77),{1,2,3,4,5,10},1))&lt;=90))=6,ISNUMBER(--MID(TRIM(C77),6,4))),"Valid","Invalid"))</f>
        <v>Invalid</v>
      </c>
      <c r="N77" s="2" t="str">
        <f t="shared" si="9"/>
        <v>Valid</v>
      </c>
      <c r="O77" s="2" t="str">
        <f t="shared" si="10"/>
        <v>Valid</v>
      </c>
      <c r="P77" s="2" t="str">
        <f t="shared" si="11"/>
        <v>Valid</v>
      </c>
      <c r="Q77" s="2" t="str">
        <f t="shared" si="12"/>
        <v>Valid</v>
      </c>
      <c r="R77" s="2" t="str">
        <f>IF(TRIM(H77)="","Missing",IF(AND(LEN(TRIM(H77))=11,SUMPRODUCT(--(CODE(MID(TRIM(H77),{1,2,3,4},1))&gt;=65),--(CODE(MID(TRIM(H77),{1,2,3,4},1))&lt;=90))=4,MID(TRIM(H77),5,1)="0"),"Valid","Invalid"))</f>
        <v>Valid</v>
      </c>
      <c r="S77" s="2" t="str">
        <f t="shared" si="13"/>
        <v>Valid</v>
      </c>
      <c r="T77" s="2" t="str">
        <f t="shared" si="14"/>
        <v>Invalid</v>
      </c>
      <c r="U77" s="2">
        <f t="shared" si="15"/>
        <v>2</v>
      </c>
      <c r="V77" s="2" t="str">
        <f t="shared" si="16"/>
        <v>8954508920</v>
      </c>
      <c r="W77" s="2" t="s">
        <v>299</v>
      </c>
      <c r="X77" s="2" t="str">
        <f t="shared" si="17"/>
        <v>Duplicate</v>
      </c>
    </row>
    <row r="78" spans="1:24" x14ac:dyDescent="0.35">
      <c r="A78" s="2" t="s">
        <v>774</v>
      </c>
      <c r="B78" s="2" t="s">
        <v>775</v>
      </c>
      <c r="C78" s="2" t="s">
        <v>776</v>
      </c>
      <c r="D78" s="2" t="s">
        <v>777</v>
      </c>
      <c r="E78" s="2" t="s">
        <v>778</v>
      </c>
      <c r="F78" s="2" t="s">
        <v>779</v>
      </c>
      <c r="G78" s="15" t="s">
        <v>780</v>
      </c>
      <c r="H78" s="2" t="s">
        <v>781</v>
      </c>
      <c r="I78" s="2" t="s">
        <v>119</v>
      </c>
      <c r="J78" s="2" t="s">
        <v>141</v>
      </c>
      <c r="K78" s="2" t="s">
        <v>121</v>
      </c>
      <c r="L78" s="2" t="s">
        <v>782</v>
      </c>
      <c r="M78" s="2" t="str">
        <f>IF(TRIM(C78)="","Missing",IF(AND(LEN(TRIM(C78))=10,SUMPRODUCT(--(CODE(MID(TRIM(C78),{1,2,3,4,5,10},1))&gt;=65),--(CODE(MID(TRIM(C78),{1,2,3,4,5,10},1))&lt;=90))=6,ISNUMBER(--MID(TRIM(C78),6,4))),"Valid","Invalid"))</f>
        <v>Valid</v>
      </c>
      <c r="N78" s="2" t="str">
        <f t="shared" si="9"/>
        <v>Valid</v>
      </c>
      <c r="O78" s="2" t="str">
        <f t="shared" si="10"/>
        <v>Valid</v>
      </c>
      <c r="P78" s="2" t="str">
        <f t="shared" si="11"/>
        <v>Valid</v>
      </c>
      <c r="Q78" s="2" t="str">
        <f t="shared" si="12"/>
        <v>Valid</v>
      </c>
      <c r="R78" s="2" t="str">
        <f>IF(TRIM(H78)="","Missing",IF(AND(LEN(TRIM(H78))=11,SUMPRODUCT(--(CODE(MID(TRIM(H78),{1,2,3,4},1))&gt;=65),--(CODE(MID(TRIM(H78),{1,2,3,4},1))&lt;=90))=4,MID(TRIM(H78),5,1)="0"),"Valid","Invalid"))</f>
        <v>Valid</v>
      </c>
      <c r="S78" s="2" t="str">
        <f t="shared" si="13"/>
        <v>Invalid</v>
      </c>
      <c r="T78" s="2" t="str">
        <f t="shared" si="14"/>
        <v>Valid</v>
      </c>
      <c r="U78" s="2">
        <f t="shared" si="15"/>
        <v>1</v>
      </c>
      <c r="V78" s="2" t="str">
        <f t="shared" si="16"/>
        <v>919086803476</v>
      </c>
      <c r="W78" s="2" t="s">
        <v>774</v>
      </c>
      <c r="X78" s="2" t="str">
        <f t="shared" si="17"/>
        <v>Unique</v>
      </c>
    </row>
    <row r="79" spans="1:24" x14ac:dyDescent="0.35">
      <c r="A79" s="2" t="s">
        <v>783</v>
      </c>
      <c r="B79" s="2" t="s">
        <v>784</v>
      </c>
      <c r="C79" s="2"/>
      <c r="D79" s="2"/>
      <c r="E79" s="2" t="s">
        <v>785</v>
      </c>
      <c r="F79" s="2" t="s">
        <v>786</v>
      </c>
      <c r="G79" s="15"/>
      <c r="H79" s="2" t="s">
        <v>640</v>
      </c>
      <c r="I79" s="2" t="s">
        <v>130</v>
      </c>
      <c r="J79" s="2" t="s">
        <v>141</v>
      </c>
      <c r="K79" s="2" t="s">
        <v>121</v>
      </c>
      <c r="L79" s="2" t="s">
        <v>787</v>
      </c>
      <c r="M79" s="2" t="str">
        <f>IF(TRIM(C79)="","Missing",IF(AND(LEN(TRIM(C79))=10,SUMPRODUCT(--(CODE(MID(TRIM(C79),{1,2,3,4,5,10},1))&gt;=65),--(CODE(MID(TRIM(C79),{1,2,3,4,5,10},1))&lt;=90))=6,ISNUMBER(--MID(TRIM(C79),6,4))),"Valid","Invalid"))</f>
        <v>Missing</v>
      </c>
      <c r="N79" s="2" t="str">
        <f t="shared" si="9"/>
        <v>Missing</v>
      </c>
      <c r="O79" s="2" t="str">
        <f t="shared" si="10"/>
        <v>Valid</v>
      </c>
      <c r="P79" s="2" t="str">
        <f t="shared" si="11"/>
        <v>Invalid</v>
      </c>
      <c r="Q79" s="2" t="str">
        <f t="shared" si="12"/>
        <v>Missing</v>
      </c>
      <c r="R79" s="2" t="str">
        <f>IF(TRIM(H79)="","Missing",IF(AND(LEN(TRIM(H79))=11,SUMPRODUCT(--(CODE(MID(TRIM(H79),{1,2,3,4},1))&gt;=65),--(CODE(MID(TRIM(H79),{1,2,3,4},1))&lt;=90))=4,MID(TRIM(H79),5,1)="0"),"Valid","Invalid"))</f>
        <v>Valid</v>
      </c>
      <c r="S79" s="2" t="str">
        <f t="shared" si="13"/>
        <v>Valid</v>
      </c>
      <c r="T79" s="2" t="str">
        <f t="shared" si="14"/>
        <v>Valid</v>
      </c>
      <c r="U79" s="2">
        <f t="shared" si="15"/>
        <v>4</v>
      </c>
      <c r="V79" s="2" t="str">
        <f t="shared" si="16"/>
        <v>792407553</v>
      </c>
      <c r="W79" s="2" t="s">
        <v>783</v>
      </c>
      <c r="X79" s="2" t="str">
        <f t="shared" si="17"/>
        <v>Unique</v>
      </c>
    </row>
    <row r="80" spans="1:24" x14ac:dyDescent="0.35">
      <c r="A80" s="2" t="s">
        <v>788</v>
      </c>
      <c r="B80" s="2" t="s">
        <v>789</v>
      </c>
      <c r="C80" s="2" t="s">
        <v>790</v>
      </c>
      <c r="D80" s="2" t="s">
        <v>791</v>
      </c>
      <c r="E80" s="2" t="s">
        <v>792</v>
      </c>
      <c r="F80" s="2" t="s">
        <v>793</v>
      </c>
      <c r="G80" s="15" t="s">
        <v>794</v>
      </c>
      <c r="H80" s="2" t="s">
        <v>795</v>
      </c>
      <c r="I80" s="2" t="s">
        <v>130</v>
      </c>
      <c r="J80" s="2" t="s">
        <v>289</v>
      </c>
      <c r="K80" s="2" t="s">
        <v>121</v>
      </c>
      <c r="L80" s="2" t="s">
        <v>796</v>
      </c>
      <c r="M80" s="2" t="str">
        <f>IF(TRIM(C80)="","Missing",IF(AND(LEN(TRIM(C80))=10,SUMPRODUCT(--(CODE(MID(TRIM(C80),{1,2,3,4,5,10},1))&gt;=65),--(CODE(MID(TRIM(C80),{1,2,3,4,5,10},1))&lt;=90))=6,ISNUMBER(--MID(TRIM(C80),6,4))),"Valid","Invalid"))</f>
        <v>Valid</v>
      </c>
      <c r="N80" s="2" t="str">
        <f t="shared" si="9"/>
        <v>Valid</v>
      </c>
      <c r="O80" s="2" t="str">
        <f t="shared" si="10"/>
        <v>Valid</v>
      </c>
      <c r="P80" s="2" t="str">
        <f t="shared" si="11"/>
        <v>Valid</v>
      </c>
      <c r="Q80" s="2" t="str">
        <f t="shared" si="12"/>
        <v>Valid</v>
      </c>
      <c r="R80" s="2" t="str">
        <f>IF(TRIM(H80)="","Missing",IF(AND(LEN(TRIM(H80))=11,SUMPRODUCT(--(CODE(MID(TRIM(H80),{1,2,3,4},1))&gt;=65),--(CODE(MID(TRIM(H80),{1,2,3,4},1))&lt;=90))=4,MID(TRIM(H80),5,1)="0"),"Valid","Invalid"))</f>
        <v>Valid</v>
      </c>
      <c r="S80" s="2" t="str">
        <f t="shared" si="13"/>
        <v>Valid</v>
      </c>
      <c r="T80" s="2" t="str">
        <f t="shared" si="14"/>
        <v>Invalid</v>
      </c>
      <c r="U80" s="2">
        <f t="shared" si="15"/>
        <v>1</v>
      </c>
      <c r="V80" s="2" t="str">
        <f t="shared" si="16"/>
        <v>918538179217</v>
      </c>
      <c r="W80" s="2" t="s">
        <v>788</v>
      </c>
      <c r="X80" s="2" t="str">
        <f t="shared" si="17"/>
        <v>Unique</v>
      </c>
    </row>
    <row r="81" spans="1:24" x14ac:dyDescent="0.35">
      <c r="A81" s="2" t="s">
        <v>797</v>
      </c>
      <c r="B81" s="2" t="s">
        <v>798</v>
      </c>
      <c r="C81" s="2" t="s">
        <v>799</v>
      </c>
      <c r="D81" s="2" t="s">
        <v>800</v>
      </c>
      <c r="E81" s="2" t="s">
        <v>801</v>
      </c>
      <c r="F81" s="2" t="s">
        <v>802</v>
      </c>
      <c r="G81" s="15" t="s">
        <v>803</v>
      </c>
      <c r="H81" s="2" t="s">
        <v>804</v>
      </c>
      <c r="I81" s="2" t="s">
        <v>130</v>
      </c>
      <c r="J81" s="2" t="s">
        <v>563</v>
      </c>
      <c r="K81" s="2" t="s">
        <v>121</v>
      </c>
      <c r="L81" s="2" t="s">
        <v>805</v>
      </c>
      <c r="M81" s="2" t="str">
        <f>IF(TRIM(C81)="","Missing",IF(AND(LEN(TRIM(C81))=10,SUMPRODUCT(--(CODE(MID(TRIM(C81),{1,2,3,4,5,10},1))&gt;=65),--(CODE(MID(TRIM(C81),{1,2,3,4,5,10},1))&lt;=90))=6,ISNUMBER(--MID(TRIM(C81),6,4))),"Valid","Invalid"))</f>
        <v>Valid</v>
      </c>
      <c r="N81" s="2" t="str">
        <f t="shared" si="9"/>
        <v>Valid</v>
      </c>
      <c r="O81" s="2" t="str">
        <f t="shared" si="10"/>
        <v>Valid</v>
      </c>
      <c r="P81" s="2" t="str">
        <f t="shared" si="11"/>
        <v>Valid</v>
      </c>
      <c r="Q81" s="2" t="str">
        <f t="shared" si="12"/>
        <v>Valid</v>
      </c>
      <c r="R81" s="2" t="str">
        <f>IF(TRIM(H81)="","Missing",IF(AND(LEN(TRIM(H81))=11,SUMPRODUCT(--(CODE(MID(TRIM(H81),{1,2,3,4},1))&gt;=65),--(CODE(MID(TRIM(H81),{1,2,3,4},1))&lt;=90))=4,MID(TRIM(H81),5,1)="0"),"Valid","Invalid"))</f>
        <v>Valid</v>
      </c>
      <c r="S81" s="2" t="str">
        <f t="shared" si="13"/>
        <v>Valid</v>
      </c>
      <c r="T81" s="2" t="str">
        <f t="shared" si="14"/>
        <v>Invalid</v>
      </c>
      <c r="U81" s="2">
        <f t="shared" si="15"/>
        <v>1</v>
      </c>
      <c r="V81" s="2" t="str">
        <f t="shared" si="16"/>
        <v>7042897317</v>
      </c>
      <c r="W81" s="2" t="s">
        <v>797</v>
      </c>
      <c r="X81" s="2" t="str">
        <f t="shared" si="17"/>
        <v>Duplicate</v>
      </c>
    </row>
    <row r="82" spans="1:24" x14ac:dyDescent="0.35">
      <c r="A82" s="2" t="s">
        <v>806</v>
      </c>
      <c r="B82" s="2" t="s">
        <v>807</v>
      </c>
      <c r="C82" s="2"/>
      <c r="D82" s="2" t="s">
        <v>808</v>
      </c>
      <c r="E82" s="2" t="s">
        <v>809</v>
      </c>
      <c r="F82" s="2"/>
      <c r="G82" s="15" t="s">
        <v>810</v>
      </c>
      <c r="H82" s="2" t="s">
        <v>811</v>
      </c>
      <c r="I82" s="2" t="s">
        <v>130</v>
      </c>
      <c r="J82" s="2" t="s">
        <v>120</v>
      </c>
      <c r="K82" s="2" t="s">
        <v>142</v>
      </c>
      <c r="L82" s="2" t="s">
        <v>812</v>
      </c>
      <c r="M82" s="2" t="str">
        <f>IF(TRIM(C82)="","Missing",IF(AND(LEN(TRIM(C82))=10,SUMPRODUCT(--(CODE(MID(TRIM(C82),{1,2,3,4,5,10},1))&gt;=65),--(CODE(MID(TRIM(C82),{1,2,3,4,5,10},1))&lt;=90))=6,ISNUMBER(--MID(TRIM(C82),6,4))),"Valid","Invalid"))</f>
        <v>Missing</v>
      </c>
      <c r="N82" s="2" t="str">
        <f t="shared" si="9"/>
        <v>PAN Mismatch</v>
      </c>
      <c r="O82" s="2" t="str">
        <f t="shared" si="10"/>
        <v>Valid</v>
      </c>
      <c r="P82" s="2" t="str">
        <f t="shared" si="11"/>
        <v>Missing</v>
      </c>
      <c r="Q82" s="2" t="str">
        <f t="shared" si="12"/>
        <v>Valid</v>
      </c>
      <c r="R82" s="2" t="str">
        <f>IF(TRIM(H82)="","Missing",IF(AND(LEN(TRIM(H82))=11,SUMPRODUCT(--(CODE(MID(TRIM(H82),{1,2,3,4},1))&gt;=65),--(CODE(MID(TRIM(H82),{1,2,3,4},1))&lt;=90))=4,MID(TRIM(H82),5,1)="0"),"Valid","Invalid"))</f>
        <v>Valid</v>
      </c>
      <c r="S82" s="2" t="str">
        <f t="shared" si="13"/>
        <v>Valid</v>
      </c>
      <c r="T82" s="2" t="str">
        <f t="shared" si="14"/>
        <v>Invalid</v>
      </c>
      <c r="U82" s="2">
        <f t="shared" si="15"/>
        <v>4</v>
      </c>
      <c r="V82" s="2" t="str">
        <f t="shared" si="16"/>
        <v/>
      </c>
      <c r="W82" s="2" t="s">
        <v>813</v>
      </c>
      <c r="X82" s="2" t="str">
        <f t="shared" si="17"/>
        <v>Duplicate</v>
      </c>
    </row>
    <row r="83" spans="1:24" x14ac:dyDescent="0.35">
      <c r="A83" s="2" t="s">
        <v>350</v>
      </c>
      <c r="B83" s="2" t="s">
        <v>814</v>
      </c>
      <c r="C83" s="2" t="s">
        <v>344</v>
      </c>
      <c r="D83" s="2" t="s">
        <v>815</v>
      </c>
      <c r="E83" s="2" t="s">
        <v>816</v>
      </c>
      <c r="F83" s="2" t="s">
        <v>817</v>
      </c>
      <c r="G83" s="15" t="s">
        <v>347</v>
      </c>
      <c r="H83" s="2" t="s">
        <v>818</v>
      </c>
      <c r="I83" s="2" t="s">
        <v>130</v>
      </c>
      <c r="J83" s="2" t="s">
        <v>359</v>
      </c>
      <c r="K83" s="2" t="s">
        <v>121</v>
      </c>
      <c r="L83" s="2" t="s">
        <v>819</v>
      </c>
      <c r="M83" s="2" t="str">
        <f>IF(TRIM(C83)="","Missing",IF(AND(LEN(TRIM(C83))=10,SUMPRODUCT(--(CODE(MID(TRIM(C83),{1,2,3,4,5,10},1))&gt;=65),--(CODE(MID(TRIM(C83),{1,2,3,4,5,10},1))&lt;=90))=6,ISNUMBER(--MID(TRIM(C83),6,4))),"Valid","Invalid"))</f>
        <v>Valid</v>
      </c>
      <c r="N83" s="2" t="str">
        <f t="shared" si="9"/>
        <v>Valid</v>
      </c>
      <c r="O83" s="2" t="str">
        <f t="shared" si="10"/>
        <v>Valid</v>
      </c>
      <c r="P83" s="2" t="str">
        <f t="shared" si="11"/>
        <v>Valid</v>
      </c>
      <c r="Q83" s="2" t="str">
        <f t="shared" si="12"/>
        <v>Valid</v>
      </c>
      <c r="R83" s="2" t="str">
        <f>IF(TRIM(H83)="","Missing",IF(AND(LEN(TRIM(H83))=11,SUMPRODUCT(--(CODE(MID(TRIM(H83),{1,2,3,4},1))&gt;=65),--(CODE(MID(TRIM(H83),{1,2,3,4},1))&lt;=90))=4,MID(TRIM(H83),5,1)="0"),"Valid","Invalid"))</f>
        <v>Valid</v>
      </c>
      <c r="S83" s="2" t="str">
        <f t="shared" si="13"/>
        <v>Valid</v>
      </c>
      <c r="T83" s="2" t="str">
        <f t="shared" si="14"/>
        <v>Valid</v>
      </c>
      <c r="U83" s="2">
        <f t="shared" si="15"/>
        <v>0</v>
      </c>
      <c r="V83" s="2" t="str">
        <f t="shared" si="16"/>
        <v>917173505831</v>
      </c>
      <c r="W83" s="2" t="s">
        <v>350</v>
      </c>
      <c r="X83" s="2" t="str">
        <f t="shared" si="17"/>
        <v>Duplicate</v>
      </c>
    </row>
    <row r="84" spans="1:24" x14ac:dyDescent="0.35">
      <c r="A84" s="2" t="s">
        <v>820</v>
      </c>
      <c r="B84" s="2" t="s">
        <v>821</v>
      </c>
      <c r="C84" s="2" t="s">
        <v>822</v>
      </c>
      <c r="D84" s="2" t="s">
        <v>823</v>
      </c>
      <c r="E84" s="2"/>
      <c r="F84" s="2" t="s">
        <v>824</v>
      </c>
      <c r="G84" s="15" t="s">
        <v>825</v>
      </c>
      <c r="H84" s="2" t="s">
        <v>826</v>
      </c>
      <c r="I84" s="2" t="s">
        <v>130</v>
      </c>
      <c r="J84" s="2" t="s">
        <v>184</v>
      </c>
      <c r="K84" s="2" t="s">
        <v>121</v>
      </c>
      <c r="L84" s="2" t="s">
        <v>827</v>
      </c>
      <c r="M84" s="2" t="str">
        <f>IF(TRIM(C84)="","Missing",IF(AND(LEN(TRIM(C84))=10,SUMPRODUCT(--(CODE(MID(TRIM(C84),{1,2,3,4,5,10},1))&gt;=65),--(CODE(MID(TRIM(C84),{1,2,3,4,5,10},1))&lt;=90))=6,ISNUMBER(--MID(TRIM(C84),6,4))),"Valid","Invalid"))</f>
        <v>Valid</v>
      </c>
      <c r="N84" s="2" t="str">
        <f t="shared" si="9"/>
        <v>Valid</v>
      </c>
      <c r="O84" s="2" t="str">
        <f t="shared" si="10"/>
        <v>Missing</v>
      </c>
      <c r="P84" s="2" t="str">
        <f t="shared" si="11"/>
        <v>Valid</v>
      </c>
      <c r="Q84" s="2" t="str">
        <f t="shared" si="12"/>
        <v>Valid</v>
      </c>
      <c r="R84" s="2" t="str">
        <f>IF(TRIM(H84)="","Missing",IF(AND(LEN(TRIM(H84))=11,SUMPRODUCT(--(CODE(MID(TRIM(H84),{1,2,3,4},1))&gt;=65),--(CODE(MID(TRIM(H84),{1,2,3,4},1))&lt;=90))=4,MID(TRIM(H84),5,1)="0"),"Valid","Invalid"))</f>
        <v>Valid</v>
      </c>
      <c r="S84" s="2" t="str">
        <f t="shared" si="13"/>
        <v>Valid</v>
      </c>
      <c r="T84" s="2" t="str">
        <f t="shared" si="14"/>
        <v>Invalid</v>
      </c>
      <c r="U84" s="2">
        <f t="shared" si="15"/>
        <v>2</v>
      </c>
      <c r="V84" s="2" t="str">
        <f t="shared" si="16"/>
        <v>918338005452</v>
      </c>
      <c r="W84" s="2" t="s">
        <v>820</v>
      </c>
      <c r="X84" s="2" t="str">
        <f t="shared" si="17"/>
        <v>Unique</v>
      </c>
    </row>
    <row r="85" spans="1:24" x14ac:dyDescent="0.35">
      <c r="A85" s="2" t="s">
        <v>828</v>
      </c>
      <c r="B85" s="2" t="s">
        <v>829</v>
      </c>
      <c r="C85" s="2" t="s">
        <v>830</v>
      </c>
      <c r="D85" s="2" t="s">
        <v>831</v>
      </c>
      <c r="E85" s="2" t="s">
        <v>832</v>
      </c>
      <c r="F85" s="2" t="s">
        <v>833</v>
      </c>
      <c r="G85" s="15" t="s">
        <v>834</v>
      </c>
      <c r="H85" s="2" t="s">
        <v>835</v>
      </c>
      <c r="I85" s="2" t="s">
        <v>130</v>
      </c>
      <c r="J85" s="2" t="s">
        <v>184</v>
      </c>
      <c r="K85" s="2" t="s">
        <v>121</v>
      </c>
      <c r="L85" s="2" t="s">
        <v>836</v>
      </c>
      <c r="M85" s="2" t="str">
        <f>IF(TRIM(C85)="","Missing",IF(AND(LEN(TRIM(C85))=10,SUMPRODUCT(--(CODE(MID(TRIM(C85),{1,2,3,4,5,10},1))&gt;=65),--(CODE(MID(TRIM(C85),{1,2,3,4,5,10},1))&lt;=90))=6,ISNUMBER(--MID(TRIM(C85),6,4))),"Valid","Invalid"))</f>
        <v>Valid</v>
      </c>
      <c r="N85" s="2" t="str">
        <f t="shared" si="9"/>
        <v>Valid</v>
      </c>
      <c r="O85" s="2" t="str">
        <f t="shared" si="10"/>
        <v>Valid</v>
      </c>
      <c r="P85" s="2" t="str">
        <f t="shared" si="11"/>
        <v>Valid</v>
      </c>
      <c r="Q85" s="2" t="str">
        <f t="shared" si="12"/>
        <v>Valid</v>
      </c>
      <c r="R85" s="2" t="str">
        <f>IF(TRIM(H85)="","Missing",IF(AND(LEN(TRIM(H85))=11,SUMPRODUCT(--(CODE(MID(TRIM(H85),{1,2,3,4},1))&gt;=65),--(CODE(MID(TRIM(H85),{1,2,3,4},1))&lt;=90))=4,MID(TRIM(H85),5,1)="0"),"Valid","Invalid"))</f>
        <v>Valid</v>
      </c>
      <c r="S85" s="2" t="str">
        <f t="shared" si="13"/>
        <v>Valid</v>
      </c>
      <c r="T85" s="2" t="str">
        <f t="shared" si="14"/>
        <v>Invalid</v>
      </c>
      <c r="U85" s="2">
        <f t="shared" si="15"/>
        <v>1</v>
      </c>
      <c r="V85" s="2" t="str">
        <f t="shared" si="16"/>
        <v>6434103697</v>
      </c>
      <c r="W85" s="2" t="s">
        <v>828</v>
      </c>
      <c r="X85" s="2" t="str">
        <f t="shared" si="17"/>
        <v>Unique</v>
      </c>
    </row>
    <row r="86" spans="1:24" x14ac:dyDescent="0.35">
      <c r="A86" s="2" t="s">
        <v>837</v>
      </c>
      <c r="B86" s="2" t="s">
        <v>838</v>
      </c>
      <c r="C86" s="2" t="s">
        <v>839</v>
      </c>
      <c r="D86" s="2" t="s">
        <v>840</v>
      </c>
      <c r="E86" s="2" t="s">
        <v>841</v>
      </c>
      <c r="F86" s="2" t="s">
        <v>842</v>
      </c>
      <c r="G86" s="15" t="s">
        <v>843</v>
      </c>
      <c r="H86" s="2" t="s">
        <v>844</v>
      </c>
      <c r="I86" s="2" t="s">
        <v>130</v>
      </c>
      <c r="J86" s="2" t="s">
        <v>845</v>
      </c>
      <c r="K86" s="2" t="s">
        <v>121</v>
      </c>
      <c r="L86" s="2" t="s">
        <v>846</v>
      </c>
      <c r="M86" s="2" t="str">
        <f>IF(TRIM(C86)="","Missing",IF(AND(LEN(TRIM(C86))=10,SUMPRODUCT(--(CODE(MID(TRIM(C86),{1,2,3,4,5,10},1))&gt;=65),--(CODE(MID(TRIM(C86),{1,2,3,4,5,10},1))&lt;=90))=6,ISNUMBER(--MID(TRIM(C86),6,4))),"Valid","Invalid"))</f>
        <v>Valid</v>
      </c>
      <c r="N86" s="2" t="str">
        <f t="shared" si="9"/>
        <v>Valid</v>
      </c>
      <c r="O86" s="2" t="str">
        <f t="shared" si="10"/>
        <v>Valid</v>
      </c>
      <c r="P86" s="2" t="str">
        <f t="shared" si="11"/>
        <v>Invalid</v>
      </c>
      <c r="Q86" s="2" t="str">
        <f t="shared" si="12"/>
        <v>Valid</v>
      </c>
      <c r="R86" s="2" t="str">
        <f>IF(TRIM(H86)="","Missing",IF(AND(LEN(TRIM(H86))=11,SUMPRODUCT(--(CODE(MID(TRIM(H86),{1,2,3,4},1))&gt;=65),--(CODE(MID(TRIM(H86),{1,2,3,4},1))&lt;=90))=4,MID(TRIM(H86),5,1)="0"),"Valid","Invalid"))</f>
        <v>Valid</v>
      </c>
      <c r="S86" s="2" t="str">
        <f t="shared" si="13"/>
        <v>Valid</v>
      </c>
      <c r="T86" s="2" t="str">
        <f t="shared" si="14"/>
        <v>Invalid</v>
      </c>
      <c r="U86" s="2">
        <f t="shared" si="15"/>
        <v>2</v>
      </c>
      <c r="V86" s="2" t="str">
        <f t="shared" si="16"/>
        <v>737363466</v>
      </c>
      <c r="W86" s="2" t="s">
        <v>847</v>
      </c>
      <c r="X86" s="2" t="str">
        <f t="shared" si="17"/>
        <v>Duplicate</v>
      </c>
    </row>
    <row r="87" spans="1:24" x14ac:dyDescent="0.35">
      <c r="A87" s="2" t="s">
        <v>848</v>
      </c>
      <c r="B87" s="2" t="s">
        <v>849</v>
      </c>
      <c r="C87" s="2" t="s">
        <v>850</v>
      </c>
      <c r="D87" s="2" t="s">
        <v>851</v>
      </c>
      <c r="E87" s="2" t="s">
        <v>852</v>
      </c>
      <c r="F87" s="2" t="s">
        <v>853</v>
      </c>
      <c r="G87" s="15" t="s">
        <v>854</v>
      </c>
      <c r="H87" s="2" t="s">
        <v>855</v>
      </c>
      <c r="I87" s="2" t="s">
        <v>119</v>
      </c>
      <c r="J87" s="2" t="s">
        <v>253</v>
      </c>
      <c r="K87" s="2" t="s">
        <v>121</v>
      </c>
      <c r="L87" s="2" t="s">
        <v>856</v>
      </c>
      <c r="M87" s="2" t="str">
        <f>IF(TRIM(C87)="","Missing",IF(AND(LEN(TRIM(C87))=10,SUMPRODUCT(--(CODE(MID(TRIM(C87),{1,2,3,4,5,10},1))&gt;=65),--(CODE(MID(TRIM(C87),{1,2,3,4,5,10},1))&lt;=90))=6,ISNUMBER(--MID(TRIM(C87),6,4))),"Valid","Invalid"))</f>
        <v>Valid</v>
      </c>
      <c r="N87" s="2" t="str">
        <f t="shared" si="9"/>
        <v>Valid</v>
      </c>
      <c r="O87" s="2" t="str">
        <f t="shared" si="10"/>
        <v>Valid</v>
      </c>
      <c r="P87" s="2" t="str">
        <f t="shared" si="11"/>
        <v>Valid</v>
      </c>
      <c r="Q87" s="2" t="str">
        <f t="shared" si="12"/>
        <v>Valid</v>
      </c>
      <c r="R87" s="2" t="str">
        <f>IF(TRIM(H87)="","Missing",IF(AND(LEN(TRIM(H87))=11,SUMPRODUCT(--(CODE(MID(TRIM(H87),{1,2,3,4},1))&gt;=65),--(CODE(MID(TRIM(H87),{1,2,3,4},1))&lt;=90))=4,MID(TRIM(H87),5,1)="0"),"Valid","Invalid"))</f>
        <v>Valid</v>
      </c>
      <c r="S87" s="2" t="str">
        <f t="shared" si="13"/>
        <v>Invalid</v>
      </c>
      <c r="T87" s="2" t="str">
        <f t="shared" si="14"/>
        <v>Invalid</v>
      </c>
      <c r="U87" s="2">
        <f t="shared" si="15"/>
        <v>2</v>
      </c>
      <c r="V87" s="2" t="str">
        <f t="shared" si="16"/>
        <v>917415148881</v>
      </c>
      <c r="W87" s="2" t="s">
        <v>848</v>
      </c>
      <c r="X87" s="2" t="str">
        <f t="shared" si="17"/>
        <v>Duplicate</v>
      </c>
    </row>
    <row r="88" spans="1:24" x14ac:dyDescent="0.35">
      <c r="A88" s="2" t="s">
        <v>857</v>
      </c>
      <c r="B88" s="2" t="s">
        <v>858</v>
      </c>
      <c r="C88" s="2" t="s">
        <v>859</v>
      </c>
      <c r="D88" s="2" t="s">
        <v>860</v>
      </c>
      <c r="E88" s="2" t="s">
        <v>861</v>
      </c>
      <c r="F88" s="2" t="s">
        <v>862</v>
      </c>
      <c r="G88" s="15" t="s">
        <v>863</v>
      </c>
      <c r="H88" s="2" t="s">
        <v>864</v>
      </c>
      <c r="I88" s="2" t="s">
        <v>130</v>
      </c>
      <c r="J88" s="2" t="s">
        <v>153</v>
      </c>
      <c r="K88" s="2" t="s">
        <v>142</v>
      </c>
      <c r="L88" s="2" t="s">
        <v>865</v>
      </c>
      <c r="M88" s="2" t="str">
        <f>IF(TRIM(C88)="","Missing",IF(AND(LEN(TRIM(C88))=10,SUMPRODUCT(--(CODE(MID(TRIM(C88),{1,2,3,4,5,10},1))&gt;=65),--(CODE(MID(TRIM(C88),{1,2,3,4,5,10},1))&lt;=90))=6,ISNUMBER(--MID(TRIM(C88),6,4))),"Valid","Invalid"))</f>
        <v>Valid</v>
      </c>
      <c r="N88" s="2" t="str">
        <f t="shared" si="9"/>
        <v>Valid</v>
      </c>
      <c r="O88" s="2" t="str">
        <f t="shared" si="10"/>
        <v>Valid</v>
      </c>
      <c r="P88" s="2" t="str">
        <f t="shared" si="11"/>
        <v>Valid</v>
      </c>
      <c r="Q88" s="2" t="str">
        <f t="shared" si="12"/>
        <v>Valid</v>
      </c>
      <c r="R88" s="2" t="str">
        <f>IF(TRIM(H88)="","Missing",IF(AND(LEN(TRIM(H88))=11,SUMPRODUCT(--(CODE(MID(TRIM(H88),{1,2,3,4},1))&gt;=65),--(CODE(MID(TRIM(H88),{1,2,3,4},1))&lt;=90))=4,MID(TRIM(H88),5,1)="0"),"Valid","Invalid"))</f>
        <v>Valid</v>
      </c>
      <c r="S88" s="2" t="str">
        <f t="shared" si="13"/>
        <v>Valid</v>
      </c>
      <c r="T88" s="2" t="str">
        <f t="shared" si="14"/>
        <v>Invalid</v>
      </c>
      <c r="U88" s="2">
        <f t="shared" si="15"/>
        <v>1</v>
      </c>
      <c r="V88" s="2" t="str">
        <f t="shared" si="16"/>
        <v>8523219416</v>
      </c>
      <c r="W88" s="2" t="s">
        <v>857</v>
      </c>
      <c r="X88" s="2" t="str">
        <f t="shared" si="17"/>
        <v>Unique</v>
      </c>
    </row>
    <row r="89" spans="1:24" x14ac:dyDescent="0.35">
      <c r="A89" s="2" t="s">
        <v>233</v>
      </c>
      <c r="B89" s="2" t="s">
        <v>866</v>
      </c>
      <c r="C89" s="2" t="s">
        <v>226</v>
      </c>
      <c r="D89" s="2" t="s">
        <v>867</v>
      </c>
      <c r="E89" s="2" t="s">
        <v>227</v>
      </c>
      <c r="F89" s="2" t="s">
        <v>868</v>
      </c>
      <c r="G89" s="15" t="s">
        <v>229</v>
      </c>
      <c r="H89" s="2" t="s">
        <v>230</v>
      </c>
      <c r="I89" s="2" t="s">
        <v>130</v>
      </c>
      <c r="J89" s="2" t="s">
        <v>563</v>
      </c>
      <c r="K89" s="2" t="s">
        <v>142</v>
      </c>
      <c r="L89" s="2" t="s">
        <v>869</v>
      </c>
      <c r="M89" s="2" t="str">
        <f>IF(TRIM(C89)="","Missing",IF(AND(LEN(TRIM(C89))=10,SUMPRODUCT(--(CODE(MID(TRIM(C89),{1,2,3,4,5,10},1))&gt;=65),--(CODE(MID(TRIM(C89),{1,2,3,4,5,10},1))&lt;=90))=6,ISNUMBER(--MID(TRIM(C89),6,4))),"Valid","Invalid"))</f>
        <v>Valid</v>
      </c>
      <c r="N89" s="2" t="str">
        <f t="shared" si="9"/>
        <v>Valid</v>
      </c>
      <c r="O89" s="2" t="str">
        <f t="shared" si="10"/>
        <v>Valid</v>
      </c>
      <c r="P89" s="2" t="str">
        <f t="shared" si="11"/>
        <v>Valid</v>
      </c>
      <c r="Q89" s="2" t="str">
        <f t="shared" si="12"/>
        <v>Valid</v>
      </c>
      <c r="R89" s="2" t="str">
        <f>IF(TRIM(H89)="","Missing",IF(AND(LEN(TRIM(H89))=11,SUMPRODUCT(--(CODE(MID(TRIM(H89),{1,2,3,4},1))&gt;=65),--(CODE(MID(TRIM(H89),{1,2,3,4},1))&lt;=90))=4,MID(TRIM(H89),5,1)="0"),"Valid","Invalid"))</f>
        <v>Valid</v>
      </c>
      <c r="S89" s="2" t="str">
        <f t="shared" si="13"/>
        <v>Valid</v>
      </c>
      <c r="T89" s="2" t="str">
        <f t="shared" si="14"/>
        <v>Invalid</v>
      </c>
      <c r="U89" s="2">
        <f t="shared" si="15"/>
        <v>1</v>
      </c>
      <c r="V89" s="2" t="str">
        <f t="shared" si="16"/>
        <v>919857872558</v>
      </c>
      <c r="W89" s="2" t="s">
        <v>233</v>
      </c>
      <c r="X89" s="2" t="str">
        <f t="shared" si="17"/>
        <v>Duplicate</v>
      </c>
    </row>
    <row r="90" spans="1:24" x14ac:dyDescent="0.35">
      <c r="A90" s="2" t="s">
        <v>870</v>
      </c>
      <c r="B90" s="2" t="s">
        <v>871</v>
      </c>
      <c r="C90" s="2" t="s">
        <v>872</v>
      </c>
      <c r="D90" s="2" t="s">
        <v>873</v>
      </c>
      <c r="E90" s="2"/>
      <c r="F90" s="2" t="s">
        <v>874</v>
      </c>
      <c r="G90" s="15" t="s">
        <v>875</v>
      </c>
      <c r="H90" s="2" t="s">
        <v>876</v>
      </c>
      <c r="I90" s="2" t="s">
        <v>130</v>
      </c>
      <c r="J90" s="2" t="s">
        <v>412</v>
      </c>
      <c r="K90" s="2" t="s">
        <v>121</v>
      </c>
      <c r="L90" s="2" t="s">
        <v>877</v>
      </c>
      <c r="M90" s="2" t="str">
        <f>IF(TRIM(C90)="","Missing",IF(AND(LEN(TRIM(C90))=10,SUMPRODUCT(--(CODE(MID(TRIM(C90),{1,2,3,4,5,10},1))&gt;=65),--(CODE(MID(TRIM(C90),{1,2,3,4,5,10},1))&lt;=90))=6,ISNUMBER(--MID(TRIM(C90),6,4))),"Valid","Invalid"))</f>
        <v>Valid</v>
      </c>
      <c r="N90" s="2" t="str">
        <f t="shared" si="9"/>
        <v>PAN Mismatch</v>
      </c>
      <c r="O90" s="2" t="str">
        <f t="shared" si="10"/>
        <v>Missing</v>
      </c>
      <c r="P90" s="2" t="str">
        <f t="shared" si="11"/>
        <v>Valid</v>
      </c>
      <c r="Q90" s="2" t="str">
        <f t="shared" si="12"/>
        <v>Valid</v>
      </c>
      <c r="R90" s="2" t="str">
        <f>IF(TRIM(H90)="","Missing",IF(AND(LEN(TRIM(H90))=11,SUMPRODUCT(--(CODE(MID(TRIM(H90),{1,2,3,4},1))&gt;=65),--(CODE(MID(TRIM(H90),{1,2,3,4},1))&lt;=90))=4,MID(TRIM(H90),5,1)="0"),"Valid","Invalid"))</f>
        <v>Valid</v>
      </c>
      <c r="S90" s="2" t="str">
        <f t="shared" si="13"/>
        <v>Valid</v>
      </c>
      <c r="T90" s="2" t="str">
        <f t="shared" si="14"/>
        <v>Invalid</v>
      </c>
      <c r="U90" s="2">
        <f t="shared" si="15"/>
        <v>3</v>
      </c>
      <c r="V90" s="2" t="str">
        <f t="shared" si="16"/>
        <v>8671795760</v>
      </c>
      <c r="W90" s="2" t="s">
        <v>870</v>
      </c>
      <c r="X90" s="2" t="str">
        <f t="shared" si="17"/>
        <v>Unique</v>
      </c>
    </row>
    <row r="91" spans="1:24" x14ac:dyDescent="0.35">
      <c r="A91" s="2" t="s">
        <v>878</v>
      </c>
      <c r="B91" s="2" t="s">
        <v>879</v>
      </c>
      <c r="C91" s="2" t="s">
        <v>880</v>
      </c>
      <c r="D91" s="2" t="s">
        <v>881</v>
      </c>
      <c r="E91" s="2" t="s">
        <v>882</v>
      </c>
      <c r="F91" s="2" t="s">
        <v>883</v>
      </c>
      <c r="G91" s="15" t="s">
        <v>884</v>
      </c>
      <c r="H91" s="2" t="s">
        <v>885</v>
      </c>
      <c r="I91" s="2" t="s">
        <v>130</v>
      </c>
      <c r="J91" s="2" t="s">
        <v>204</v>
      </c>
      <c r="K91" s="2" t="s">
        <v>121</v>
      </c>
      <c r="L91" s="2" t="s">
        <v>886</v>
      </c>
      <c r="M91" s="2" t="str">
        <f>IF(TRIM(C91)="","Missing",IF(AND(LEN(TRIM(C91))=10,SUMPRODUCT(--(CODE(MID(TRIM(C91),{1,2,3,4,5,10},1))&gt;=65),--(CODE(MID(TRIM(C91),{1,2,3,4,5,10},1))&lt;=90))=6,ISNUMBER(--MID(TRIM(C91),6,4))),"Valid","Invalid"))</f>
        <v>Valid</v>
      </c>
      <c r="N91" s="2" t="str">
        <f t="shared" si="9"/>
        <v>Valid</v>
      </c>
      <c r="O91" s="2" t="str">
        <f t="shared" si="10"/>
        <v>Valid</v>
      </c>
      <c r="P91" s="2" t="str">
        <f t="shared" si="11"/>
        <v>Valid</v>
      </c>
      <c r="Q91" s="2" t="str">
        <f t="shared" si="12"/>
        <v>Valid</v>
      </c>
      <c r="R91" s="2" t="str">
        <f>IF(TRIM(H91)="","Missing",IF(AND(LEN(TRIM(H91))=11,SUMPRODUCT(--(CODE(MID(TRIM(H91),{1,2,3,4},1))&gt;=65),--(CODE(MID(TRIM(H91),{1,2,3,4},1))&lt;=90))=4,MID(TRIM(H91),5,1)="0"),"Valid","Invalid"))</f>
        <v>Invalid</v>
      </c>
      <c r="S91" s="2" t="str">
        <f t="shared" si="13"/>
        <v>Valid</v>
      </c>
      <c r="T91" s="2" t="str">
        <f t="shared" si="14"/>
        <v>Invalid</v>
      </c>
      <c r="U91" s="2">
        <f t="shared" si="15"/>
        <v>2</v>
      </c>
      <c r="V91" s="2" t="str">
        <f t="shared" si="16"/>
        <v>917369292984</v>
      </c>
      <c r="W91" s="2" t="s">
        <v>878</v>
      </c>
      <c r="X91" s="2" t="str">
        <f t="shared" si="17"/>
        <v>Unique</v>
      </c>
    </row>
    <row r="92" spans="1:24" x14ac:dyDescent="0.35">
      <c r="A92" s="2" t="s">
        <v>887</v>
      </c>
      <c r="B92" s="2" t="s">
        <v>888</v>
      </c>
      <c r="C92" s="2" t="s">
        <v>889</v>
      </c>
      <c r="D92" s="2" t="s">
        <v>890</v>
      </c>
      <c r="E92" s="2" t="s">
        <v>891</v>
      </c>
      <c r="F92" s="2" t="s">
        <v>892</v>
      </c>
      <c r="G92" s="15" t="s">
        <v>893</v>
      </c>
      <c r="H92" s="2" t="s">
        <v>894</v>
      </c>
      <c r="I92" s="2" t="s">
        <v>130</v>
      </c>
      <c r="J92" s="2" t="s">
        <v>141</v>
      </c>
      <c r="K92" s="2" t="s">
        <v>121</v>
      </c>
      <c r="L92" s="2" t="s">
        <v>895</v>
      </c>
      <c r="M92" s="2" t="e">
        <f>IF(TRIM(C92)="","Missing",IF(AND(LEN(TRIM(C92))=10,SUMPRODUCT(--(CODE(MID(TRIM(C92),{1,2,3,4,5,10},1))&gt;=65),--(CODE(MID(TRIM(C92),{1,2,3,4,5,10},1))&lt;=90))=6,ISNUMBER(--MID(TRIM(C92),6,4))),"Valid","Invalid"))</f>
        <v>#VALUE!</v>
      </c>
      <c r="N92" s="2" t="str">
        <f t="shared" si="9"/>
        <v>PAN Mismatch</v>
      </c>
      <c r="O92" s="2" t="str">
        <f t="shared" si="10"/>
        <v>Valid</v>
      </c>
      <c r="P92" s="2" t="str">
        <f t="shared" si="11"/>
        <v>Valid</v>
      </c>
      <c r="Q92" s="2" t="str">
        <f t="shared" si="12"/>
        <v>Valid</v>
      </c>
      <c r="R92" s="2" t="str">
        <f>IF(TRIM(H92)="","Missing",IF(AND(LEN(TRIM(H92))=11,SUMPRODUCT(--(CODE(MID(TRIM(H92),{1,2,3,4},1))&gt;=65),--(CODE(MID(TRIM(H92),{1,2,3,4},1))&lt;=90))=4,MID(TRIM(H92),5,1)="0"),"Valid","Invalid"))</f>
        <v>Valid</v>
      </c>
      <c r="S92" s="2" t="str">
        <f t="shared" si="13"/>
        <v>Valid</v>
      </c>
      <c r="T92" s="2" t="str">
        <f t="shared" si="14"/>
        <v>Valid</v>
      </c>
      <c r="U92" s="2">
        <f t="shared" si="15"/>
        <v>2</v>
      </c>
      <c r="V92" s="2" t="str">
        <f t="shared" si="16"/>
        <v>9425690877</v>
      </c>
      <c r="W92" s="2" t="s">
        <v>887</v>
      </c>
      <c r="X92" s="2" t="str">
        <f t="shared" si="17"/>
        <v>Unique</v>
      </c>
    </row>
    <row r="93" spans="1:24" x14ac:dyDescent="0.35">
      <c r="A93" s="2" t="s">
        <v>896</v>
      </c>
      <c r="B93" s="2" t="s">
        <v>897</v>
      </c>
      <c r="C93" s="2" t="s">
        <v>898</v>
      </c>
      <c r="D93" s="2" t="s">
        <v>899</v>
      </c>
      <c r="E93" s="2"/>
      <c r="F93" s="2" t="s">
        <v>900</v>
      </c>
      <c r="G93" s="15" t="s">
        <v>901</v>
      </c>
      <c r="H93" s="2" t="s">
        <v>902</v>
      </c>
      <c r="I93" s="2" t="s">
        <v>130</v>
      </c>
      <c r="J93" s="2" t="s">
        <v>164</v>
      </c>
      <c r="K93" s="2" t="s">
        <v>121</v>
      </c>
      <c r="L93" s="2" t="s">
        <v>903</v>
      </c>
      <c r="M93" s="2" t="str">
        <f>IF(TRIM(C93)="","Missing",IF(AND(LEN(TRIM(C93))=10,SUMPRODUCT(--(CODE(MID(TRIM(C93),{1,2,3,4,5,10},1))&gt;=65),--(CODE(MID(TRIM(C93),{1,2,3,4,5,10},1))&lt;=90))=6,ISNUMBER(--MID(TRIM(C93),6,4))),"Valid","Invalid"))</f>
        <v>Valid</v>
      </c>
      <c r="N93" s="2" t="str">
        <f t="shared" si="9"/>
        <v>PAN Mismatch</v>
      </c>
      <c r="O93" s="2" t="str">
        <f t="shared" si="10"/>
        <v>Missing</v>
      </c>
      <c r="P93" s="2" t="str">
        <f t="shared" si="11"/>
        <v>Valid</v>
      </c>
      <c r="Q93" s="2" t="str">
        <f t="shared" si="12"/>
        <v>Valid</v>
      </c>
      <c r="R93" s="2" t="str">
        <f>IF(TRIM(H93)="","Missing",IF(AND(LEN(TRIM(H93))=11,SUMPRODUCT(--(CODE(MID(TRIM(H93),{1,2,3,4},1))&gt;=65),--(CODE(MID(TRIM(H93),{1,2,3,4},1))&lt;=90))=4,MID(TRIM(H93),5,1)="0"),"Valid","Invalid"))</f>
        <v>Valid</v>
      </c>
      <c r="S93" s="2" t="str">
        <f t="shared" si="13"/>
        <v>Valid</v>
      </c>
      <c r="T93" s="2" t="str">
        <f t="shared" si="14"/>
        <v>Valid</v>
      </c>
      <c r="U93" s="2">
        <f t="shared" si="15"/>
        <v>2</v>
      </c>
      <c r="V93" s="2" t="str">
        <f t="shared" si="16"/>
        <v>8824771093</v>
      </c>
      <c r="W93" s="2" t="s">
        <v>896</v>
      </c>
      <c r="X93" s="2" t="str">
        <f t="shared" si="17"/>
        <v>Unique</v>
      </c>
    </row>
    <row r="94" spans="1:24" x14ac:dyDescent="0.35">
      <c r="A94" s="2" t="s">
        <v>904</v>
      </c>
      <c r="B94" s="2" t="s">
        <v>905</v>
      </c>
      <c r="C94" s="2" t="s">
        <v>906</v>
      </c>
      <c r="D94" s="2" t="s">
        <v>907</v>
      </c>
      <c r="E94" s="2" t="s">
        <v>908</v>
      </c>
      <c r="F94" s="2" t="s">
        <v>909</v>
      </c>
      <c r="G94" s="15" t="s">
        <v>910</v>
      </c>
      <c r="H94" s="2" t="s">
        <v>911</v>
      </c>
      <c r="I94" s="2" t="s">
        <v>130</v>
      </c>
      <c r="J94" s="2" t="s">
        <v>204</v>
      </c>
      <c r="K94" s="2" t="s">
        <v>121</v>
      </c>
      <c r="L94" s="2" t="s">
        <v>912</v>
      </c>
      <c r="M94" s="2" t="str">
        <f>IF(TRIM(C94)="","Missing",IF(AND(LEN(TRIM(C94))=10,SUMPRODUCT(--(CODE(MID(TRIM(C94),{1,2,3,4,5,10},1))&gt;=65),--(CODE(MID(TRIM(C94),{1,2,3,4,5,10},1))&lt;=90))=6,ISNUMBER(--MID(TRIM(C94),6,4))),"Valid","Invalid"))</f>
        <v>Valid</v>
      </c>
      <c r="N94" s="2" t="str">
        <f t="shared" si="9"/>
        <v>Valid</v>
      </c>
      <c r="O94" s="2" t="str">
        <f t="shared" si="10"/>
        <v>Valid</v>
      </c>
      <c r="P94" s="2" t="str">
        <f t="shared" si="11"/>
        <v>Valid</v>
      </c>
      <c r="Q94" s="2" t="str">
        <f t="shared" si="12"/>
        <v>Valid</v>
      </c>
      <c r="R94" s="2" t="str">
        <f>IF(TRIM(H94)="","Missing",IF(AND(LEN(TRIM(H94))=11,SUMPRODUCT(--(CODE(MID(TRIM(H94),{1,2,3,4},1))&gt;=65),--(CODE(MID(TRIM(H94),{1,2,3,4},1))&lt;=90))=4,MID(TRIM(H94),5,1)="0"),"Valid","Invalid"))</f>
        <v>Valid</v>
      </c>
      <c r="S94" s="2" t="str">
        <f t="shared" si="13"/>
        <v>Valid</v>
      </c>
      <c r="T94" s="2" t="str">
        <f t="shared" si="14"/>
        <v>Invalid</v>
      </c>
      <c r="U94" s="2">
        <f t="shared" si="15"/>
        <v>1</v>
      </c>
      <c r="V94" s="2" t="str">
        <f t="shared" si="16"/>
        <v>918929622292</v>
      </c>
      <c r="W94" s="2" t="s">
        <v>904</v>
      </c>
      <c r="X94" s="2" t="str">
        <f t="shared" si="17"/>
        <v>Unique</v>
      </c>
    </row>
    <row r="95" spans="1:24" x14ac:dyDescent="0.35">
      <c r="A95" s="2" t="s">
        <v>913</v>
      </c>
      <c r="B95" s="2" t="s">
        <v>914</v>
      </c>
      <c r="C95" s="2" t="s">
        <v>915</v>
      </c>
      <c r="D95" s="2" t="s">
        <v>916</v>
      </c>
      <c r="E95" s="2" t="s">
        <v>917</v>
      </c>
      <c r="F95" s="2" t="s">
        <v>918</v>
      </c>
      <c r="G95" s="15" t="s">
        <v>919</v>
      </c>
      <c r="H95" s="2" t="s">
        <v>920</v>
      </c>
      <c r="I95" s="2" t="s">
        <v>130</v>
      </c>
      <c r="J95" s="2" t="s">
        <v>194</v>
      </c>
      <c r="K95" s="2" t="s">
        <v>121</v>
      </c>
      <c r="L95" s="2" t="s">
        <v>921</v>
      </c>
      <c r="M95" s="2" t="str">
        <f>IF(TRIM(C95)="","Missing",IF(AND(LEN(TRIM(C95))=10,SUMPRODUCT(--(CODE(MID(TRIM(C95),{1,2,3,4,5,10},1))&gt;=65),--(CODE(MID(TRIM(C95),{1,2,3,4,5,10},1))&lt;=90))=6,ISNUMBER(--MID(TRIM(C95),6,4))),"Valid","Invalid"))</f>
        <v>Valid</v>
      </c>
      <c r="N95" s="2" t="str">
        <f t="shared" si="9"/>
        <v>Valid</v>
      </c>
      <c r="O95" s="2" t="str">
        <f t="shared" si="10"/>
        <v>Valid</v>
      </c>
      <c r="P95" s="2" t="str">
        <f t="shared" si="11"/>
        <v>Valid</v>
      </c>
      <c r="Q95" s="2" t="str">
        <f t="shared" si="12"/>
        <v>Valid</v>
      </c>
      <c r="R95" s="2" t="str">
        <f>IF(TRIM(H95)="","Missing",IF(AND(LEN(TRIM(H95))=11,SUMPRODUCT(--(CODE(MID(TRIM(H95),{1,2,3,4},1))&gt;=65),--(CODE(MID(TRIM(H95),{1,2,3,4},1))&lt;=90))=4,MID(TRIM(H95),5,1)="0"),"Valid","Invalid"))</f>
        <v>Valid</v>
      </c>
      <c r="S95" s="2" t="str">
        <f t="shared" si="13"/>
        <v>Valid</v>
      </c>
      <c r="T95" s="2" t="str">
        <f t="shared" si="14"/>
        <v>Invalid</v>
      </c>
      <c r="U95" s="2">
        <f t="shared" si="15"/>
        <v>1</v>
      </c>
      <c r="V95" s="2" t="str">
        <f t="shared" si="16"/>
        <v>6809969308</v>
      </c>
      <c r="W95" s="2" t="s">
        <v>913</v>
      </c>
      <c r="X95" s="2" t="str">
        <f t="shared" si="17"/>
        <v>Unique</v>
      </c>
    </row>
    <row r="96" spans="1:24" x14ac:dyDescent="0.35">
      <c r="A96" s="2" t="s">
        <v>922</v>
      </c>
      <c r="B96" s="2" t="s">
        <v>923</v>
      </c>
      <c r="C96" s="2" t="s">
        <v>924</v>
      </c>
      <c r="D96" s="2" t="s">
        <v>925</v>
      </c>
      <c r="E96" s="2" t="s">
        <v>926</v>
      </c>
      <c r="F96" s="2" t="s">
        <v>927</v>
      </c>
      <c r="G96" s="15"/>
      <c r="H96" s="2" t="s">
        <v>928</v>
      </c>
      <c r="I96" s="2" t="s">
        <v>130</v>
      </c>
      <c r="J96" s="2" t="s">
        <v>412</v>
      </c>
      <c r="K96" s="2" t="s">
        <v>121</v>
      </c>
      <c r="L96" s="2" t="s">
        <v>929</v>
      </c>
      <c r="M96" s="2" t="str">
        <f>IF(TRIM(C96)="","Missing",IF(AND(LEN(TRIM(C96))=10,SUMPRODUCT(--(CODE(MID(TRIM(C96),{1,2,3,4,5,10},1))&gt;=65),--(CODE(MID(TRIM(C96),{1,2,3,4,5,10},1))&lt;=90))=6,ISNUMBER(--MID(TRIM(C96),6,4))),"Valid","Invalid"))</f>
        <v>Valid</v>
      </c>
      <c r="N96" s="2" t="str">
        <f t="shared" si="9"/>
        <v>Valid</v>
      </c>
      <c r="O96" s="2" t="str">
        <f t="shared" si="10"/>
        <v>Valid</v>
      </c>
      <c r="P96" s="2" t="str">
        <f t="shared" si="11"/>
        <v>Valid</v>
      </c>
      <c r="Q96" s="2" t="str">
        <f t="shared" si="12"/>
        <v>Missing</v>
      </c>
      <c r="R96" s="2" t="str">
        <f>IF(TRIM(H96)="","Missing",IF(AND(LEN(TRIM(H96))=11,SUMPRODUCT(--(CODE(MID(TRIM(H96),{1,2,3,4},1))&gt;=65),--(CODE(MID(TRIM(H96),{1,2,3,4},1))&lt;=90))=4,MID(TRIM(H96),5,1)="0"),"Valid","Invalid"))</f>
        <v>Valid</v>
      </c>
      <c r="S96" s="2" t="str">
        <f t="shared" si="13"/>
        <v>Valid</v>
      </c>
      <c r="T96" s="2" t="str">
        <f t="shared" si="14"/>
        <v>Invalid</v>
      </c>
      <c r="U96" s="2">
        <f t="shared" si="15"/>
        <v>2</v>
      </c>
      <c r="V96" s="2" t="str">
        <f t="shared" si="16"/>
        <v>9676650618</v>
      </c>
      <c r="W96" s="2" t="s">
        <v>922</v>
      </c>
      <c r="X96" s="2" t="str">
        <f t="shared" si="17"/>
        <v>Unique</v>
      </c>
    </row>
    <row r="97" spans="1:24" x14ac:dyDescent="0.35">
      <c r="A97" s="2" t="s">
        <v>930</v>
      </c>
      <c r="B97" s="2" t="s">
        <v>931</v>
      </c>
      <c r="C97" s="2" t="s">
        <v>932</v>
      </c>
      <c r="D97" s="2" t="s">
        <v>933</v>
      </c>
      <c r="E97" s="2" t="s">
        <v>934</v>
      </c>
      <c r="F97" s="2" t="s">
        <v>935</v>
      </c>
      <c r="G97" s="15" t="s">
        <v>936</v>
      </c>
      <c r="H97" s="2" t="s">
        <v>937</v>
      </c>
      <c r="I97" s="2" t="s">
        <v>130</v>
      </c>
      <c r="J97" s="2" t="s">
        <v>563</v>
      </c>
      <c r="K97" s="2" t="s">
        <v>121</v>
      </c>
      <c r="L97" s="2" t="s">
        <v>938</v>
      </c>
      <c r="M97" s="2" t="str">
        <f>IF(TRIM(C97)="","Missing",IF(AND(LEN(TRIM(C97))=10,SUMPRODUCT(--(CODE(MID(TRIM(C97),{1,2,3,4,5,10},1))&gt;=65),--(CODE(MID(TRIM(C97),{1,2,3,4,5,10},1))&lt;=90))=6,ISNUMBER(--MID(TRIM(C97),6,4))),"Valid","Invalid"))</f>
        <v>Valid</v>
      </c>
      <c r="N97" s="2" t="str">
        <f t="shared" si="9"/>
        <v>Valid</v>
      </c>
      <c r="O97" s="2" t="str">
        <f t="shared" si="10"/>
        <v>Valid</v>
      </c>
      <c r="P97" s="2" t="str">
        <f t="shared" si="11"/>
        <v>Valid</v>
      </c>
      <c r="Q97" s="2" t="str">
        <f t="shared" si="12"/>
        <v>Valid</v>
      </c>
      <c r="R97" s="2" t="str">
        <f>IF(TRIM(H97)="","Missing",IF(AND(LEN(TRIM(H97))=11,SUMPRODUCT(--(CODE(MID(TRIM(H97),{1,2,3,4},1))&gt;=65),--(CODE(MID(TRIM(H97),{1,2,3,4},1))&lt;=90))=4,MID(TRIM(H97),5,1)="0"),"Valid","Invalid"))</f>
        <v>Valid</v>
      </c>
      <c r="S97" s="2" t="str">
        <f t="shared" si="13"/>
        <v>Valid</v>
      </c>
      <c r="T97" s="2" t="str">
        <f t="shared" si="14"/>
        <v>Invalid</v>
      </c>
      <c r="U97" s="2">
        <f t="shared" si="15"/>
        <v>1</v>
      </c>
      <c r="V97" s="2" t="str">
        <f t="shared" si="16"/>
        <v>917395041027</v>
      </c>
      <c r="W97" s="2" t="s">
        <v>930</v>
      </c>
      <c r="X97" s="2" t="str">
        <f t="shared" si="17"/>
        <v>Unique</v>
      </c>
    </row>
    <row r="98" spans="1:24" x14ac:dyDescent="0.35">
      <c r="A98" s="2" t="s">
        <v>939</v>
      </c>
      <c r="B98" s="2" t="s">
        <v>940</v>
      </c>
      <c r="C98" s="2"/>
      <c r="D98" s="2" t="s">
        <v>941</v>
      </c>
      <c r="E98" s="2" t="s">
        <v>942</v>
      </c>
      <c r="F98" s="2" t="s">
        <v>943</v>
      </c>
      <c r="G98" s="15" t="s">
        <v>944</v>
      </c>
      <c r="H98" s="2" t="s">
        <v>945</v>
      </c>
      <c r="I98" s="2" t="s">
        <v>130</v>
      </c>
      <c r="J98" s="2" t="s">
        <v>253</v>
      </c>
      <c r="K98" s="2" t="s">
        <v>121</v>
      </c>
      <c r="L98" s="2" t="s">
        <v>946</v>
      </c>
      <c r="M98" s="2" t="str">
        <f>IF(TRIM(C98)="","Missing",IF(AND(LEN(TRIM(C98))=10,SUMPRODUCT(--(CODE(MID(TRIM(C98),{1,2,3,4,5,10},1))&gt;=65),--(CODE(MID(TRIM(C98),{1,2,3,4,5,10},1))&lt;=90))=6,ISNUMBER(--MID(TRIM(C98),6,4))),"Valid","Invalid"))</f>
        <v>Missing</v>
      </c>
      <c r="N98" s="2" t="str">
        <f t="shared" si="9"/>
        <v>PAN Mismatch</v>
      </c>
      <c r="O98" s="2" t="str">
        <f t="shared" si="10"/>
        <v>Valid</v>
      </c>
      <c r="P98" s="2" t="str">
        <f t="shared" si="11"/>
        <v>Valid</v>
      </c>
      <c r="Q98" s="2" t="str">
        <f t="shared" si="12"/>
        <v>Valid</v>
      </c>
      <c r="R98" s="2" t="str">
        <f>IF(TRIM(H98)="","Missing",IF(AND(LEN(TRIM(H98))=11,SUMPRODUCT(--(CODE(MID(TRIM(H98),{1,2,3,4},1))&gt;=65),--(CODE(MID(TRIM(H98),{1,2,3,4},1))&lt;=90))=4,MID(TRIM(H98),5,1)="0"),"Valid","Invalid"))</f>
        <v>Valid</v>
      </c>
      <c r="S98" s="2" t="str">
        <f t="shared" si="13"/>
        <v>Valid</v>
      </c>
      <c r="T98" s="2" t="str">
        <f t="shared" si="14"/>
        <v>Invalid</v>
      </c>
      <c r="U98" s="2">
        <f t="shared" si="15"/>
        <v>3</v>
      </c>
      <c r="V98" s="2" t="str">
        <f t="shared" si="16"/>
        <v>918888794705</v>
      </c>
      <c r="W98" s="2" t="s">
        <v>939</v>
      </c>
      <c r="X98" s="2" t="str">
        <f t="shared" si="17"/>
        <v>Unique</v>
      </c>
    </row>
    <row r="99" spans="1:24" x14ac:dyDescent="0.35">
      <c r="A99" s="2" t="s">
        <v>947</v>
      </c>
      <c r="B99" s="2" t="s">
        <v>948</v>
      </c>
      <c r="C99" s="2" t="s">
        <v>949</v>
      </c>
      <c r="D99" s="2" t="s">
        <v>950</v>
      </c>
      <c r="E99" s="2" t="s">
        <v>951</v>
      </c>
      <c r="F99" s="2" t="s">
        <v>952</v>
      </c>
      <c r="G99" s="15" t="s">
        <v>953</v>
      </c>
      <c r="H99" s="2" t="s">
        <v>954</v>
      </c>
      <c r="I99" s="2" t="s">
        <v>119</v>
      </c>
      <c r="J99" s="2" t="s">
        <v>369</v>
      </c>
      <c r="K99" s="2" t="s">
        <v>121</v>
      </c>
      <c r="L99" s="2" t="s">
        <v>955</v>
      </c>
      <c r="M99" s="2" t="e">
        <f>IF(TRIM(C99)="","Missing",IF(AND(LEN(TRIM(C99))=10,SUMPRODUCT(--(CODE(MID(TRIM(C99),{1,2,3,4,5,10},1))&gt;=65),--(CODE(MID(TRIM(C99),{1,2,3,4,5,10},1))&lt;=90))=6,ISNUMBER(--MID(TRIM(C99),6,4))),"Valid","Invalid"))</f>
        <v>#VALUE!</v>
      </c>
      <c r="N99" s="2" t="str">
        <f t="shared" si="9"/>
        <v>PAN Mismatch</v>
      </c>
      <c r="O99" s="2" t="str">
        <f t="shared" si="10"/>
        <v>Valid</v>
      </c>
      <c r="P99" s="2" t="str">
        <f t="shared" si="11"/>
        <v>Valid</v>
      </c>
      <c r="Q99" s="2" t="str">
        <f t="shared" si="12"/>
        <v>Valid</v>
      </c>
      <c r="R99" s="2" t="str">
        <f>IF(TRIM(H99)="","Missing",IF(AND(LEN(TRIM(H99))=11,SUMPRODUCT(--(CODE(MID(TRIM(H99),{1,2,3,4},1))&gt;=65),--(CODE(MID(TRIM(H99),{1,2,3,4},1))&lt;=90))=4,MID(TRIM(H99),5,1)="0"),"Valid","Invalid"))</f>
        <v>Valid</v>
      </c>
      <c r="S99" s="2" t="str">
        <f t="shared" si="13"/>
        <v>Invalid</v>
      </c>
      <c r="T99" s="2" t="str">
        <f t="shared" si="14"/>
        <v>Invalid</v>
      </c>
      <c r="U99" s="2">
        <f t="shared" si="15"/>
        <v>4</v>
      </c>
      <c r="V99" s="2" t="str">
        <f t="shared" si="16"/>
        <v>8014890250</v>
      </c>
      <c r="W99" s="2" t="s">
        <v>947</v>
      </c>
      <c r="X99" s="2" t="str">
        <f t="shared" si="17"/>
        <v>Unique</v>
      </c>
    </row>
    <row r="100" spans="1:24" x14ac:dyDescent="0.35">
      <c r="A100" s="2" t="s">
        <v>813</v>
      </c>
      <c r="B100" s="2" t="s">
        <v>956</v>
      </c>
      <c r="C100" s="2" t="s">
        <v>957</v>
      </c>
      <c r="D100" s="2" t="s">
        <v>808</v>
      </c>
      <c r="E100" s="2" t="s">
        <v>809</v>
      </c>
      <c r="F100" s="2" t="s">
        <v>958</v>
      </c>
      <c r="G100" s="15" t="s">
        <v>810</v>
      </c>
      <c r="H100" s="2" t="s">
        <v>811</v>
      </c>
      <c r="I100" s="2" t="s">
        <v>130</v>
      </c>
      <c r="J100" s="2" t="s">
        <v>120</v>
      </c>
      <c r="K100" s="2" t="s">
        <v>142</v>
      </c>
      <c r="L100" s="2" t="s">
        <v>959</v>
      </c>
      <c r="M100" s="2" t="str">
        <f>IF(TRIM(C100)="","Missing",IF(AND(LEN(TRIM(C100))=10,SUMPRODUCT(--(CODE(MID(TRIM(C100),{1,2,3,4,5,10},1))&gt;=65),--(CODE(MID(TRIM(C100),{1,2,3,4,5,10},1))&lt;=90))=6,ISNUMBER(--MID(TRIM(C100),6,4))),"Valid","Invalid"))</f>
        <v>Valid</v>
      </c>
      <c r="N100" s="2" t="str">
        <f t="shared" si="9"/>
        <v>Valid</v>
      </c>
      <c r="O100" s="2" t="str">
        <f t="shared" si="10"/>
        <v>Valid</v>
      </c>
      <c r="P100" s="2" t="str">
        <f t="shared" si="11"/>
        <v>Valid</v>
      </c>
      <c r="Q100" s="2" t="str">
        <f t="shared" si="12"/>
        <v>Valid</v>
      </c>
      <c r="R100" s="2" t="str">
        <f>IF(TRIM(H100)="","Missing",IF(AND(LEN(TRIM(H100))=11,SUMPRODUCT(--(CODE(MID(TRIM(H100),{1,2,3,4},1))&gt;=65),--(CODE(MID(TRIM(H100),{1,2,3,4},1))&lt;=90))=4,MID(TRIM(H100),5,1)="0"),"Valid","Invalid"))</f>
        <v>Valid</v>
      </c>
      <c r="S100" s="2" t="str">
        <f t="shared" si="13"/>
        <v>Valid</v>
      </c>
      <c r="T100" s="2" t="str">
        <f t="shared" si="14"/>
        <v>Invalid</v>
      </c>
      <c r="U100" s="2">
        <f t="shared" si="15"/>
        <v>1</v>
      </c>
      <c r="V100" s="2" t="str">
        <f t="shared" si="16"/>
        <v>8616484085</v>
      </c>
      <c r="W100" s="2" t="s">
        <v>813</v>
      </c>
      <c r="X100" s="2" t="str">
        <f t="shared" si="17"/>
        <v>Duplicate</v>
      </c>
    </row>
    <row r="101" spans="1:24" x14ac:dyDescent="0.35">
      <c r="A101" s="2" t="s">
        <v>960</v>
      </c>
      <c r="B101" s="2" t="s">
        <v>961</v>
      </c>
      <c r="C101" s="2" t="s">
        <v>962</v>
      </c>
      <c r="D101" s="2" t="s">
        <v>963</v>
      </c>
      <c r="E101" s="2" t="s">
        <v>964</v>
      </c>
      <c r="F101" s="2" t="s">
        <v>965</v>
      </c>
      <c r="G101" s="15" t="s">
        <v>966</v>
      </c>
      <c r="H101" s="2" t="s">
        <v>967</v>
      </c>
      <c r="I101" s="2" t="s">
        <v>130</v>
      </c>
      <c r="J101" s="2" t="s">
        <v>526</v>
      </c>
      <c r="K101" s="2" t="s">
        <v>121</v>
      </c>
      <c r="L101" s="2" t="s">
        <v>968</v>
      </c>
      <c r="M101" s="2" t="str">
        <f>IF(TRIM(C101)="","Missing",IF(AND(LEN(TRIM(C101))=10,SUMPRODUCT(--(CODE(MID(TRIM(C101),{1,2,3,4,5,10},1))&gt;=65),--(CODE(MID(TRIM(C101),{1,2,3,4,5,10},1))&lt;=90))=6,ISNUMBER(--MID(TRIM(C101),6,4))),"Valid","Invalid"))</f>
        <v>Valid</v>
      </c>
      <c r="N101" s="2" t="str">
        <f t="shared" si="9"/>
        <v>Valid</v>
      </c>
      <c r="O101" s="2" t="str">
        <f t="shared" si="10"/>
        <v>Valid</v>
      </c>
      <c r="P101" s="2" t="str">
        <f t="shared" si="11"/>
        <v>Valid</v>
      </c>
      <c r="Q101" s="2" t="str">
        <f t="shared" si="12"/>
        <v>Valid</v>
      </c>
      <c r="R101" s="2" t="str">
        <f>IF(TRIM(H101)="","Missing",IF(AND(LEN(TRIM(H101))=11,SUMPRODUCT(--(CODE(MID(TRIM(H101),{1,2,3,4},1))&gt;=65),--(CODE(MID(TRIM(H101),{1,2,3,4},1))&lt;=90))=4,MID(TRIM(H101),5,1)="0"),"Valid","Invalid"))</f>
        <v>Valid</v>
      </c>
      <c r="S101" s="2" t="str">
        <f t="shared" si="13"/>
        <v>Valid</v>
      </c>
      <c r="T101" s="2" t="str">
        <f t="shared" si="14"/>
        <v>Invalid</v>
      </c>
      <c r="U101" s="2">
        <f t="shared" si="15"/>
        <v>1</v>
      </c>
      <c r="V101" s="2" t="str">
        <f t="shared" si="16"/>
        <v>9852892268</v>
      </c>
      <c r="W101" s="2" t="s">
        <v>960</v>
      </c>
      <c r="X101" s="2" t="str">
        <f t="shared" si="17"/>
        <v>Unique</v>
      </c>
    </row>
    <row r="102" spans="1:24" x14ac:dyDescent="0.35">
      <c r="A102" s="2" t="s">
        <v>969</v>
      </c>
      <c r="B102" s="2" t="s">
        <v>970</v>
      </c>
      <c r="C102" s="2" t="s">
        <v>971</v>
      </c>
      <c r="D102" s="2" t="s">
        <v>972</v>
      </c>
      <c r="E102" s="2" t="s">
        <v>973</v>
      </c>
      <c r="F102" s="2" t="s">
        <v>974</v>
      </c>
      <c r="G102" s="15" t="s">
        <v>975</v>
      </c>
      <c r="H102" s="2" t="s">
        <v>976</v>
      </c>
      <c r="I102" s="2" t="s">
        <v>130</v>
      </c>
      <c r="J102" s="2" t="s">
        <v>359</v>
      </c>
      <c r="K102" s="2" t="s">
        <v>121</v>
      </c>
      <c r="L102" s="2" t="s">
        <v>977</v>
      </c>
      <c r="M102" s="2" t="str">
        <f>IF(TRIM(C102)="","Missing",IF(AND(LEN(TRIM(C102))=10,SUMPRODUCT(--(CODE(MID(TRIM(C102),{1,2,3,4,5,10},1))&gt;=65),--(CODE(MID(TRIM(C102),{1,2,3,4,5,10},1))&lt;=90))=6,ISNUMBER(--MID(TRIM(C102),6,4))),"Valid","Invalid"))</f>
        <v>Valid</v>
      </c>
      <c r="N102" s="2" t="str">
        <f t="shared" si="9"/>
        <v>Valid</v>
      </c>
      <c r="O102" s="2" t="str">
        <f t="shared" si="10"/>
        <v>Valid</v>
      </c>
      <c r="P102" s="2" t="str">
        <f t="shared" si="11"/>
        <v>Valid</v>
      </c>
      <c r="Q102" s="2" t="str">
        <f t="shared" si="12"/>
        <v>Valid</v>
      </c>
      <c r="R102" s="2" t="str">
        <f>IF(TRIM(H102)="","Missing",IF(AND(LEN(TRIM(H102))=11,SUMPRODUCT(--(CODE(MID(TRIM(H102),{1,2,3,4},1))&gt;=65),--(CODE(MID(TRIM(H102),{1,2,3,4},1))&lt;=90))=4,MID(TRIM(H102),5,1)="0"),"Valid","Invalid"))</f>
        <v>Valid</v>
      </c>
      <c r="S102" s="2" t="str">
        <f t="shared" si="13"/>
        <v>Valid</v>
      </c>
      <c r="T102" s="2" t="str">
        <f t="shared" si="14"/>
        <v>Valid</v>
      </c>
      <c r="U102" s="2">
        <f t="shared" si="15"/>
        <v>0</v>
      </c>
      <c r="V102" s="2" t="str">
        <f t="shared" si="16"/>
        <v>919598762202</v>
      </c>
      <c r="W102" s="2" t="s">
        <v>969</v>
      </c>
      <c r="X102" s="2" t="str">
        <f t="shared" si="17"/>
        <v>Unique</v>
      </c>
    </row>
    <row r="103" spans="1:24" x14ac:dyDescent="0.35">
      <c r="A103" s="2" t="s">
        <v>978</v>
      </c>
      <c r="B103" s="2" t="s">
        <v>979</v>
      </c>
      <c r="C103" s="2" t="s">
        <v>980</v>
      </c>
      <c r="D103" s="2" t="s">
        <v>981</v>
      </c>
      <c r="E103" s="2" t="s">
        <v>982</v>
      </c>
      <c r="F103" s="2" t="s">
        <v>983</v>
      </c>
      <c r="G103" s="15" t="s">
        <v>984</v>
      </c>
      <c r="H103" s="2"/>
      <c r="I103" s="2" t="s">
        <v>130</v>
      </c>
      <c r="J103" s="2" t="s">
        <v>141</v>
      </c>
      <c r="K103" s="2" t="s">
        <v>121</v>
      </c>
      <c r="L103" s="2" t="s">
        <v>985</v>
      </c>
      <c r="M103" s="2" t="str">
        <f>IF(TRIM(C103)="","Missing",IF(AND(LEN(TRIM(C103))=10,SUMPRODUCT(--(CODE(MID(TRIM(C103),{1,2,3,4,5,10},1))&gt;=65),--(CODE(MID(TRIM(C103),{1,2,3,4,5,10},1))&lt;=90))=6,ISNUMBER(--MID(TRIM(C103),6,4))),"Valid","Invalid"))</f>
        <v>Valid</v>
      </c>
      <c r="N103" s="2" t="str">
        <f t="shared" si="9"/>
        <v>Valid</v>
      </c>
      <c r="O103" s="2" t="str">
        <f t="shared" si="10"/>
        <v>Valid</v>
      </c>
      <c r="P103" s="2" t="str">
        <f t="shared" si="11"/>
        <v>Valid</v>
      </c>
      <c r="Q103" s="2" t="str">
        <f t="shared" si="12"/>
        <v>Valid</v>
      </c>
      <c r="R103" s="2" t="str">
        <f>IF(TRIM(H103)="","Missing",IF(AND(LEN(TRIM(H103))=11,SUMPRODUCT(--(CODE(MID(TRIM(H103),{1,2,3,4},1))&gt;=65),--(CODE(MID(TRIM(H103),{1,2,3,4},1))&lt;=90))=4,MID(TRIM(H103),5,1)="0"),"Valid","Invalid"))</f>
        <v>Missing</v>
      </c>
      <c r="S103" s="2" t="str">
        <f t="shared" si="13"/>
        <v>Valid</v>
      </c>
      <c r="T103" s="2" t="str">
        <f t="shared" si="14"/>
        <v>Valid</v>
      </c>
      <c r="U103" s="2">
        <f t="shared" si="15"/>
        <v>1</v>
      </c>
      <c r="V103" s="2" t="str">
        <f t="shared" si="16"/>
        <v>6608835615</v>
      </c>
      <c r="W103" s="2" t="s">
        <v>978</v>
      </c>
      <c r="X103" s="2" t="str">
        <f t="shared" si="17"/>
        <v>Unique</v>
      </c>
    </row>
    <row r="104" spans="1:24" x14ac:dyDescent="0.35">
      <c r="A104" s="2" t="s">
        <v>986</v>
      </c>
      <c r="B104" s="2" t="s">
        <v>987</v>
      </c>
      <c r="C104" s="2" t="s">
        <v>988</v>
      </c>
      <c r="D104" s="2" t="s">
        <v>989</v>
      </c>
      <c r="E104" s="2" t="s">
        <v>990</v>
      </c>
      <c r="F104" s="2" t="s">
        <v>991</v>
      </c>
      <c r="G104" s="15" t="s">
        <v>992</v>
      </c>
      <c r="H104" s="2"/>
      <c r="I104" s="2" t="s">
        <v>130</v>
      </c>
      <c r="J104" s="2" t="s">
        <v>184</v>
      </c>
      <c r="K104" s="2" t="s">
        <v>121</v>
      </c>
      <c r="L104" s="2" t="s">
        <v>993</v>
      </c>
      <c r="M104" s="2" t="str">
        <f>IF(TRIM(C104)="","Missing",IF(AND(LEN(TRIM(C104))=10,SUMPRODUCT(--(CODE(MID(TRIM(C104),{1,2,3,4,5,10},1))&gt;=65),--(CODE(MID(TRIM(C104),{1,2,3,4,5,10},1))&lt;=90))=6,ISNUMBER(--MID(TRIM(C104),6,4))),"Valid","Invalid"))</f>
        <v>Valid</v>
      </c>
      <c r="N104" s="2" t="str">
        <f t="shared" si="9"/>
        <v>Invalid</v>
      </c>
      <c r="O104" s="2" t="str">
        <f t="shared" si="10"/>
        <v>Valid</v>
      </c>
      <c r="P104" s="2" t="str">
        <f t="shared" si="11"/>
        <v>Valid</v>
      </c>
      <c r="Q104" s="2" t="str">
        <f t="shared" si="12"/>
        <v>Valid</v>
      </c>
      <c r="R104" s="2" t="str">
        <f>IF(TRIM(H104)="","Missing",IF(AND(LEN(TRIM(H104))=11,SUMPRODUCT(--(CODE(MID(TRIM(H104),{1,2,3,4},1))&gt;=65),--(CODE(MID(TRIM(H104),{1,2,3,4},1))&lt;=90))=4,MID(TRIM(H104),5,1)="0"),"Valid","Invalid"))</f>
        <v>Missing</v>
      </c>
      <c r="S104" s="2" t="str">
        <f t="shared" si="13"/>
        <v>Valid</v>
      </c>
      <c r="T104" s="2" t="str">
        <f t="shared" si="14"/>
        <v>Invalid</v>
      </c>
      <c r="U104" s="2">
        <f t="shared" si="15"/>
        <v>3</v>
      </c>
      <c r="V104" s="2" t="str">
        <f t="shared" si="16"/>
        <v>916349361832</v>
      </c>
      <c r="W104" s="2" t="s">
        <v>986</v>
      </c>
      <c r="X104" s="2" t="str">
        <f t="shared" si="17"/>
        <v>Unique</v>
      </c>
    </row>
    <row r="105" spans="1:24" x14ac:dyDescent="0.35">
      <c r="A105" s="2" t="s">
        <v>994</v>
      </c>
      <c r="B105" s="2" t="s">
        <v>995</v>
      </c>
      <c r="C105" s="2" t="s">
        <v>996</v>
      </c>
      <c r="D105" s="2" t="s">
        <v>997</v>
      </c>
      <c r="E105" s="2"/>
      <c r="F105" s="2" t="s">
        <v>998</v>
      </c>
      <c r="G105" s="15" t="s">
        <v>999</v>
      </c>
      <c r="H105" s="2" t="s">
        <v>1000</v>
      </c>
      <c r="I105" s="2" t="s">
        <v>152</v>
      </c>
      <c r="J105" s="2" t="s">
        <v>164</v>
      </c>
      <c r="K105" s="2" t="s">
        <v>121</v>
      </c>
      <c r="L105" s="2" t="s">
        <v>1001</v>
      </c>
      <c r="M105" s="2" t="str">
        <f>IF(TRIM(C105)="","Missing",IF(AND(LEN(TRIM(C105))=10,SUMPRODUCT(--(CODE(MID(TRIM(C105),{1,2,3,4,5,10},1))&gt;=65),--(CODE(MID(TRIM(C105),{1,2,3,4,5,10},1))&lt;=90))=6,ISNUMBER(--MID(TRIM(C105),6,4))),"Valid","Invalid"))</f>
        <v>Valid</v>
      </c>
      <c r="N105" s="2" t="str">
        <f t="shared" si="9"/>
        <v>Valid</v>
      </c>
      <c r="O105" s="2" t="str">
        <f t="shared" si="10"/>
        <v>Missing</v>
      </c>
      <c r="P105" s="2" t="str">
        <f t="shared" si="11"/>
        <v>Valid</v>
      </c>
      <c r="Q105" s="2" t="str">
        <f t="shared" si="12"/>
        <v>Valid</v>
      </c>
      <c r="R105" s="2" t="str">
        <f>IF(TRIM(H105)="","Missing",IF(AND(LEN(TRIM(H105))=11,SUMPRODUCT(--(CODE(MID(TRIM(H105),{1,2,3,4},1))&gt;=65),--(CODE(MID(TRIM(H105),{1,2,3,4},1))&lt;=90))=4,MID(TRIM(H105),5,1)="0"),"Valid","Invalid"))</f>
        <v>Valid</v>
      </c>
      <c r="S105" s="2" t="str">
        <f t="shared" si="13"/>
        <v>Invalid</v>
      </c>
      <c r="T105" s="2" t="str">
        <f t="shared" si="14"/>
        <v>Valid</v>
      </c>
      <c r="U105" s="2">
        <f t="shared" si="15"/>
        <v>2</v>
      </c>
      <c r="V105" s="2" t="str">
        <f t="shared" si="16"/>
        <v>919859321334</v>
      </c>
      <c r="W105" s="2" t="s">
        <v>994</v>
      </c>
      <c r="X105" s="2" t="str">
        <f t="shared" si="17"/>
        <v>Unique</v>
      </c>
    </row>
    <row r="106" spans="1:24" x14ac:dyDescent="0.35">
      <c r="A106" s="2" t="s">
        <v>1002</v>
      </c>
      <c r="B106" s="2" t="s">
        <v>1003</v>
      </c>
      <c r="C106" s="2"/>
      <c r="D106" s="2" t="s">
        <v>1004</v>
      </c>
      <c r="E106" s="2" t="s">
        <v>1005</v>
      </c>
      <c r="F106" s="2" t="s">
        <v>1006</v>
      </c>
      <c r="G106" s="15" t="s">
        <v>1007</v>
      </c>
      <c r="H106" s="2" t="s">
        <v>1008</v>
      </c>
      <c r="I106" s="2" t="s">
        <v>130</v>
      </c>
      <c r="J106" s="2" t="s">
        <v>204</v>
      </c>
      <c r="K106" s="2" t="s">
        <v>121</v>
      </c>
      <c r="L106" s="2" t="s">
        <v>1009</v>
      </c>
      <c r="M106" s="2" t="str">
        <f>IF(TRIM(C106)="","Missing",IF(AND(LEN(TRIM(C106))=10,SUMPRODUCT(--(CODE(MID(TRIM(C106),{1,2,3,4,5,10},1))&gt;=65),--(CODE(MID(TRIM(C106),{1,2,3,4,5,10},1))&lt;=90))=6,ISNUMBER(--MID(TRIM(C106),6,4))),"Valid","Invalid"))</f>
        <v>Missing</v>
      </c>
      <c r="N106" s="2" t="str">
        <f t="shared" si="9"/>
        <v>PAN Mismatch</v>
      </c>
      <c r="O106" s="2" t="str">
        <f t="shared" si="10"/>
        <v>Valid</v>
      </c>
      <c r="P106" s="2" t="str">
        <f t="shared" si="11"/>
        <v>Valid</v>
      </c>
      <c r="Q106" s="2" t="str">
        <f t="shared" si="12"/>
        <v>Valid</v>
      </c>
      <c r="R106" s="2" t="str">
        <f>IF(TRIM(H106)="","Missing",IF(AND(LEN(TRIM(H106))=11,SUMPRODUCT(--(CODE(MID(TRIM(H106),{1,2,3,4},1))&gt;=65),--(CODE(MID(TRIM(H106),{1,2,3,4},1))&lt;=90))=4,MID(TRIM(H106),5,1)="0"),"Valid","Invalid"))</f>
        <v>Invalid</v>
      </c>
      <c r="S106" s="2" t="str">
        <f t="shared" si="13"/>
        <v>Valid</v>
      </c>
      <c r="T106" s="2" t="str">
        <f t="shared" si="14"/>
        <v>Invalid</v>
      </c>
      <c r="U106" s="2">
        <f t="shared" si="15"/>
        <v>4</v>
      </c>
      <c r="V106" s="2" t="str">
        <f t="shared" si="16"/>
        <v>918558845061</v>
      </c>
      <c r="W106" s="2" t="s">
        <v>1002</v>
      </c>
      <c r="X106" s="2" t="str">
        <f t="shared" si="17"/>
        <v>Unique</v>
      </c>
    </row>
    <row r="107" spans="1:24" x14ac:dyDescent="0.35">
      <c r="A107" s="2" t="s">
        <v>1010</v>
      </c>
      <c r="B107" s="2" t="s">
        <v>1011</v>
      </c>
      <c r="C107" s="2" t="s">
        <v>1012</v>
      </c>
      <c r="D107" s="2" t="s">
        <v>1013</v>
      </c>
      <c r="E107" s="2" t="s">
        <v>1014</v>
      </c>
      <c r="F107" s="2" t="s">
        <v>1015</v>
      </c>
      <c r="G107" s="15" t="s">
        <v>1016</v>
      </c>
      <c r="H107" s="2" t="s">
        <v>1017</v>
      </c>
      <c r="I107" s="2" t="s">
        <v>130</v>
      </c>
      <c r="J107" s="2" t="s">
        <v>141</v>
      </c>
      <c r="K107" s="2" t="s">
        <v>121</v>
      </c>
      <c r="L107" s="2" t="s">
        <v>1018</v>
      </c>
      <c r="M107" s="2" t="str">
        <f>IF(TRIM(C107)="","Missing",IF(AND(LEN(TRIM(C107))=10,SUMPRODUCT(--(CODE(MID(TRIM(C107),{1,2,3,4,5,10},1))&gt;=65),--(CODE(MID(TRIM(C107),{1,2,3,4,5,10},1))&lt;=90))=6,ISNUMBER(--MID(TRIM(C107),6,4))),"Valid","Invalid"))</f>
        <v>Valid</v>
      </c>
      <c r="N107" s="2" t="str">
        <f t="shared" si="9"/>
        <v>Valid</v>
      </c>
      <c r="O107" s="2" t="str">
        <f t="shared" si="10"/>
        <v>Valid</v>
      </c>
      <c r="P107" s="2" t="str">
        <f t="shared" si="11"/>
        <v>Valid</v>
      </c>
      <c r="Q107" s="2" t="str">
        <f t="shared" si="12"/>
        <v>Valid</v>
      </c>
      <c r="R107" s="2" t="str">
        <f>IF(TRIM(H107)="","Missing",IF(AND(LEN(TRIM(H107))=11,SUMPRODUCT(--(CODE(MID(TRIM(H107),{1,2,3,4},1))&gt;=65),--(CODE(MID(TRIM(H107),{1,2,3,4},1))&lt;=90))=4,MID(TRIM(H107),5,1)="0"),"Valid","Invalid"))</f>
        <v>Valid</v>
      </c>
      <c r="S107" s="2" t="str">
        <f t="shared" si="13"/>
        <v>Valid</v>
      </c>
      <c r="T107" s="2" t="str">
        <f t="shared" si="14"/>
        <v>Valid</v>
      </c>
      <c r="U107" s="2">
        <f t="shared" si="15"/>
        <v>0</v>
      </c>
      <c r="V107" s="2" t="str">
        <f t="shared" si="16"/>
        <v>9970623972</v>
      </c>
      <c r="W107" s="2" t="s">
        <v>1010</v>
      </c>
      <c r="X107" s="2" t="str">
        <f t="shared" si="17"/>
        <v>Unique</v>
      </c>
    </row>
    <row r="108" spans="1:24" x14ac:dyDescent="0.35">
      <c r="A108" s="2" t="s">
        <v>1019</v>
      </c>
      <c r="B108" s="2" t="s">
        <v>1020</v>
      </c>
      <c r="C108" s="2" t="s">
        <v>1021</v>
      </c>
      <c r="D108" s="2"/>
      <c r="E108" s="2" t="s">
        <v>1022</v>
      </c>
      <c r="F108" s="2" t="s">
        <v>1023</v>
      </c>
      <c r="G108" s="15" t="s">
        <v>1024</v>
      </c>
      <c r="H108" s="2" t="s">
        <v>1025</v>
      </c>
      <c r="I108" s="2" t="s">
        <v>130</v>
      </c>
      <c r="J108" s="2" t="s">
        <v>194</v>
      </c>
      <c r="K108" s="2" t="s">
        <v>121</v>
      </c>
      <c r="L108" s="2" t="s">
        <v>1026</v>
      </c>
      <c r="M108" s="2" t="str">
        <f>IF(TRIM(C108)="","Missing",IF(AND(LEN(TRIM(C108))=10,SUMPRODUCT(--(CODE(MID(TRIM(C108),{1,2,3,4,5,10},1))&gt;=65),--(CODE(MID(TRIM(C108),{1,2,3,4,5,10},1))&lt;=90))=6,ISNUMBER(--MID(TRIM(C108),6,4))),"Valid","Invalid"))</f>
        <v>Valid</v>
      </c>
      <c r="N108" s="2" t="str">
        <f t="shared" si="9"/>
        <v>Missing</v>
      </c>
      <c r="O108" s="2" t="str">
        <f t="shared" si="10"/>
        <v>Valid</v>
      </c>
      <c r="P108" s="2" t="str">
        <f t="shared" si="11"/>
        <v>Valid</v>
      </c>
      <c r="Q108" s="2" t="str">
        <f t="shared" si="12"/>
        <v>Valid</v>
      </c>
      <c r="R108" s="2" t="str">
        <f>IF(TRIM(H108)="","Missing",IF(AND(LEN(TRIM(H108))=11,SUMPRODUCT(--(CODE(MID(TRIM(H108),{1,2,3,4},1))&gt;=65),--(CODE(MID(TRIM(H108),{1,2,3,4},1))&lt;=90))=4,MID(TRIM(H108),5,1)="0"),"Valid","Invalid"))</f>
        <v>Valid</v>
      </c>
      <c r="S108" s="2" t="str">
        <f t="shared" si="13"/>
        <v>Valid</v>
      </c>
      <c r="T108" s="2" t="str">
        <f t="shared" si="14"/>
        <v>Invalid</v>
      </c>
      <c r="U108" s="2">
        <f t="shared" si="15"/>
        <v>2</v>
      </c>
      <c r="V108" s="2" t="str">
        <f t="shared" si="16"/>
        <v>8911415208</v>
      </c>
      <c r="W108" s="2" t="s">
        <v>1019</v>
      </c>
      <c r="X108" s="2" t="str">
        <f t="shared" si="17"/>
        <v>Duplicate</v>
      </c>
    </row>
    <row r="109" spans="1:24" x14ac:dyDescent="0.35">
      <c r="A109" s="2" t="s">
        <v>1027</v>
      </c>
      <c r="B109" s="2" t="s">
        <v>1028</v>
      </c>
      <c r="C109" s="2" t="s">
        <v>1029</v>
      </c>
      <c r="D109" s="2" t="s">
        <v>1030</v>
      </c>
      <c r="E109" s="2" t="s">
        <v>1031</v>
      </c>
      <c r="F109" s="2" t="s">
        <v>1032</v>
      </c>
      <c r="G109" s="15" t="s">
        <v>1033</v>
      </c>
      <c r="H109" s="2" t="s">
        <v>1034</v>
      </c>
      <c r="I109" s="2" t="s">
        <v>130</v>
      </c>
      <c r="J109" s="2" t="s">
        <v>359</v>
      </c>
      <c r="K109" s="2" t="s">
        <v>121</v>
      </c>
      <c r="L109" s="2" t="s">
        <v>1035</v>
      </c>
      <c r="M109" s="2" t="str">
        <f>IF(TRIM(C109)="","Missing",IF(AND(LEN(TRIM(C109))=10,SUMPRODUCT(--(CODE(MID(TRIM(C109),{1,2,3,4,5,10},1))&gt;=65),--(CODE(MID(TRIM(C109),{1,2,3,4,5,10},1))&lt;=90))=6,ISNUMBER(--MID(TRIM(C109),6,4))),"Valid","Invalid"))</f>
        <v>Valid</v>
      </c>
      <c r="N109" s="2" t="str">
        <f t="shared" si="9"/>
        <v>Valid</v>
      </c>
      <c r="O109" s="2" t="str">
        <f t="shared" si="10"/>
        <v>Valid</v>
      </c>
      <c r="P109" s="2" t="str">
        <f t="shared" si="11"/>
        <v>Valid</v>
      </c>
      <c r="Q109" s="2" t="str">
        <f t="shared" si="12"/>
        <v>Valid</v>
      </c>
      <c r="R109" s="2" t="str">
        <f>IF(TRIM(H109)="","Missing",IF(AND(LEN(TRIM(H109))=11,SUMPRODUCT(--(CODE(MID(TRIM(H109),{1,2,3,4},1))&gt;=65),--(CODE(MID(TRIM(H109),{1,2,3,4},1))&lt;=90))=4,MID(TRIM(H109),5,1)="0"),"Valid","Invalid"))</f>
        <v>Valid</v>
      </c>
      <c r="S109" s="2" t="str">
        <f t="shared" si="13"/>
        <v>Valid</v>
      </c>
      <c r="T109" s="2" t="str">
        <f t="shared" si="14"/>
        <v>Valid</v>
      </c>
      <c r="U109" s="2">
        <f t="shared" si="15"/>
        <v>0</v>
      </c>
      <c r="V109" s="2" t="str">
        <f t="shared" si="16"/>
        <v>919559630993</v>
      </c>
      <c r="W109" s="2" t="s">
        <v>1027</v>
      </c>
      <c r="X109" s="2" t="str">
        <f t="shared" si="17"/>
        <v>Duplicate</v>
      </c>
    </row>
    <row r="110" spans="1:24" x14ac:dyDescent="0.35">
      <c r="A110" s="2" t="s">
        <v>1036</v>
      </c>
      <c r="B110" s="2" t="s">
        <v>1037</v>
      </c>
      <c r="C110" s="2" t="s">
        <v>1038</v>
      </c>
      <c r="D110" s="2" t="s">
        <v>1039</v>
      </c>
      <c r="E110" s="2" t="s">
        <v>1040</v>
      </c>
      <c r="F110" s="2" t="s">
        <v>1041</v>
      </c>
      <c r="G110" s="15" t="s">
        <v>1042</v>
      </c>
      <c r="H110" s="2" t="s">
        <v>1043</v>
      </c>
      <c r="I110" s="2" t="s">
        <v>130</v>
      </c>
      <c r="J110" s="2" t="s">
        <v>204</v>
      </c>
      <c r="K110" s="2" t="s">
        <v>121</v>
      </c>
      <c r="L110" s="2" t="s">
        <v>1044</v>
      </c>
      <c r="M110" s="2" t="str">
        <f>IF(TRIM(C110)="","Missing",IF(AND(LEN(TRIM(C110))=10,SUMPRODUCT(--(CODE(MID(TRIM(C110),{1,2,3,4,5,10},1))&gt;=65),--(CODE(MID(TRIM(C110),{1,2,3,4,5,10},1))&lt;=90))=6,ISNUMBER(--MID(TRIM(C110),6,4))),"Valid","Invalid"))</f>
        <v>Valid</v>
      </c>
      <c r="N110" s="2" t="str">
        <f t="shared" si="9"/>
        <v>Valid</v>
      </c>
      <c r="O110" s="2" t="str">
        <f t="shared" si="10"/>
        <v>Valid</v>
      </c>
      <c r="P110" s="2" t="str">
        <f t="shared" si="11"/>
        <v>Valid</v>
      </c>
      <c r="Q110" s="2" t="str">
        <f t="shared" si="12"/>
        <v>Valid</v>
      </c>
      <c r="R110" s="2" t="str">
        <f>IF(TRIM(H110)="","Missing",IF(AND(LEN(TRIM(H110))=11,SUMPRODUCT(--(CODE(MID(TRIM(H110),{1,2,3,4},1))&gt;=65),--(CODE(MID(TRIM(H110),{1,2,3,4},1))&lt;=90))=4,MID(TRIM(H110),5,1)="0"),"Valid","Invalid"))</f>
        <v>Invalid</v>
      </c>
      <c r="S110" s="2" t="str">
        <f t="shared" si="13"/>
        <v>Valid</v>
      </c>
      <c r="T110" s="2" t="str">
        <f t="shared" si="14"/>
        <v>Invalid</v>
      </c>
      <c r="U110" s="2">
        <f t="shared" si="15"/>
        <v>2</v>
      </c>
      <c r="V110" s="2" t="str">
        <f t="shared" si="16"/>
        <v>917338726247</v>
      </c>
      <c r="W110" s="2" t="s">
        <v>1036</v>
      </c>
      <c r="X110" s="2" t="str">
        <f t="shared" si="17"/>
        <v>Unique</v>
      </c>
    </row>
    <row r="111" spans="1:24" x14ac:dyDescent="0.35">
      <c r="A111" s="2" t="s">
        <v>1045</v>
      </c>
      <c r="B111" s="2" t="s">
        <v>1046</v>
      </c>
      <c r="C111" s="2" t="s">
        <v>1047</v>
      </c>
      <c r="D111" s="2" t="s">
        <v>1048</v>
      </c>
      <c r="E111" s="2" t="s">
        <v>1049</v>
      </c>
      <c r="F111" s="2" t="s">
        <v>1050</v>
      </c>
      <c r="G111" s="15" t="s">
        <v>1051</v>
      </c>
      <c r="H111" s="2" t="s">
        <v>1052</v>
      </c>
      <c r="I111" s="2" t="s">
        <v>119</v>
      </c>
      <c r="J111" s="2" t="s">
        <v>243</v>
      </c>
      <c r="K111" s="2" t="s">
        <v>121</v>
      </c>
      <c r="L111" s="2" t="s">
        <v>1053</v>
      </c>
      <c r="M111" s="2" t="str">
        <f>IF(TRIM(C111)="","Missing",IF(AND(LEN(TRIM(C111))=10,SUMPRODUCT(--(CODE(MID(TRIM(C111),{1,2,3,4,5,10},1))&gt;=65),--(CODE(MID(TRIM(C111),{1,2,3,4,5,10},1))&lt;=90))=6,ISNUMBER(--MID(TRIM(C111),6,4))),"Valid","Invalid"))</f>
        <v>Valid</v>
      </c>
      <c r="N111" s="2" t="str">
        <f t="shared" si="9"/>
        <v>Valid</v>
      </c>
      <c r="O111" s="2" t="str">
        <f t="shared" si="10"/>
        <v>Valid</v>
      </c>
      <c r="P111" s="2" t="str">
        <f t="shared" si="11"/>
        <v>Valid</v>
      </c>
      <c r="Q111" s="2" t="str">
        <f t="shared" si="12"/>
        <v>Valid</v>
      </c>
      <c r="R111" s="2" t="str">
        <f>IF(TRIM(H111)="","Missing",IF(AND(LEN(TRIM(H111))=11,SUMPRODUCT(--(CODE(MID(TRIM(H111),{1,2,3,4},1))&gt;=65),--(CODE(MID(TRIM(H111),{1,2,3,4},1))&lt;=90))=4,MID(TRIM(H111),5,1)="0"),"Valid","Invalid"))</f>
        <v>Valid</v>
      </c>
      <c r="S111" s="2" t="str">
        <f t="shared" si="13"/>
        <v>Invalid</v>
      </c>
      <c r="T111" s="2" t="str">
        <f t="shared" si="14"/>
        <v>Invalid</v>
      </c>
      <c r="U111" s="2">
        <f t="shared" si="15"/>
        <v>2</v>
      </c>
      <c r="V111" s="2" t="str">
        <f t="shared" si="16"/>
        <v>917095935186</v>
      </c>
      <c r="W111" s="2" t="s">
        <v>1045</v>
      </c>
      <c r="X111" s="2" t="str">
        <f t="shared" si="17"/>
        <v>Unique</v>
      </c>
    </row>
    <row r="112" spans="1:24" x14ac:dyDescent="0.35">
      <c r="A112" s="2" t="s">
        <v>1054</v>
      </c>
      <c r="B112" s="2" t="s">
        <v>1055</v>
      </c>
      <c r="C112" s="2" t="s">
        <v>1056</v>
      </c>
      <c r="D112" s="2"/>
      <c r="E112" s="2"/>
      <c r="F112" s="2" t="s">
        <v>1057</v>
      </c>
      <c r="G112" s="15" t="s">
        <v>1058</v>
      </c>
      <c r="H112" s="2" t="s">
        <v>1059</v>
      </c>
      <c r="I112" s="2" t="s">
        <v>130</v>
      </c>
      <c r="J112" s="2" t="s">
        <v>289</v>
      </c>
      <c r="K112" s="2" t="s">
        <v>121</v>
      </c>
      <c r="L112" s="2" t="s">
        <v>1060</v>
      </c>
      <c r="M112" s="2" t="str">
        <f>IF(TRIM(C112)="","Missing",IF(AND(LEN(TRIM(C112))=10,SUMPRODUCT(--(CODE(MID(TRIM(C112),{1,2,3,4,5,10},1))&gt;=65),--(CODE(MID(TRIM(C112),{1,2,3,4,5,10},1))&lt;=90))=6,ISNUMBER(--MID(TRIM(C112),6,4))),"Valid","Invalid"))</f>
        <v>Valid</v>
      </c>
      <c r="N112" s="2" t="str">
        <f t="shared" si="9"/>
        <v>Missing</v>
      </c>
      <c r="O112" s="2" t="str">
        <f t="shared" si="10"/>
        <v>Missing</v>
      </c>
      <c r="P112" s="2" t="str">
        <f t="shared" si="11"/>
        <v>Valid</v>
      </c>
      <c r="Q112" s="2" t="str">
        <f t="shared" si="12"/>
        <v>Valid</v>
      </c>
      <c r="R112" s="2" t="str">
        <f>IF(TRIM(H112)="","Missing",IF(AND(LEN(TRIM(H112))=11,SUMPRODUCT(--(CODE(MID(TRIM(H112),{1,2,3,4},1))&gt;=65),--(CODE(MID(TRIM(H112),{1,2,3,4},1))&lt;=90))=4,MID(TRIM(H112),5,1)="0"),"Valid","Invalid"))</f>
        <v>Invalid</v>
      </c>
      <c r="S112" s="2" t="str">
        <f t="shared" si="13"/>
        <v>Valid</v>
      </c>
      <c r="T112" s="2" t="str">
        <f t="shared" si="14"/>
        <v>Invalid</v>
      </c>
      <c r="U112" s="2">
        <f t="shared" si="15"/>
        <v>4</v>
      </c>
      <c r="V112" s="2" t="str">
        <f t="shared" si="16"/>
        <v>916453038567</v>
      </c>
      <c r="W112" s="2" t="s">
        <v>1054</v>
      </c>
      <c r="X112" s="2" t="str">
        <f t="shared" si="17"/>
        <v>Unique</v>
      </c>
    </row>
    <row r="113" spans="1:24" x14ac:dyDescent="0.35">
      <c r="A113" s="2" t="s">
        <v>1061</v>
      </c>
      <c r="B113" s="2" t="s">
        <v>1062</v>
      </c>
      <c r="C113" s="2" t="s">
        <v>1063</v>
      </c>
      <c r="D113" s="2" t="s">
        <v>1064</v>
      </c>
      <c r="E113" s="2" t="s">
        <v>1065</v>
      </c>
      <c r="F113" s="2" t="s">
        <v>1066</v>
      </c>
      <c r="G113" s="15" t="s">
        <v>1067</v>
      </c>
      <c r="H113" s="2" t="s">
        <v>1068</v>
      </c>
      <c r="I113" s="2" t="s">
        <v>119</v>
      </c>
      <c r="J113" s="2" t="s">
        <v>174</v>
      </c>
      <c r="K113" s="2" t="s">
        <v>142</v>
      </c>
      <c r="L113" s="2" t="s">
        <v>1069</v>
      </c>
      <c r="M113" s="2" t="str">
        <f>IF(TRIM(C113)="","Missing",IF(AND(LEN(TRIM(C113))=10,SUMPRODUCT(--(CODE(MID(TRIM(C113),{1,2,3,4,5,10},1))&gt;=65),--(CODE(MID(TRIM(C113),{1,2,3,4,5,10},1))&lt;=90))=6,ISNUMBER(--MID(TRIM(C113),6,4))),"Valid","Invalid"))</f>
        <v>Valid</v>
      </c>
      <c r="N113" s="2" t="str">
        <f t="shared" si="9"/>
        <v>Valid</v>
      </c>
      <c r="O113" s="2" t="str">
        <f t="shared" si="10"/>
        <v>Valid</v>
      </c>
      <c r="P113" s="2" t="str">
        <f t="shared" si="11"/>
        <v>Valid</v>
      </c>
      <c r="Q113" s="2" t="str">
        <f t="shared" si="12"/>
        <v>Valid</v>
      </c>
      <c r="R113" s="2" t="str">
        <f>IF(TRIM(H113)="","Missing",IF(AND(LEN(TRIM(H113))=11,SUMPRODUCT(--(CODE(MID(TRIM(H113),{1,2,3,4},1))&gt;=65),--(CODE(MID(TRIM(H113),{1,2,3,4},1))&lt;=90))=4,MID(TRIM(H113),5,1)="0"),"Valid","Invalid"))</f>
        <v>Valid</v>
      </c>
      <c r="S113" s="2" t="str">
        <f t="shared" si="13"/>
        <v>Invalid</v>
      </c>
      <c r="T113" s="2" t="str">
        <f t="shared" si="14"/>
        <v>Valid</v>
      </c>
      <c r="U113" s="2">
        <f t="shared" si="15"/>
        <v>1</v>
      </c>
      <c r="V113" s="2" t="str">
        <f t="shared" si="16"/>
        <v>9986872774</v>
      </c>
      <c r="W113" s="2" t="s">
        <v>1061</v>
      </c>
      <c r="X113" s="2" t="str">
        <f t="shared" si="17"/>
        <v>Unique</v>
      </c>
    </row>
    <row r="114" spans="1:24" x14ac:dyDescent="0.35">
      <c r="A114" s="2" t="s">
        <v>1070</v>
      </c>
      <c r="B114" s="2" t="s">
        <v>1071</v>
      </c>
      <c r="C114" s="2" t="s">
        <v>1072</v>
      </c>
      <c r="D114" s="2"/>
      <c r="E114" s="2" t="s">
        <v>1073</v>
      </c>
      <c r="F114" s="2" t="s">
        <v>1074</v>
      </c>
      <c r="G114" s="15" t="s">
        <v>1075</v>
      </c>
      <c r="H114" s="2" t="s">
        <v>1076</v>
      </c>
      <c r="I114" s="2" t="s">
        <v>130</v>
      </c>
      <c r="J114" s="2" t="s">
        <v>204</v>
      </c>
      <c r="K114" s="2" t="s">
        <v>121</v>
      </c>
      <c r="L114" s="2" t="s">
        <v>1077</v>
      </c>
      <c r="M114" s="2" t="str">
        <f>IF(TRIM(C114)="","Missing",IF(AND(LEN(TRIM(C114))=10,SUMPRODUCT(--(CODE(MID(TRIM(C114),{1,2,3,4,5,10},1))&gt;=65),--(CODE(MID(TRIM(C114),{1,2,3,4,5,10},1))&lt;=90))=6,ISNUMBER(--MID(TRIM(C114),6,4))),"Valid","Invalid"))</f>
        <v>Valid</v>
      </c>
      <c r="N114" s="2" t="str">
        <f t="shared" si="9"/>
        <v>Missing</v>
      </c>
      <c r="O114" s="2" t="str">
        <f t="shared" si="10"/>
        <v>Valid</v>
      </c>
      <c r="P114" s="2" t="str">
        <f t="shared" si="11"/>
        <v>Valid</v>
      </c>
      <c r="Q114" s="2" t="str">
        <f t="shared" si="12"/>
        <v>Valid</v>
      </c>
      <c r="R114" s="2" t="str">
        <f>IF(TRIM(H114)="","Missing",IF(AND(LEN(TRIM(H114))=11,SUMPRODUCT(--(CODE(MID(TRIM(H114),{1,2,3,4},1))&gt;=65),--(CODE(MID(TRIM(H114),{1,2,3,4},1))&lt;=90))=4,MID(TRIM(H114),5,1)="0"),"Valid","Invalid"))</f>
        <v>Valid</v>
      </c>
      <c r="S114" s="2" t="str">
        <f t="shared" si="13"/>
        <v>Valid</v>
      </c>
      <c r="T114" s="2" t="str">
        <f t="shared" si="14"/>
        <v>Invalid</v>
      </c>
      <c r="U114" s="2">
        <f t="shared" si="15"/>
        <v>2</v>
      </c>
      <c r="V114" s="2" t="str">
        <f t="shared" si="16"/>
        <v>917440496391</v>
      </c>
      <c r="W114" s="2" t="s">
        <v>1070</v>
      </c>
      <c r="X114" s="2" t="str">
        <f t="shared" si="17"/>
        <v>Unique</v>
      </c>
    </row>
    <row r="115" spans="1:24" x14ac:dyDescent="0.35">
      <c r="A115" s="2" t="s">
        <v>1078</v>
      </c>
      <c r="B115" s="2" t="s">
        <v>1079</v>
      </c>
      <c r="C115" s="2"/>
      <c r="D115" s="2" t="s">
        <v>1080</v>
      </c>
      <c r="E115" s="2" t="s">
        <v>1081</v>
      </c>
      <c r="F115" s="2" t="s">
        <v>1082</v>
      </c>
      <c r="G115" s="15" t="s">
        <v>1083</v>
      </c>
      <c r="H115" s="2" t="s">
        <v>1084</v>
      </c>
      <c r="I115" s="2" t="s">
        <v>130</v>
      </c>
      <c r="J115" s="2" t="s">
        <v>359</v>
      </c>
      <c r="K115" s="2" t="s">
        <v>121</v>
      </c>
      <c r="L115" s="2" t="s">
        <v>1085</v>
      </c>
      <c r="M115" s="2" t="str">
        <f>IF(TRIM(C115)="","Missing",IF(AND(LEN(TRIM(C115))=10,SUMPRODUCT(--(CODE(MID(TRIM(C115),{1,2,3,4,5,10},1))&gt;=65),--(CODE(MID(TRIM(C115),{1,2,3,4,5,10},1))&lt;=90))=6,ISNUMBER(--MID(TRIM(C115),6,4))),"Valid","Invalid"))</f>
        <v>Missing</v>
      </c>
      <c r="N115" s="2" t="str">
        <f t="shared" si="9"/>
        <v>PAN Mismatch</v>
      </c>
      <c r="O115" s="2" t="str">
        <f t="shared" si="10"/>
        <v>Valid</v>
      </c>
      <c r="P115" s="2" t="str">
        <f t="shared" si="11"/>
        <v>Invalid</v>
      </c>
      <c r="Q115" s="2" t="str">
        <f t="shared" si="12"/>
        <v>Valid</v>
      </c>
      <c r="R115" s="2" t="str">
        <f>IF(TRIM(H115)="","Missing",IF(AND(LEN(TRIM(H115))=11,SUMPRODUCT(--(CODE(MID(TRIM(H115),{1,2,3,4},1))&gt;=65),--(CODE(MID(TRIM(H115),{1,2,3,4},1))&lt;=90))=4,MID(TRIM(H115),5,1)="0"),"Valid","Invalid"))</f>
        <v>Valid</v>
      </c>
      <c r="S115" s="2" t="str">
        <f t="shared" si="13"/>
        <v>Valid</v>
      </c>
      <c r="T115" s="2" t="str">
        <f t="shared" si="14"/>
        <v>Valid</v>
      </c>
      <c r="U115" s="2">
        <f t="shared" si="15"/>
        <v>3</v>
      </c>
      <c r="V115" s="2" t="str">
        <f t="shared" si="16"/>
        <v>878730024</v>
      </c>
      <c r="W115" s="2" t="s">
        <v>1078</v>
      </c>
      <c r="X115" s="2" t="str">
        <f t="shared" si="17"/>
        <v>Unique</v>
      </c>
    </row>
    <row r="116" spans="1:24" x14ac:dyDescent="0.35">
      <c r="A116" s="2" t="s">
        <v>1086</v>
      </c>
      <c r="B116" s="2" t="s">
        <v>1087</v>
      </c>
      <c r="C116" s="2" t="s">
        <v>1088</v>
      </c>
      <c r="D116" s="2" t="s">
        <v>1089</v>
      </c>
      <c r="E116" s="2" t="s">
        <v>1090</v>
      </c>
      <c r="F116" s="2" t="s">
        <v>1091</v>
      </c>
      <c r="G116" s="15" t="s">
        <v>1092</v>
      </c>
      <c r="H116" s="2" t="s">
        <v>1093</v>
      </c>
      <c r="I116" s="2" t="s">
        <v>130</v>
      </c>
      <c r="J116" s="2" t="s">
        <v>184</v>
      </c>
      <c r="K116" s="2" t="s">
        <v>142</v>
      </c>
      <c r="L116" s="2" t="s">
        <v>1094</v>
      </c>
      <c r="M116" s="2" t="str">
        <f>IF(TRIM(C116)="","Missing",IF(AND(LEN(TRIM(C116))=10,SUMPRODUCT(--(CODE(MID(TRIM(C116),{1,2,3,4,5,10},1))&gt;=65),--(CODE(MID(TRIM(C116),{1,2,3,4,5,10},1))&lt;=90))=6,ISNUMBER(--MID(TRIM(C116),6,4))),"Valid","Invalid"))</f>
        <v>Valid</v>
      </c>
      <c r="N116" s="2" t="str">
        <f t="shared" si="9"/>
        <v>Valid</v>
      </c>
      <c r="O116" s="2" t="str">
        <f t="shared" si="10"/>
        <v>Valid</v>
      </c>
      <c r="P116" s="2" t="str">
        <f t="shared" si="11"/>
        <v>Invalid</v>
      </c>
      <c r="Q116" s="2" t="str">
        <f t="shared" si="12"/>
        <v>Valid</v>
      </c>
      <c r="R116" s="2" t="str">
        <f>IF(TRIM(H116)="","Missing",IF(AND(LEN(TRIM(H116))=11,SUMPRODUCT(--(CODE(MID(TRIM(H116),{1,2,3,4},1))&gt;=65),--(CODE(MID(TRIM(H116),{1,2,3,4},1))&lt;=90))=4,MID(TRIM(H116),5,1)="0"),"Valid","Invalid"))</f>
        <v>Valid</v>
      </c>
      <c r="S116" s="2" t="str">
        <f t="shared" si="13"/>
        <v>Valid</v>
      </c>
      <c r="T116" s="2" t="str">
        <f t="shared" si="14"/>
        <v>Invalid</v>
      </c>
      <c r="U116" s="2">
        <f t="shared" si="15"/>
        <v>2</v>
      </c>
      <c r="V116" s="2" t="str">
        <f t="shared" si="16"/>
        <v>717271551</v>
      </c>
      <c r="W116" s="2" t="s">
        <v>1086</v>
      </c>
      <c r="X116" s="2" t="str">
        <f t="shared" si="17"/>
        <v>Unique</v>
      </c>
    </row>
    <row r="117" spans="1:24" x14ac:dyDescent="0.35">
      <c r="A117" s="2" t="s">
        <v>1095</v>
      </c>
      <c r="B117" s="2" t="s">
        <v>1096</v>
      </c>
      <c r="C117" s="2" t="s">
        <v>1097</v>
      </c>
      <c r="D117" s="2" t="s">
        <v>1098</v>
      </c>
      <c r="E117" s="2" t="s">
        <v>1099</v>
      </c>
      <c r="F117" s="2" t="s">
        <v>1100</v>
      </c>
      <c r="G117" s="15" t="s">
        <v>1101</v>
      </c>
      <c r="H117" s="2" t="s">
        <v>1102</v>
      </c>
      <c r="I117" s="2" t="s">
        <v>130</v>
      </c>
      <c r="J117" s="2" t="s">
        <v>231</v>
      </c>
      <c r="K117" s="2" t="s">
        <v>121</v>
      </c>
      <c r="L117" s="2" t="s">
        <v>773</v>
      </c>
      <c r="M117" s="2" t="str">
        <f>IF(TRIM(C117)="","Missing",IF(AND(LEN(TRIM(C117))=10,SUMPRODUCT(--(CODE(MID(TRIM(C117),{1,2,3,4,5,10},1))&gt;=65),--(CODE(MID(TRIM(C117),{1,2,3,4,5,10},1))&lt;=90))=6,ISNUMBER(--MID(TRIM(C117),6,4))),"Valid","Invalid"))</f>
        <v>Valid</v>
      </c>
      <c r="N117" s="2" t="str">
        <f t="shared" si="9"/>
        <v>Valid</v>
      </c>
      <c r="O117" s="2" t="str">
        <f t="shared" si="10"/>
        <v>Valid</v>
      </c>
      <c r="P117" s="2" t="str">
        <f t="shared" si="11"/>
        <v>Valid</v>
      </c>
      <c r="Q117" s="2" t="str">
        <f t="shared" si="12"/>
        <v>Valid</v>
      </c>
      <c r="R117" s="2" t="str">
        <f>IF(TRIM(H117)="","Missing",IF(AND(LEN(TRIM(H117))=11,SUMPRODUCT(--(CODE(MID(TRIM(H117),{1,2,3,4},1))&gt;=65),--(CODE(MID(TRIM(H117),{1,2,3,4},1))&lt;=90))=4,MID(TRIM(H117),5,1)="0"),"Valid","Invalid"))</f>
        <v>Valid</v>
      </c>
      <c r="S117" s="2" t="str">
        <f t="shared" si="13"/>
        <v>Valid</v>
      </c>
      <c r="T117" s="2" t="str">
        <f t="shared" si="14"/>
        <v>Invalid</v>
      </c>
      <c r="U117" s="2">
        <f t="shared" si="15"/>
        <v>1</v>
      </c>
      <c r="V117" s="2" t="str">
        <f t="shared" si="16"/>
        <v>919923747407</v>
      </c>
      <c r="W117" s="2" t="s">
        <v>1095</v>
      </c>
      <c r="X117" s="2" t="str">
        <f t="shared" si="17"/>
        <v>Unique</v>
      </c>
    </row>
    <row r="118" spans="1:24" x14ac:dyDescent="0.35">
      <c r="A118" s="2" t="s">
        <v>1103</v>
      </c>
      <c r="B118" s="2" t="s">
        <v>1104</v>
      </c>
      <c r="C118" s="2" t="s">
        <v>1105</v>
      </c>
      <c r="D118" s="2" t="s">
        <v>1106</v>
      </c>
      <c r="E118" s="2" t="s">
        <v>1107</v>
      </c>
      <c r="F118" s="2" t="s">
        <v>1108</v>
      </c>
      <c r="G118" s="15" t="s">
        <v>1109</v>
      </c>
      <c r="H118" s="2" t="s">
        <v>1110</v>
      </c>
      <c r="I118" s="2" t="s">
        <v>130</v>
      </c>
      <c r="J118" s="2" t="s">
        <v>412</v>
      </c>
      <c r="K118" s="2" t="s">
        <v>121</v>
      </c>
      <c r="L118" s="2" t="s">
        <v>1111</v>
      </c>
      <c r="M118" s="2" t="str">
        <f>IF(TRIM(C118)="","Missing",IF(AND(LEN(TRIM(C118))=10,SUMPRODUCT(--(CODE(MID(TRIM(C118),{1,2,3,4,5,10},1))&gt;=65),--(CODE(MID(TRIM(C118),{1,2,3,4,5,10},1))&lt;=90))=6,ISNUMBER(--MID(TRIM(C118),6,4))),"Valid","Invalid"))</f>
        <v>Valid</v>
      </c>
      <c r="N118" s="2" t="str">
        <f t="shared" si="9"/>
        <v>Valid</v>
      </c>
      <c r="O118" s="2" t="str">
        <f t="shared" si="10"/>
        <v>Valid</v>
      </c>
      <c r="P118" s="2" t="str">
        <f t="shared" si="11"/>
        <v>Valid</v>
      </c>
      <c r="Q118" s="2" t="str">
        <f t="shared" si="12"/>
        <v>Valid</v>
      </c>
      <c r="R118" s="2" t="str">
        <f>IF(TRIM(H118)="","Missing",IF(AND(LEN(TRIM(H118))=11,SUMPRODUCT(--(CODE(MID(TRIM(H118),{1,2,3,4},1))&gt;=65),--(CODE(MID(TRIM(H118),{1,2,3,4},1))&lt;=90))=4,MID(TRIM(H118),5,1)="0"),"Valid","Invalid"))</f>
        <v>Valid</v>
      </c>
      <c r="S118" s="2" t="str">
        <f t="shared" si="13"/>
        <v>Valid</v>
      </c>
      <c r="T118" s="2" t="str">
        <f t="shared" si="14"/>
        <v>Invalid</v>
      </c>
      <c r="U118" s="2">
        <f t="shared" si="15"/>
        <v>1</v>
      </c>
      <c r="V118" s="2" t="str">
        <f t="shared" si="16"/>
        <v>9032032074</v>
      </c>
      <c r="W118" s="2" t="s">
        <v>1103</v>
      </c>
      <c r="X118" s="2" t="str">
        <f t="shared" si="17"/>
        <v>Unique</v>
      </c>
    </row>
    <row r="119" spans="1:24" x14ac:dyDescent="0.35">
      <c r="A119" s="2" t="s">
        <v>1112</v>
      </c>
      <c r="B119" s="2" t="s">
        <v>1113</v>
      </c>
      <c r="C119" s="2" t="s">
        <v>1114</v>
      </c>
      <c r="D119" s="2" t="s">
        <v>1115</v>
      </c>
      <c r="E119" s="2" t="s">
        <v>1116</v>
      </c>
      <c r="F119" s="2" t="s">
        <v>1117</v>
      </c>
      <c r="G119" s="15" t="s">
        <v>1118</v>
      </c>
      <c r="H119" s="2" t="s">
        <v>1119</v>
      </c>
      <c r="I119" s="2" t="s">
        <v>152</v>
      </c>
      <c r="J119" s="2" t="s">
        <v>194</v>
      </c>
      <c r="K119" s="2" t="s">
        <v>121</v>
      </c>
      <c r="L119" s="2" t="s">
        <v>1120</v>
      </c>
      <c r="M119" s="2" t="str">
        <f>IF(TRIM(C119)="","Missing",IF(AND(LEN(TRIM(C119))=10,SUMPRODUCT(--(CODE(MID(TRIM(C119),{1,2,3,4,5,10},1))&gt;=65),--(CODE(MID(TRIM(C119),{1,2,3,4,5,10},1))&lt;=90))=6,ISNUMBER(--MID(TRIM(C119),6,4))),"Valid","Invalid"))</f>
        <v>Valid</v>
      </c>
      <c r="N119" s="2" t="str">
        <f t="shared" si="9"/>
        <v>Valid</v>
      </c>
      <c r="O119" s="2" t="str">
        <f t="shared" si="10"/>
        <v>Valid</v>
      </c>
      <c r="P119" s="2" t="str">
        <f t="shared" si="11"/>
        <v>Valid</v>
      </c>
      <c r="Q119" s="2" t="str">
        <f t="shared" si="12"/>
        <v>Valid</v>
      </c>
      <c r="R119" s="2" t="str">
        <f>IF(TRIM(H119)="","Missing",IF(AND(LEN(TRIM(H119))=11,SUMPRODUCT(--(CODE(MID(TRIM(H119),{1,2,3,4},1))&gt;=65),--(CODE(MID(TRIM(H119),{1,2,3,4},1))&lt;=90))=4,MID(TRIM(H119),5,1)="0"),"Valid","Invalid"))</f>
        <v>Valid</v>
      </c>
      <c r="S119" s="2" t="str">
        <f t="shared" si="13"/>
        <v>Invalid</v>
      </c>
      <c r="T119" s="2" t="str">
        <f t="shared" si="14"/>
        <v>Invalid</v>
      </c>
      <c r="U119" s="2">
        <f t="shared" si="15"/>
        <v>2</v>
      </c>
      <c r="V119" s="2" t="str">
        <f t="shared" si="16"/>
        <v>7060385050</v>
      </c>
      <c r="W119" s="2" t="s">
        <v>1112</v>
      </c>
      <c r="X119" s="2" t="str">
        <f t="shared" si="17"/>
        <v>Unique</v>
      </c>
    </row>
    <row r="120" spans="1:24" x14ac:dyDescent="0.35">
      <c r="A120" s="2" t="s">
        <v>1121</v>
      </c>
      <c r="B120" s="2" t="s">
        <v>1122</v>
      </c>
      <c r="C120" s="2" t="s">
        <v>1021</v>
      </c>
      <c r="D120" s="2" t="s">
        <v>1123</v>
      </c>
      <c r="E120" s="2" t="s">
        <v>1022</v>
      </c>
      <c r="F120" s="2" t="s">
        <v>1124</v>
      </c>
      <c r="G120" s="15" t="s">
        <v>1024</v>
      </c>
      <c r="H120" s="2" t="s">
        <v>1125</v>
      </c>
      <c r="I120" s="2" t="s">
        <v>130</v>
      </c>
      <c r="J120" s="2" t="s">
        <v>174</v>
      </c>
      <c r="K120" s="2" t="s">
        <v>121</v>
      </c>
      <c r="L120" s="2" t="s">
        <v>1126</v>
      </c>
      <c r="M120" s="2" t="str">
        <f>IF(TRIM(C120)="","Missing",IF(AND(LEN(TRIM(C120))=10,SUMPRODUCT(--(CODE(MID(TRIM(C120),{1,2,3,4,5,10},1))&gt;=65),--(CODE(MID(TRIM(C120),{1,2,3,4,5,10},1))&lt;=90))=6,ISNUMBER(--MID(TRIM(C120),6,4))),"Valid","Invalid"))</f>
        <v>Valid</v>
      </c>
      <c r="N120" s="2" t="str">
        <f t="shared" si="9"/>
        <v>Valid</v>
      </c>
      <c r="O120" s="2" t="str">
        <f t="shared" si="10"/>
        <v>Valid</v>
      </c>
      <c r="P120" s="2" t="str">
        <f t="shared" si="11"/>
        <v>Valid</v>
      </c>
      <c r="Q120" s="2" t="str">
        <f t="shared" si="12"/>
        <v>Valid</v>
      </c>
      <c r="R120" s="2" t="str">
        <f>IF(TRIM(H120)="","Missing",IF(AND(LEN(TRIM(H120))=11,SUMPRODUCT(--(CODE(MID(TRIM(H120),{1,2,3,4},1))&gt;=65),--(CODE(MID(TRIM(H120),{1,2,3,4},1))&lt;=90))=4,MID(TRIM(H120),5,1)="0"),"Valid","Invalid"))</f>
        <v>Invalid</v>
      </c>
      <c r="S120" s="2" t="str">
        <f t="shared" si="13"/>
        <v>Valid</v>
      </c>
      <c r="T120" s="2" t="str">
        <f t="shared" si="14"/>
        <v>Valid</v>
      </c>
      <c r="U120" s="2">
        <f t="shared" si="15"/>
        <v>1</v>
      </c>
      <c r="V120" s="2" t="str">
        <f t="shared" si="16"/>
        <v>8911415208</v>
      </c>
      <c r="W120" s="2" t="s">
        <v>1019</v>
      </c>
      <c r="X120" s="2" t="str">
        <f t="shared" si="17"/>
        <v>Duplicate</v>
      </c>
    </row>
    <row r="121" spans="1:24" x14ac:dyDescent="0.35">
      <c r="A121" s="2" t="s">
        <v>1127</v>
      </c>
      <c r="B121" s="2" t="s">
        <v>1128</v>
      </c>
      <c r="C121" s="2" t="s">
        <v>1129</v>
      </c>
      <c r="D121" s="2" t="s">
        <v>1130</v>
      </c>
      <c r="E121" s="2" t="s">
        <v>1131</v>
      </c>
      <c r="F121" s="2" t="s">
        <v>1132</v>
      </c>
      <c r="G121" s="15" t="s">
        <v>1133</v>
      </c>
      <c r="H121" s="2" t="s">
        <v>1134</v>
      </c>
      <c r="I121" s="2" t="s">
        <v>152</v>
      </c>
      <c r="J121" s="2" t="s">
        <v>526</v>
      </c>
      <c r="K121" s="2" t="s">
        <v>121</v>
      </c>
      <c r="L121" s="2" t="s">
        <v>1135</v>
      </c>
      <c r="M121" s="2" t="str">
        <f>IF(TRIM(C121)="","Missing",IF(AND(LEN(TRIM(C121))=10,SUMPRODUCT(--(CODE(MID(TRIM(C121),{1,2,3,4,5,10},1))&gt;=65),--(CODE(MID(TRIM(C121),{1,2,3,4,5,10},1))&lt;=90))=6,ISNUMBER(--MID(TRIM(C121),6,4))),"Valid","Invalid"))</f>
        <v>Valid</v>
      </c>
      <c r="N121" s="2" t="str">
        <f t="shared" si="9"/>
        <v>Valid</v>
      </c>
      <c r="O121" s="2" t="str">
        <f t="shared" si="10"/>
        <v>Valid</v>
      </c>
      <c r="P121" s="2" t="str">
        <f t="shared" si="11"/>
        <v>Valid</v>
      </c>
      <c r="Q121" s="2" t="str">
        <f t="shared" si="12"/>
        <v>Valid</v>
      </c>
      <c r="R121" s="2" t="str">
        <f>IF(TRIM(H121)="","Missing",IF(AND(LEN(TRIM(H121))=11,SUMPRODUCT(--(CODE(MID(TRIM(H121),{1,2,3,4},1))&gt;=65),--(CODE(MID(TRIM(H121),{1,2,3,4},1))&lt;=90))=4,MID(TRIM(H121),5,1)="0"),"Valid","Invalid"))</f>
        <v>Valid</v>
      </c>
      <c r="S121" s="2" t="str">
        <f t="shared" si="13"/>
        <v>Invalid</v>
      </c>
      <c r="T121" s="2" t="str">
        <f t="shared" si="14"/>
        <v>Invalid</v>
      </c>
      <c r="U121" s="2">
        <f t="shared" si="15"/>
        <v>2</v>
      </c>
      <c r="V121" s="2" t="str">
        <f t="shared" si="16"/>
        <v>9719788977</v>
      </c>
      <c r="W121" s="2" t="s">
        <v>1127</v>
      </c>
      <c r="X121" s="2" t="str">
        <f t="shared" si="17"/>
        <v>Unique</v>
      </c>
    </row>
    <row r="122" spans="1:24" x14ac:dyDescent="0.35">
      <c r="A122" s="2" t="s">
        <v>1136</v>
      </c>
      <c r="B122" s="2" t="s">
        <v>1137</v>
      </c>
      <c r="C122" s="2" t="s">
        <v>1138</v>
      </c>
      <c r="D122" s="2" t="s">
        <v>1139</v>
      </c>
      <c r="E122" s="2" t="s">
        <v>1140</v>
      </c>
      <c r="F122" s="2" t="s">
        <v>1141</v>
      </c>
      <c r="G122" s="15" t="s">
        <v>1142</v>
      </c>
      <c r="H122" s="2" t="s">
        <v>1143</v>
      </c>
      <c r="I122" s="2" t="s">
        <v>119</v>
      </c>
      <c r="J122" s="2" t="s">
        <v>120</v>
      </c>
      <c r="K122" s="2" t="s">
        <v>121</v>
      </c>
      <c r="L122" s="2" t="s">
        <v>1144</v>
      </c>
      <c r="M122" s="2" t="str">
        <f>IF(TRIM(C122)="","Missing",IF(AND(LEN(TRIM(C122))=10,SUMPRODUCT(--(CODE(MID(TRIM(C122),{1,2,3,4,5,10},1))&gt;=65),--(CODE(MID(TRIM(C122),{1,2,3,4,5,10},1))&lt;=90))=6,ISNUMBER(--MID(TRIM(C122),6,4))),"Valid","Invalid"))</f>
        <v>Valid</v>
      </c>
      <c r="N122" s="2" t="str">
        <f t="shared" si="9"/>
        <v>Valid</v>
      </c>
      <c r="O122" s="2" t="str">
        <f t="shared" si="10"/>
        <v>Valid</v>
      </c>
      <c r="P122" s="2" t="str">
        <f t="shared" si="11"/>
        <v>Valid</v>
      </c>
      <c r="Q122" s="2" t="str">
        <f t="shared" si="12"/>
        <v>Valid</v>
      </c>
      <c r="R122" s="2" t="str">
        <f>IF(TRIM(H122)="","Missing",IF(AND(LEN(TRIM(H122))=11,SUMPRODUCT(--(CODE(MID(TRIM(H122),{1,2,3,4},1))&gt;=65),--(CODE(MID(TRIM(H122),{1,2,3,4},1))&lt;=90))=4,MID(TRIM(H122),5,1)="0"),"Valid","Invalid"))</f>
        <v>Valid</v>
      </c>
      <c r="S122" s="2" t="str">
        <f t="shared" si="13"/>
        <v>Invalid</v>
      </c>
      <c r="T122" s="2" t="str">
        <f t="shared" si="14"/>
        <v>Invalid</v>
      </c>
      <c r="U122" s="2">
        <f t="shared" si="15"/>
        <v>2</v>
      </c>
      <c r="V122" s="2" t="str">
        <f t="shared" si="16"/>
        <v>7938700516</v>
      </c>
      <c r="W122" s="2" t="s">
        <v>1136</v>
      </c>
      <c r="X122" s="2" t="str">
        <f t="shared" si="17"/>
        <v>Unique</v>
      </c>
    </row>
    <row r="123" spans="1:24" x14ac:dyDescent="0.35">
      <c r="A123" s="2" t="s">
        <v>1145</v>
      </c>
      <c r="B123" s="2" t="s">
        <v>1146</v>
      </c>
      <c r="C123" s="2" t="s">
        <v>1147</v>
      </c>
      <c r="D123" s="2" t="s">
        <v>487</v>
      </c>
      <c r="E123" s="2" t="s">
        <v>488</v>
      </c>
      <c r="F123" s="2" t="s">
        <v>1148</v>
      </c>
      <c r="G123" s="15" t="s">
        <v>490</v>
      </c>
      <c r="H123" s="2" t="s">
        <v>491</v>
      </c>
      <c r="I123" s="2" t="s">
        <v>130</v>
      </c>
      <c r="J123" s="2" t="s">
        <v>184</v>
      </c>
      <c r="K123" s="2" t="s">
        <v>121</v>
      </c>
      <c r="L123" s="2" t="s">
        <v>605</v>
      </c>
      <c r="M123" s="2" t="str">
        <f>IF(TRIM(C123)="","Missing",IF(AND(LEN(TRIM(C123))=10,SUMPRODUCT(--(CODE(MID(TRIM(C123),{1,2,3,4,5,10},1))&gt;=65),--(CODE(MID(TRIM(C123),{1,2,3,4,5,10},1))&lt;=90))=6,ISNUMBER(--MID(TRIM(C123),6,4))),"Valid","Invalid"))</f>
        <v>Valid</v>
      </c>
      <c r="N123" s="2" t="str">
        <f t="shared" si="9"/>
        <v>Valid</v>
      </c>
      <c r="O123" s="2" t="str">
        <f t="shared" si="10"/>
        <v>Valid</v>
      </c>
      <c r="P123" s="2" t="str">
        <f t="shared" si="11"/>
        <v>Valid</v>
      </c>
      <c r="Q123" s="2" t="str">
        <f t="shared" si="12"/>
        <v>Valid</v>
      </c>
      <c r="R123" s="2" t="str">
        <f>IF(TRIM(H123)="","Missing",IF(AND(LEN(TRIM(H123))=11,SUMPRODUCT(--(CODE(MID(TRIM(H123),{1,2,3,4},1))&gt;=65),--(CODE(MID(TRIM(H123),{1,2,3,4},1))&lt;=90))=4,MID(TRIM(H123),5,1)="0"),"Valid","Invalid"))</f>
        <v>Valid</v>
      </c>
      <c r="S123" s="2" t="str">
        <f t="shared" si="13"/>
        <v>Valid</v>
      </c>
      <c r="T123" s="2" t="str">
        <f t="shared" si="14"/>
        <v>Invalid</v>
      </c>
      <c r="U123" s="2">
        <f t="shared" si="15"/>
        <v>1</v>
      </c>
      <c r="V123" s="2" t="str">
        <f t="shared" si="16"/>
        <v>917738987751</v>
      </c>
      <c r="W123" s="2" t="s">
        <v>484</v>
      </c>
      <c r="X123" s="2" t="str">
        <f t="shared" si="17"/>
        <v>Duplicate</v>
      </c>
    </row>
    <row r="124" spans="1:24" x14ac:dyDescent="0.35">
      <c r="A124" s="2" t="s">
        <v>1149</v>
      </c>
      <c r="B124" s="2" t="s">
        <v>1150</v>
      </c>
      <c r="C124" s="2" t="s">
        <v>1151</v>
      </c>
      <c r="D124" s="2" t="s">
        <v>1152</v>
      </c>
      <c r="E124" s="2" t="s">
        <v>1153</v>
      </c>
      <c r="F124" s="2" t="s">
        <v>1154</v>
      </c>
      <c r="G124" s="15" t="s">
        <v>1155</v>
      </c>
      <c r="H124" s="2" t="s">
        <v>1156</v>
      </c>
      <c r="I124" s="2" t="s">
        <v>130</v>
      </c>
      <c r="J124" s="2" t="s">
        <v>174</v>
      </c>
      <c r="K124" s="2" t="s">
        <v>121</v>
      </c>
      <c r="L124" s="2" t="s">
        <v>1157</v>
      </c>
      <c r="M124" s="2" t="str">
        <f>IF(TRIM(C124)="","Missing",IF(AND(LEN(TRIM(C124))=10,SUMPRODUCT(--(CODE(MID(TRIM(C124),{1,2,3,4,5,10},1))&gt;=65),--(CODE(MID(TRIM(C124),{1,2,3,4,5,10},1))&lt;=90))=6,ISNUMBER(--MID(TRIM(C124),6,4))),"Valid","Invalid"))</f>
        <v>Valid</v>
      </c>
      <c r="N124" s="2" t="str">
        <f t="shared" si="9"/>
        <v>Valid</v>
      </c>
      <c r="O124" s="2" t="str">
        <f t="shared" si="10"/>
        <v>Valid</v>
      </c>
      <c r="P124" s="2" t="str">
        <f t="shared" si="11"/>
        <v>Valid</v>
      </c>
      <c r="Q124" s="2" t="str">
        <f t="shared" si="12"/>
        <v>Valid</v>
      </c>
      <c r="R124" s="2" t="str">
        <f>IF(TRIM(H124)="","Missing",IF(AND(LEN(TRIM(H124))=11,SUMPRODUCT(--(CODE(MID(TRIM(H124),{1,2,3,4},1))&gt;=65),--(CODE(MID(TRIM(H124),{1,2,3,4},1))&lt;=90))=4,MID(TRIM(H124),5,1)="0"),"Valid","Invalid"))</f>
        <v>Valid</v>
      </c>
      <c r="S124" s="2" t="str">
        <f t="shared" si="13"/>
        <v>Valid</v>
      </c>
      <c r="T124" s="2" t="str">
        <f t="shared" si="14"/>
        <v>Valid</v>
      </c>
      <c r="U124" s="2">
        <f t="shared" si="15"/>
        <v>0</v>
      </c>
      <c r="V124" s="2" t="str">
        <f t="shared" si="16"/>
        <v>9152654610</v>
      </c>
      <c r="W124" s="2" t="s">
        <v>1149</v>
      </c>
      <c r="X124" s="2" t="str">
        <f t="shared" si="17"/>
        <v>Unique</v>
      </c>
    </row>
    <row r="125" spans="1:24" x14ac:dyDescent="0.35">
      <c r="A125" s="2" t="s">
        <v>1158</v>
      </c>
      <c r="B125" s="2" t="s">
        <v>1159</v>
      </c>
      <c r="C125" s="2" t="s">
        <v>1160</v>
      </c>
      <c r="D125" s="2" t="s">
        <v>1161</v>
      </c>
      <c r="E125" s="2" t="s">
        <v>1162</v>
      </c>
      <c r="F125" s="2" t="s">
        <v>1163</v>
      </c>
      <c r="G125" s="15" t="s">
        <v>1164</v>
      </c>
      <c r="H125" s="2" t="s">
        <v>1165</v>
      </c>
      <c r="I125" s="2" t="s">
        <v>152</v>
      </c>
      <c r="J125" s="2" t="s">
        <v>289</v>
      </c>
      <c r="K125" s="2" t="s">
        <v>121</v>
      </c>
      <c r="L125" s="2" t="s">
        <v>1166</v>
      </c>
      <c r="M125" s="2" t="str">
        <f>IF(TRIM(C125)="","Missing",IF(AND(LEN(TRIM(C125))=10,SUMPRODUCT(--(CODE(MID(TRIM(C125),{1,2,3,4,5,10},1))&gt;=65),--(CODE(MID(TRIM(C125),{1,2,3,4,5,10},1))&lt;=90))=6,ISNUMBER(--MID(TRIM(C125),6,4))),"Valid","Invalid"))</f>
        <v>Valid</v>
      </c>
      <c r="N125" s="2" t="str">
        <f t="shared" si="9"/>
        <v>Valid</v>
      </c>
      <c r="O125" s="2" t="str">
        <f t="shared" si="10"/>
        <v>Valid</v>
      </c>
      <c r="P125" s="2" t="str">
        <f t="shared" si="11"/>
        <v>Valid</v>
      </c>
      <c r="Q125" s="2" t="str">
        <f t="shared" si="12"/>
        <v>Valid</v>
      </c>
      <c r="R125" s="2" t="str">
        <f>IF(TRIM(H125)="","Missing",IF(AND(LEN(TRIM(H125))=11,SUMPRODUCT(--(CODE(MID(TRIM(H125),{1,2,3,4},1))&gt;=65),--(CODE(MID(TRIM(H125),{1,2,3,4},1))&lt;=90))=4,MID(TRIM(H125),5,1)="0"),"Valid","Invalid"))</f>
        <v>Valid</v>
      </c>
      <c r="S125" s="2" t="str">
        <f t="shared" si="13"/>
        <v>Invalid</v>
      </c>
      <c r="T125" s="2" t="str">
        <f t="shared" si="14"/>
        <v>Invalid</v>
      </c>
      <c r="U125" s="2">
        <f t="shared" si="15"/>
        <v>2</v>
      </c>
      <c r="V125" s="2" t="str">
        <f t="shared" si="16"/>
        <v>6589113529</v>
      </c>
      <c r="W125" s="2" t="s">
        <v>1158</v>
      </c>
      <c r="X125" s="2" t="str">
        <f t="shared" si="17"/>
        <v>Unique</v>
      </c>
    </row>
    <row r="126" spans="1:24" x14ac:dyDescent="0.35">
      <c r="A126" s="2" t="s">
        <v>1167</v>
      </c>
      <c r="B126" s="2" t="s">
        <v>1168</v>
      </c>
      <c r="C126" s="2"/>
      <c r="D126" s="2"/>
      <c r="E126" s="2"/>
      <c r="F126" s="2" t="s">
        <v>1169</v>
      </c>
      <c r="G126" s="15" t="s">
        <v>1170</v>
      </c>
      <c r="H126" s="2" t="s">
        <v>1171</v>
      </c>
      <c r="I126" s="2" t="s">
        <v>242</v>
      </c>
      <c r="J126" s="2" t="s">
        <v>174</v>
      </c>
      <c r="K126" s="2" t="s">
        <v>121</v>
      </c>
      <c r="L126" s="2" t="s">
        <v>1172</v>
      </c>
      <c r="M126" s="2" t="str">
        <f>IF(TRIM(C126)="","Missing",IF(AND(LEN(TRIM(C126))=10,SUMPRODUCT(--(CODE(MID(TRIM(C126),{1,2,3,4,5,10},1))&gt;=65),--(CODE(MID(TRIM(C126),{1,2,3,4,5,10},1))&lt;=90))=6,ISNUMBER(--MID(TRIM(C126),6,4))),"Valid","Invalid"))</f>
        <v>Missing</v>
      </c>
      <c r="N126" s="2" t="str">
        <f t="shared" si="9"/>
        <v>Missing</v>
      </c>
      <c r="O126" s="2" t="str">
        <f t="shared" si="10"/>
        <v>Missing</v>
      </c>
      <c r="P126" s="2" t="str">
        <f t="shared" si="11"/>
        <v>Valid</v>
      </c>
      <c r="Q126" s="2" t="str">
        <f t="shared" si="12"/>
        <v>Valid</v>
      </c>
      <c r="R126" s="2" t="str">
        <f>IF(TRIM(H126)="","Missing",IF(AND(LEN(TRIM(H126))=11,SUMPRODUCT(--(CODE(MID(TRIM(H126),{1,2,3,4},1))&gt;=65),--(CODE(MID(TRIM(H126),{1,2,3,4},1))&lt;=90))=4,MID(TRIM(H126),5,1)="0"),"Valid","Invalid"))</f>
        <v>Invalid</v>
      </c>
      <c r="S126" s="2" t="str">
        <f t="shared" si="13"/>
        <v>Invalid</v>
      </c>
      <c r="T126" s="2" t="str">
        <f t="shared" si="14"/>
        <v>Valid</v>
      </c>
      <c r="U126" s="2">
        <f t="shared" si="15"/>
        <v>5</v>
      </c>
      <c r="V126" s="2" t="str">
        <f t="shared" si="16"/>
        <v>6449972787</v>
      </c>
      <c r="W126" s="2" t="s">
        <v>1167</v>
      </c>
      <c r="X126" s="2" t="str">
        <f t="shared" si="17"/>
        <v>Unique</v>
      </c>
    </row>
    <row r="127" spans="1:24" x14ac:dyDescent="0.35">
      <c r="A127" s="2" t="s">
        <v>1173</v>
      </c>
      <c r="B127" s="2" t="s">
        <v>1174</v>
      </c>
      <c r="C127" s="2" t="s">
        <v>1175</v>
      </c>
      <c r="D127" s="2" t="s">
        <v>1176</v>
      </c>
      <c r="E127" s="2" t="s">
        <v>1177</v>
      </c>
      <c r="F127" s="2" t="s">
        <v>1178</v>
      </c>
      <c r="G127" s="15" t="s">
        <v>1179</v>
      </c>
      <c r="H127" s="2" t="s">
        <v>1180</v>
      </c>
      <c r="I127" s="2" t="s">
        <v>130</v>
      </c>
      <c r="J127" s="2" t="s">
        <v>845</v>
      </c>
      <c r="K127" s="2" t="s">
        <v>142</v>
      </c>
      <c r="L127" s="2" t="s">
        <v>1181</v>
      </c>
      <c r="M127" s="2" t="e">
        <f>IF(TRIM(C127)="","Missing",IF(AND(LEN(TRIM(C127))=10,SUMPRODUCT(--(CODE(MID(TRIM(C127),{1,2,3,4,5,10},1))&gt;=65),--(CODE(MID(TRIM(C127),{1,2,3,4,5,10},1))&lt;=90))=6,ISNUMBER(--MID(TRIM(C127),6,4))),"Valid","Invalid"))</f>
        <v>#VALUE!</v>
      </c>
      <c r="N127" s="2" t="str">
        <f t="shared" si="9"/>
        <v>PAN Mismatch</v>
      </c>
      <c r="O127" s="2" t="str">
        <f t="shared" si="10"/>
        <v>Valid</v>
      </c>
      <c r="P127" s="2" t="str">
        <f t="shared" si="11"/>
        <v>Valid</v>
      </c>
      <c r="Q127" s="2" t="str">
        <f t="shared" si="12"/>
        <v>Valid</v>
      </c>
      <c r="R127" s="2" t="str">
        <f>IF(TRIM(H127)="","Missing",IF(AND(LEN(TRIM(H127))=11,SUMPRODUCT(--(CODE(MID(TRIM(H127),{1,2,3,4},1))&gt;=65),--(CODE(MID(TRIM(H127),{1,2,3,4},1))&lt;=90))=4,MID(TRIM(H127),5,1)="0"),"Valid","Invalid"))</f>
        <v>Valid</v>
      </c>
      <c r="S127" s="2" t="str">
        <f t="shared" si="13"/>
        <v>Valid</v>
      </c>
      <c r="T127" s="2" t="str">
        <f t="shared" si="14"/>
        <v>Invalid</v>
      </c>
      <c r="U127" s="2">
        <f t="shared" si="15"/>
        <v>3</v>
      </c>
      <c r="V127" s="2" t="str">
        <f t="shared" si="16"/>
        <v>6780782357</v>
      </c>
      <c r="W127" s="2" t="s">
        <v>1173</v>
      </c>
      <c r="X127" s="2" t="str">
        <f t="shared" si="17"/>
        <v>Unique</v>
      </c>
    </row>
    <row r="128" spans="1:24" x14ac:dyDescent="0.35">
      <c r="A128" s="2" t="s">
        <v>1182</v>
      </c>
      <c r="B128" s="2" t="s">
        <v>1183</v>
      </c>
      <c r="C128" s="2" t="s">
        <v>1184</v>
      </c>
      <c r="D128" s="2" t="s">
        <v>1185</v>
      </c>
      <c r="E128" s="2" t="s">
        <v>1186</v>
      </c>
      <c r="F128" s="2" t="s">
        <v>1187</v>
      </c>
      <c r="G128" s="15" t="s">
        <v>1188</v>
      </c>
      <c r="H128" s="2" t="s">
        <v>1189</v>
      </c>
      <c r="I128" s="2" t="s">
        <v>130</v>
      </c>
      <c r="J128" s="2" t="s">
        <v>369</v>
      </c>
      <c r="K128" s="2" t="s">
        <v>121</v>
      </c>
      <c r="L128" s="2" t="s">
        <v>1190</v>
      </c>
      <c r="M128" s="2" t="str">
        <f>IF(TRIM(C128)="","Missing",IF(AND(LEN(TRIM(C128))=10,SUMPRODUCT(--(CODE(MID(TRIM(C128),{1,2,3,4,5,10},1))&gt;=65),--(CODE(MID(TRIM(C128),{1,2,3,4,5,10},1))&lt;=90))=6,ISNUMBER(--MID(TRIM(C128),6,4))),"Valid","Invalid"))</f>
        <v>Valid</v>
      </c>
      <c r="N128" s="2" t="str">
        <f t="shared" si="9"/>
        <v>Valid</v>
      </c>
      <c r="O128" s="2" t="str">
        <f t="shared" si="10"/>
        <v>Valid</v>
      </c>
      <c r="P128" s="2" t="str">
        <f t="shared" si="11"/>
        <v>Valid</v>
      </c>
      <c r="Q128" s="2" t="str">
        <f t="shared" si="12"/>
        <v>Valid</v>
      </c>
      <c r="R128" s="2" t="str">
        <f>IF(TRIM(H128)="","Missing",IF(AND(LEN(TRIM(H128))=11,SUMPRODUCT(--(CODE(MID(TRIM(H128),{1,2,3,4},1))&gt;=65),--(CODE(MID(TRIM(H128),{1,2,3,4},1))&lt;=90))=4,MID(TRIM(H128),5,1)="0"),"Valid","Invalid"))</f>
        <v>Invalid</v>
      </c>
      <c r="S128" s="2" t="str">
        <f t="shared" si="13"/>
        <v>Valid</v>
      </c>
      <c r="T128" s="2" t="str">
        <f t="shared" si="14"/>
        <v>Invalid</v>
      </c>
      <c r="U128" s="2">
        <f t="shared" si="15"/>
        <v>2</v>
      </c>
      <c r="V128" s="2" t="str">
        <f t="shared" si="16"/>
        <v>6528127358</v>
      </c>
      <c r="W128" s="2" t="s">
        <v>1182</v>
      </c>
      <c r="X128" s="2" t="str">
        <f t="shared" si="17"/>
        <v>Unique</v>
      </c>
    </row>
    <row r="129" spans="1:24" x14ac:dyDescent="0.35">
      <c r="A129" s="2" t="s">
        <v>1191</v>
      </c>
      <c r="B129" s="2" t="s">
        <v>1192</v>
      </c>
      <c r="C129" s="2" t="s">
        <v>1193</v>
      </c>
      <c r="D129" s="2" t="s">
        <v>1194</v>
      </c>
      <c r="E129" s="2" t="s">
        <v>1195</v>
      </c>
      <c r="F129" s="2" t="s">
        <v>1196</v>
      </c>
      <c r="G129" s="15"/>
      <c r="H129" s="2" t="s">
        <v>1197</v>
      </c>
      <c r="I129" s="2" t="s">
        <v>130</v>
      </c>
      <c r="J129" s="2" t="s">
        <v>164</v>
      </c>
      <c r="K129" s="2" t="s">
        <v>142</v>
      </c>
      <c r="L129" s="2" t="s">
        <v>1198</v>
      </c>
      <c r="M129" s="2" t="e">
        <f>IF(TRIM(C129)="","Missing",IF(AND(LEN(TRIM(C129))=10,SUMPRODUCT(--(CODE(MID(TRIM(C129),{1,2,3,4,5,10},1))&gt;=65),--(CODE(MID(TRIM(C129),{1,2,3,4,5,10},1))&lt;=90))=6,ISNUMBER(--MID(TRIM(C129),6,4))),"Valid","Invalid"))</f>
        <v>#VALUE!</v>
      </c>
      <c r="N129" s="2" t="str">
        <f t="shared" si="9"/>
        <v>PAN Mismatch</v>
      </c>
      <c r="O129" s="2" t="str">
        <f t="shared" si="10"/>
        <v>Valid</v>
      </c>
      <c r="P129" s="2" t="str">
        <f t="shared" si="11"/>
        <v>Valid</v>
      </c>
      <c r="Q129" s="2" t="str">
        <f t="shared" si="12"/>
        <v>Missing</v>
      </c>
      <c r="R129" s="2" t="str">
        <f>IF(TRIM(H129)="","Missing",IF(AND(LEN(TRIM(H129))=11,SUMPRODUCT(--(CODE(MID(TRIM(H129),{1,2,3,4},1))&gt;=65),--(CODE(MID(TRIM(H129),{1,2,3,4},1))&lt;=90))=4,MID(TRIM(H129),5,1)="0"),"Valid","Invalid"))</f>
        <v>Valid</v>
      </c>
      <c r="S129" s="2" t="str">
        <f t="shared" si="13"/>
        <v>Valid</v>
      </c>
      <c r="T129" s="2" t="str">
        <f t="shared" si="14"/>
        <v>Valid</v>
      </c>
      <c r="U129" s="2">
        <f t="shared" si="15"/>
        <v>3</v>
      </c>
      <c r="V129" s="2" t="str">
        <f t="shared" si="16"/>
        <v>9112075452</v>
      </c>
      <c r="W129" s="2" t="s">
        <v>1191</v>
      </c>
      <c r="X129" s="2" t="str">
        <f t="shared" si="17"/>
        <v>Unique</v>
      </c>
    </row>
    <row r="130" spans="1:24" x14ac:dyDescent="0.35">
      <c r="A130" s="2" t="s">
        <v>1199</v>
      </c>
      <c r="B130" s="2" t="s">
        <v>1200</v>
      </c>
      <c r="C130" s="2" t="s">
        <v>113</v>
      </c>
      <c r="D130" s="2" t="s">
        <v>114</v>
      </c>
      <c r="E130" s="2" t="s">
        <v>115</v>
      </c>
      <c r="F130" s="2" t="s">
        <v>1201</v>
      </c>
      <c r="G130" s="15" t="s">
        <v>117</v>
      </c>
      <c r="H130" s="2" t="s">
        <v>118</v>
      </c>
      <c r="I130" s="2" t="s">
        <v>130</v>
      </c>
      <c r="J130" s="2" t="s">
        <v>120</v>
      </c>
      <c r="K130" s="2" t="s">
        <v>121</v>
      </c>
      <c r="L130" s="2" t="s">
        <v>1202</v>
      </c>
      <c r="M130" s="2" t="str">
        <f>IF(TRIM(C130)="","Missing",IF(AND(LEN(TRIM(C130))=10,SUMPRODUCT(--(CODE(MID(TRIM(C130),{1,2,3,4,5,10},1))&gt;=65),--(CODE(MID(TRIM(C130),{1,2,3,4,5,10},1))&lt;=90))=6,ISNUMBER(--MID(TRIM(C130),6,4))),"Valid","Invalid"))</f>
        <v>Valid</v>
      </c>
      <c r="N130" s="2" t="str">
        <f t="shared" ref="N130:N193" si="18">IF(TRIM(D130)="","Missing",IF(AND(LEN(TRIM(D130))=15,MID(TRIM(D130),14,1)="Z"),IF(AND(TRIM(C130)&lt;&gt;"",MID(TRIM(D130),3,10)=TRIM(C130)),"Valid","PAN Mismatch"),"Invalid"))</f>
        <v>Valid</v>
      </c>
      <c r="O130" s="2" t="str">
        <f t="shared" ref="O130:O193" si="19">IF(TRIM(E130)="","Missing",IF(AND(ISNUMBER(FIND("@",E130)),ISERROR(FIND(" ",TRIM(E130))),IFERROR(FIND(".",E130,FIND("@",E130)),0)&gt;0),"Valid","Invalid"))</f>
        <v>Valid</v>
      </c>
      <c r="P130" s="2" t="str">
        <f t="shared" ref="P130:P193" si="20">IF(TRIM(F130)="","Missing",IFERROR(IF(AND(ISNUMBER(--V130),OR(LEN(V130)=10,AND(LEN(V130)=12,LEFT(V130,2)="91")),VALUE(LEFT(RIGHT(V130,10),1))&gt;=6),"Valid","Invalid"),"Invalid"))</f>
        <v>Valid</v>
      </c>
      <c r="Q130" s="2" t="str">
        <f t="shared" ref="Q130:Q193" si="21">IF(TRIM(G130)="","Missing",IFERROR(IF(AND(ISNUMBER(--TRIM(G130)),LEN(TRIM(G130))&gt;=9,LEN(TRIM(G130))&lt;=18,ISERROR(FIND(".",G130))),"Valid","Invalid"),"Invalid"))</f>
        <v>Valid</v>
      </c>
      <c r="R130" s="2" t="str">
        <f>IF(TRIM(H130)="","Missing",IF(AND(LEN(TRIM(H130))=11,SUMPRODUCT(--(CODE(MID(TRIM(H130),{1,2,3,4},1))&gt;=65),--(CODE(MID(TRIM(H130),{1,2,3,4},1))&lt;=90))=4,MID(TRIM(H130),5,1)="0"),"Valid","Invalid"))</f>
        <v>Valid</v>
      </c>
      <c r="S130" s="2" t="str">
        <f t="shared" ref="S130:S193" si="22">IF(TRIM(I130)="","Missing",IF(EXACT(TRIM(I130),"India"),"Valid","Invalid"))</f>
        <v>Valid</v>
      </c>
      <c r="T130" s="2" t="str">
        <f t="shared" ref="T130:T193" si="23">IF(TRIM(J130)="","Missing",IF(OR(EXACT(TRIM(J130),"Net 15"),EXACT(TRIM(J130),"Net 30"),EXACT(TRIM(J130),"Net 45"),EXACT(TRIM(J130),"Net 60")),"Valid","Invalid"))</f>
        <v>Invalid</v>
      </c>
      <c r="U130" s="2">
        <f t="shared" ref="U130:U193" si="24">COUNTIF(M130:T130,"&lt;&gt;Valid")</f>
        <v>1</v>
      </c>
      <c r="V130" s="2" t="str">
        <f t="shared" ref="V130:V193" si="25">SUBSTITUTE(SUBSTITUTE(SUBSTITUTE(F130," ",""),"-",""),"+","")</f>
        <v>917840445669</v>
      </c>
      <c r="W130" s="2" t="s">
        <v>111</v>
      </c>
      <c r="X130" s="2" t="str">
        <f t="shared" ref="X130:X193" si="26">IF(COUNTIF($W$2:$W$229,W130)&gt;1,"Duplicate","Unique")</f>
        <v>Duplicate</v>
      </c>
    </row>
    <row r="131" spans="1:24" x14ac:dyDescent="0.35">
      <c r="A131" s="2" t="s">
        <v>1203</v>
      </c>
      <c r="B131" s="2" t="s">
        <v>1204</v>
      </c>
      <c r="C131" s="2" t="s">
        <v>1205</v>
      </c>
      <c r="D131" s="2" t="s">
        <v>1206</v>
      </c>
      <c r="E131" s="2" t="s">
        <v>1207</v>
      </c>
      <c r="F131" s="2" t="s">
        <v>1208</v>
      </c>
      <c r="G131" s="15" t="s">
        <v>1209</v>
      </c>
      <c r="H131" s="2"/>
      <c r="I131" s="2" t="s">
        <v>119</v>
      </c>
      <c r="J131" s="2" t="s">
        <v>204</v>
      </c>
      <c r="K131" s="2" t="s">
        <v>121</v>
      </c>
      <c r="L131" s="2" t="s">
        <v>1210</v>
      </c>
      <c r="M131" s="2" t="str">
        <f>IF(TRIM(C131)="","Missing",IF(AND(LEN(TRIM(C131))=10,SUMPRODUCT(--(CODE(MID(TRIM(C131),{1,2,3,4,5,10},1))&gt;=65),--(CODE(MID(TRIM(C131),{1,2,3,4,5,10},1))&lt;=90))=6,ISNUMBER(--MID(TRIM(C131),6,4))),"Valid","Invalid"))</f>
        <v>Valid</v>
      </c>
      <c r="N131" s="2" t="str">
        <f t="shared" si="18"/>
        <v>Valid</v>
      </c>
      <c r="O131" s="2" t="str">
        <f t="shared" si="19"/>
        <v>Valid</v>
      </c>
      <c r="P131" s="2" t="str">
        <f t="shared" si="20"/>
        <v>Valid</v>
      </c>
      <c r="Q131" s="2" t="str">
        <f t="shared" si="21"/>
        <v>Valid</v>
      </c>
      <c r="R131" s="2" t="str">
        <f>IF(TRIM(H131)="","Missing",IF(AND(LEN(TRIM(H131))=11,SUMPRODUCT(--(CODE(MID(TRIM(H131),{1,2,3,4},1))&gt;=65),--(CODE(MID(TRIM(H131),{1,2,3,4},1))&lt;=90))=4,MID(TRIM(H131),5,1)="0"),"Valid","Invalid"))</f>
        <v>Missing</v>
      </c>
      <c r="S131" s="2" t="str">
        <f t="shared" si="22"/>
        <v>Invalid</v>
      </c>
      <c r="T131" s="2" t="str">
        <f t="shared" si="23"/>
        <v>Invalid</v>
      </c>
      <c r="U131" s="2">
        <f t="shared" si="24"/>
        <v>3</v>
      </c>
      <c r="V131" s="2" t="str">
        <f t="shared" si="25"/>
        <v>919490785158</v>
      </c>
      <c r="W131" s="2" t="s">
        <v>1203</v>
      </c>
      <c r="X131" s="2" t="str">
        <f t="shared" si="26"/>
        <v>Unique</v>
      </c>
    </row>
    <row r="132" spans="1:24" x14ac:dyDescent="0.35">
      <c r="A132" s="2" t="s">
        <v>1211</v>
      </c>
      <c r="B132" s="2" t="s">
        <v>1212</v>
      </c>
      <c r="C132" s="2" t="s">
        <v>1213</v>
      </c>
      <c r="D132" s="2" t="s">
        <v>1214</v>
      </c>
      <c r="E132" s="2" t="s">
        <v>1215</v>
      </c>
      <c r="F132" s="2" t="s">
        <v>1216</v>
      </c>
      <c r="G132" s="15"/>
      <c r="H132" s="2" t="s">
        <v>1217</v>
      </c>
      <c r="I132" s="2" t="s">
        <v>130</v>
      </c>
      <c r="J132" s="2" t="s">
        <v>231</v>
      </c>
      <c r="K132" s="2" t="s">
        <v>121</v>
      </c>
      <c r="L132" s="2" t="s">
        <v>1218</v>
      </c>
      <c r="M132" s="2" t="str">
        <f>IF(TRIM(C132)="","Missing",IF(AND(LEN(TRIM(C132))=10,SUMPRODUCT(--(CODE(MID(TRIM(C132),{1,2,3,4,5,10},1))&gt;=65),--(CODE(MID(TRIM(C132),{1,2,3,4,5,10},1))&lt;=90))=6,ISNUMBER(--MID(TRIM(C132),6,4))),"Valid","Invalid"))</f>
        <v>Valid</v>
      </c>
      <c r="N132" s="2" t="str">
        <f t="shared" si="18"/>
        <v>Valid</v>
      </c>
      <c r="O132" s="2" t="str">
        <f t="shared" si="19"/>
        <v>Valid</v>
      </c>
      <c r="P132" s="2" t="str">
        <f t="shared" si="20"/>
        <v>Valid</v>
      </c>
      <c r="Q132" s="2" t="str">
        <f t="shared" si="21"/>
        <v>Missing</v>
      </c>
      <c r="R132" s="2" t="str">
        <f>IF(TRIM(H132)="","Missing",IF(AND(LEN(TRIM(H132))=11,SUMPRODUCT(--(CODE(MID(TRIM(H132),{1,2,3,4},1))&gt;=65),--(CODE(MID(TRIM(H132),{1,2,3,4},1))&lt;=90))=4,MID(TRIM(H132),5,1)="0"),"Valid","Invalid"))</f>
        <v>Valid</v>
      </c>
      <c r="S132" s="2" t="str">
        <f t="shared" si="22"/>
        <v>Valid</v>
      </c>
      <c r="T132" s="2" t="str">
        <f t="shared" si="23"/>
        <v>Invalid</v>
      </c>
      <c r="U132" s="2">
        <f t="shared" si="24"/>
        <v>2</v>
      </c>
      <c r="V132" s="2" t="str">
        <f t="shared" si="25"/>
        <v>916678831712</v>
      </c>
      <c r="W132" s="2" t="s">
        <v>1211</v>
      </c>
      <c r="X132" s="2" t="str">
        <f t="shared" si="26"/>
        <v>Unique</v>
      </c>
    </row>
    <row r="133" spans="1:24" x14ac:dyDescent="0.35">
      <c r="A133" s="2" t="s">
        <v>1219</v>
      </c>
      <c r="B133" s="2" t="s">
        <v>1220</v>
      </c>
      <c r="C133" s="2" t="s">
        <v>1221</v>
      </c>
      <c r="D133" s="2" t="s">
        <v>1222</v>
      </c>
      <c r="E133" s="2" t="s">
        <v>1223</v>
      </c>
      <c r="F133" s="2" t="s">
        <v>1224</v>
      </c>
      <c r="G133" s="15"/>
      <c r="H133" s="2" t="s">
        <v>1225</v>
      </c>
      <c r="I133" s="2" t="s">
        <v>242</v>
      </c>
      <c r="J133" s="2" t="s">
        <v>184</v>
      </c>
      <c r="K133" s="2" t="s">
        <v>121</v>
      </c>
      <c r="L133" s="2" t="s">
        <v>1226</v>
      </c>
      <c r="M133" s="2" t="str">
        <f>IF(TRIM(C133)="","Missing",IF(AND(LEN(TRIM(C133))=10,SUMPRODUCT(--(CODE(MID(TRIM(C133),{1,2,3,4,5,10},1))&gt;=65),--(CODE(MID(TRIM(C133),{1,2,3,4,5,10},1))&lt;=90))=6,ISNUMBER(--MID(TRIM(C133),6,4))),"Valid","Invalid"))</f>
        <v>Valid</v>
      </c>
      <c r="N133" s="2" t="str">
        <f t="shared" si="18"/>
        <v>Valid</v>
      </c>
      <c r="O133" s="2" t="str">
        <f t="shared" si="19"/>
        <v>Valid</v>
      </c>
      <c r="P133" s="2" t="str">
        <f t="shared" si="20"/>
        <v>Valid</v>
      </c>
      <c r="Q133" s="2" t="str">
        <f t="shared" si="21"/>
        <v>Missing</v>
      </c>
      <c r="R133" s="2" t="str">
        <f>IF(TRIM(H133)="","Missing",IF(AND(LEN(TRIM(H133))=11,SUMPRODUCT(--(CODE(MID(TRIM(H133),{1,2,3,4},1))&gt;=65),--(CODE(MID(TRIM(H133),{1,2,3,4},1))&lt;=90))=4,MID(TRIM(H133),5,1)="0"),"Valid","Invalid"))</f>
        <v>Valid</v>
      </c>
      <c r="S133" s="2" t="str">
        <f t="shared" si="22"/>
        <v>Invalid</v>
      </c>
      <c r="T133" s="2" t="str">
        <f t="shared" si="23"/>
        <v>Invalid</v>
      </c>
      <c r="U133" s="2">
        <f t="shared" si="24"/>
        <v>3</v>
      </c>
      <c r="V133" s="2" t="str">
        <f t="shared" si="25"/>
        <v>918890901001</v>
      </c>
      <c r="W133" s="2" t="s">
        <v>1219</v>
      </c>
      <c r="X133" s="2" t="str">
        <f t="shared" si="26"/>
        <v>Unique</v>
      </c>
    </row>
    <row r="134" spans="1:24" x14ac:dyDescent="0.35">
      <c r="A134" s="2" t="s">
        <v>1227</v>
      </c>
      <c r="B134" s="2" t="s">
        <v>1228</v>
      </c>
      <c r="C134" s="2"/>
      <c r="D134" s="2" t="s">
        <v>478</v>
      </c>
      <c r="E134" s="2" t="s">
        <v>479</v>
      </c>
      <c r="F134" s="2" t="s">
        <v>480</v>
      </c>
      <c r="G134" s="15" t="s">
        <v>481</v>
      </c>
      <c r="H134" s="2" t="s">
        <v>482</v>
      </c>
      <c r="I134" s="2" t="s">
        <v>119</v>
      </c>
      <c r="J134" s="2" t="s">
        <v>412</v>
      </c>
      <c r="K134" s="2" t="s">
        <v>121</v>
      </c>
      <c r="L134" s="2" t="s">
        <v>1229</v>
      </c>
      <c r="M134" s="2" t="str">
        <f>IF(TRIM(C134)="","Missing",IF(AND(LEN(TRIM(C134))=10,SUMPRODUCT(--(CODE(MID(TRIM(C134),{1,2,3,4,5,10},1))&gt;=65),--(CODE(MID(TRIM(C134),{1,2,3,4,5,10},1))&lt;=90))=6,ISNUMBER(--MID(TRIM(C134),6,4))),"Valid","Invalid"))</f>
        <v>Missing</v>
      </c>
      <c r="N134" s="2" t="str">
        <f t="shared" si="18"/>
        <v>PAN Mismatch</v>
      </c>
      <c r="O134" s="2" t="str">
        <f t="shared" si="19"/>
        <v>Valid</v>
      </c>
      <c r="P134" s="2" t="str">
        <f t="shared" si="20"/>
        <v>Valid</v>
      </c>
      <c r="Q134" s="2" t="str">
        <f t="shared" si="21"/>
        <v>Valid</v>
      </c>
      <c r="R134" s="2" t="str">
        <f>IF(TRIM(H134)="","Missing",IF(AND(LEN(TRIM(H134))=11,SUMPRODUCT(--(CODE(MID(TRIM(H134),{1,2,3,4},1))&gt;=65),--(CODE(MID(TRIM(H134),{1,2,3,4},1))&lt;=90))=4,MID(TRIM(H134),5,1)="0"),"Valid","Invalid"))</f>
        <v>Valid</v>
      </c>
      <c r="S134" s="2" t="str">
        <f t="shared" si="22"/>
        <v>Invalid</v>
      </c>
      <c r="T134" s="2" t="str">
        <f t="shared" si="23"/>
        <v>Invalid</v>
      </c>
      <c r="U134" s="2">
        <f t="shared" si="24"/>
        <v>4</v>
      </c>
      <c r="V134" s="2" t="str">
        <f t="shared" si="25"/>
        <v>917144270312</v>
      </c>
      <c r="W134" s="2" t="s">
        <v>1227</v>
      </c>
      <c r="X134" s="2" t="str">
        <f t="shared" si="26"/>
        <v>Unique</v>
      </c>
    </row>
    <row r="135" spans="1:24" x14ac:dyDescent="0.35">
      <c r="A135" s="2" t="s">
        <v>1230</v>
      </c>
      <c r="B135" s="2" t="s">
        <v>1231</v>
      </c>
      <c r="C135" s="2" t="s">
        <v>1232</v>
      </c>
      <c r="D135" s="2" t="s">
        <v>1233</v>
      </c>
      <c r="E135" s="2" t="s">
        <v>1234</v>
      </c>
      <c r="F135" s="2" t="s">
        <v>1235</v>
      </c>
      <c r="G135" s="15" t="s">
        <v>1236</v>
      </c>
      <c r="H135" s="2" t="s">
        <v>1237</v>
      </c>
      <c r="I135" s="2" t="s">
        <v>130</v>
      </c>
      <c r="J135" s="2" t="s">
        <v>120</v>
      </c>
      <c r="K135" s="2" t="s">
        <v>121</v>
      </c>
      <c r="L135" s="2" t="s">
        <v>1238</v>
      </c>
      <c r="M135" s="2" t="str">
        <f>IF(TRIM(C135)="","Missing",IF(AND(LEN(TRIM(C135))=10,SUMPRODUCT(--(CODE(MID(TRIM(C135),{1,2,3,4,5,10},1))&gt;=65),--(CODE(MID(TRIM(C135),{1,2,3,4,5,10},1))&lt;=90))=6,ISNUMBER(--MID(TRIM(C135),6,4))),"Valid","Invalid"))</f>
        <v>Valid</v>
      </c>
      <c r="N135" s="2" t="str">
        <f t="shared" si="18"/>
        <v>Valid</v>
      </c>
      <c r="O135" s="2" t="str">
        <f t="shared" si="19"/>
        <v>Valid</v>
      </c>
      <c r="P135" s="2" t="str">
        <f t="shared" si="20"/>
        <v>Valid</v>
      </c>
      <c r="Q135" s="2" t="str">
        <f t="shared" si="21"/>
        <v>Valid</v>
      </c>
      <c r="R135" s="2" t="str">
        <f>IF(TRIM(H135)="","Missing",IF(AND(LEN(TRIM(H135))=11,SUMPRODUCT(--(CODE(MID(TRIM(H135),{1,2,3,4},1))&gt;=65),--(CODE(MID(TRIM(H135),{1,2,3,4},1))&lt;=90))=4,MID(TRIM(H135),5,1)="0"),"Valid","Invalid"))</f>
        <v>Valid</v>
      </c>
      <c r="S135" s="2" t="str">
        <f t="shared" si="22"/>
        <v>Valid</v>
      </c>
      <c r="T135" s="2" t="str">
        <f t="shared" si="23"/>
        <v>Invalid</v>
      </c>
      <c r="U135" s="2">
        <f t="shared" si="24"/>
        <v>1</v>
      </c>
      <c r="V135" s="2" t="str">
        <f t="shared" si="25"/>
        <v>916702814069</v>
      </c>
      <c r="W135" s="2" t="s">
        <v>1230</v>
      </c>
      <c r="X135" s="2" t="str">
        <f t="shared" si="26"/>
        <v>Unique</v>
      </c>
    </row>
    <row r="136" spans="1:24" x14ac:dyDescent="0.35">
      <c r="A136" s="2" t="s">
        <v>1239</v>
      </c>
      <c r="B136" s="2" t="s">
        <v>1240</v>
      </c>
      <c r="C136" s="2" t="s">
        <v>1241</v>
      </c>
      <c r="D136" s="2" t="s">
        <v>1242</v>
      </c>
      <c r="E136" s="2" t="s">
        <v>1243</v>
      </c>
      <c r="F136" s="2" t="s">
        <v>1244</v>
      </c>
      <c r="G136" s="15" t="s">
        <v>1245</v>
      </c>
      <c r="H136" s="2" t="s">
        <v>1246</v>
      </c>
      <c r="I136" s="2" t="s">
        <v>130</v>
      </c>
      <c r="J136" s="2" t="s">
        <v>270</v>
      </c>
      <c r="K136" s="2" t="s">
        <v>121</v>
      </c>
      <c r="L136" s="2" t="s">
        <v>1247</v>
      </c>
      <c r="M136" s="2" t="str">
        <f>IF(TRIM(C136)="","Missing",IF(AND(LEN(TRIM(C136))=10,SUMPRODUCT(--(CODE(MID(TRIM(C136),{1,2,3,4,5,10},1))&gt;=65),--(CODE(MID(TRIM(C136),{1,2,3,4,5,10},1))&lt;=90))=6,ISNUMBER(--MID(TRIM(C136),6,4))),"Valid","Invalid"))</f>
        <v>Invalid</v>
      </c>
      <c r="N136" s="2" t="str">
        <f t="shared" si="18"/>
        <v>Valid</v>
      </c>
      <c r="O136" s="2" t="str">
        <f t="shared" si="19"/>
        <v>Valid</v>
      </c>
      <c r="P136" s="2" t="str">
        <f t="shared" si="20"/>
        <v>Valid</v>
      </c>
      <c r="Q136" s="2" t="str">
        <f t="shared" si="21"/>
        <v>Valid</v>
      </c>
      <c r="R136" s="2" t="str">
        <f>IF(TRIM(H136)="","Missing",IF(AND(LEN(TRIM(H136))=11,SUMPRODUCT(--(CODE(MID(TRIM(H136),{1,2,3,4},1))&gt;=65),--(CODE(MID(TRIM(H136),{1,2,3,4},1))&lt;=90))=4,MID(TRIM(H136),5,1)="0"),"Valid","Invalid"))</f>
        <v>Valid</v>
      </c>
      <c r="S136" s="2" t="str">
        <f t="shared" si="22"/>
        <v>Valid</v>
      </c>
      <c r="T136" s="2" t="str">
        <f t="shared" si="23"/>
        <v>Invalid</v>
      </c>
      <c r="U136" s="2">
        <f t="shared" si="24"/>
        <v>2</v>
      </c>
      <c r="V136" s="2" t="str">
        <f t="shared" si="25"/>
        <v>6518644925</v>
      </c>
      <c r="W136" s="2" t="s">
        <v>1239</v>
      </c>
      <c r="X136" s="2" t="str">
        <f t="shared" si="26"/>
        <v>Unique</v>
      </c>
    </row>
    <row r="137" spans="1:24" x14ac:dyDescent="0.35">
      <c r="A137" s="2" t="s">
        <v>1248</v>
      </c>
      <c r="B137" s="2" t="s">
        <v>1249</v>
      </c>
      <c r="C137" s="2" t="s">
        <v>1250</v>
      </c>
      <c r="D137" s="2" t="s">
        <v>1251</v>
      </c>
      <c r="E137" s="2" t="s">
        <v>1252</v>
      </c>
      <c r="F137" s="2" t="s">
        <v>1253</v>
      </c>
      <c r="G137" s="15" t="s">
        <v>1254</v>
      </c>
      <c r="H137" s="2" t="s">
        <v>1255</v>
      </c>
      <c r="I137" s="2" t="s">
        <v>130</v>
      </c>
      <c r="J137" s="2" t="s">
        <v>174</v>
      </c>
      <c r="K137" s="2" t="s">
        <v>121</v>
      </c>
      <c r="L137" s="2" t="s">
        <v>1256</v>
      </c>
      <c r="M137" s="2" t="str">
        <f>IF(TRIM(C137)="","Missing",IF(AND(LEN(TRIM(C137))=10,SUMPRODUCT(--(CODE(MID(TRIM(C137),{1,2,3,4,5,10},1))&gt;=65),--(CODE(MID(TRIM(C137),{1,2,3,4,5,10},1))&lt;=90))=6,ISNUMBER(--MID(TRIM(C137),6,4))),"Valid","Invalid"))</f>
        <v>Valid</v>
      </c>
      <c r="N137" s="2" t="str">
        <f t="shared" si="18"/>
        <v>Valid</v>
      </c>
      <c r="O137" s="2" t="str">
        <f t="shared" si="19"/>
        <v>Valid</v>
      </c>
      <c r="P137" s="2" t="str">
        <f t="shared" si="20"/>
        <v>Valid</v>
      </c>
      <c r="Q137" s="2" t="str">
        <f t="shared" si="21"/>
        <v>Valid</v>
      </c>
      <c r="R137" s="2" t="str">
        <f>IF(TRIM(H137)="","Missing",IF(AND(LEN(TRIM(H137))=11,SUMPRODUCT(--(CODE(MID(TRIM(H137),{1,2,3,4},1))&gt;=65),--(CODE(MID(TRIM(H137),{1,2,3,4},1))&lt;=90))=4,MID(TRIM(H137),5,1)="0"),"Valid","Invalid"))</f>
        <v>Valid</v>
      </c>
      <c r="S137" s="2" t="str">
        <f t="shared" si="22"/>
        <v>Valid</v>
      </c>
      <c r="T137" s="2" t="str">
        <f t="shared" si="23"/>
        <v>Valid</v>
      </c>
      <c r="U137" s="2">
        <f t="shared" si="24"/>
        <v>0</v>
      </c>
      <c r="V137" s="2" t="str">
        <f t="shared" si="25"/>
        <v>6033542168</v>
      </c>
      <c r="W137" s="2" t="s">
        <v>1248</v>
      </c>
      <c r="X137" s="2" t="str">
        <f t="shared" si="26"/>
        <v>Unique</v>
      </c>
    </row>
    <row r="138" spans="1:24" x14ac:dyDescent="0.35">
      <c r="A138" s="2" t="s">
        <v>1257</v>
      </c>
      <c r="B138" s="2" t="s">
        <v>1258</v>
      </c>
      <c r="C138" s="2" t="s">
        <v>1259</v>
      </c>
      <c r="D138" s="2"/>
      <c r="E138" s="2" t="s">
        <v>1260</v>
      </c>
      <c r="F138" s="2" t="s">
        <v>1261</v>
      </c>
      <c r="G138" s="15" t="s">
        <v>1262</v>
      </c>
      <c r="H138" s="2"/>
      <c r="I138" s="2" t="s">
        <v>130</v>
      </c>
      <c r="J138" s="2" t="s">
        <v>141</v>
      </c>
      <c r="K138" s="2" t="s">
        <v>121</v>
      </c>
      <c r="L138" s="2" t="s">
        <v>1263</v>
      </c>
      <c r="M138" s="2" t="str">
        <f>IF(TRIM(C138)="","Missing",IF(AND(LEN(TRIM(C138))=10,SUMPRODUCT(--(CODE(MID(TRIM(C138),{1,2,3,4,5,10},1))&gt;=65),--(CODE(MID(TRIM(C138),{1,2,3,4,5,10},1))&lt;=90))=6,ISNUMBER(--MID(TRIM(C138),6,4))),"Valid","Invalid"))</f>
        <v>Valid</v>
      </c>
      <c r="N138" s="2" t="str">
        <f t="shared" si="18"/>
        <v>Missing</v>
      </c>
      <c r="O138" s="2" t="str">
        <f t="shared" si="19"/>
        <v>Valid</v>
      </c>
      <c r="P138" s="2" t="str">
        <f t="shared" si="20"/>
        <v>Valid</v>
      </c>
      <c r="Q138" s="2" t="str">
        <f t="shared" si="21"/>
        <v>Valid</v>
      </c>
      <c r="R138" s="2" t="str">
        <f>IF(TRIM(H138)="","Missing",IF(AND(LEN(TRIM(H138))=11,SUMPRODUCT(--(CODE(MID(TRIM(H138),{1,2,3,4},1))&gt;=65),--(CODE(MID(TRIM(H138),{1,2,3,4},1))&lt;=90))=4,MID(TRIM(H138),5,1)="0"),"Valid","Invalid"))</f>
        <v>Missing</v>
      </c>
      <c r="S138" s="2" t="str">
        <f t="shared" si="22"/>
        <v>Valid</v>
      </c>
      <c r="T138" s="2" t="str">
        <f t="shared" si="23"/>
        <v>Valid</v>
      </c>
      <c r="U138" s="2">
        <f t="shared" si="24"/>
        <v>2</v>
      </c>
      <c r="V138" s="2" t="str">
        <f t="shared" si="25"/>
        <v>7966055830</v>
      </c>
      <c r="W138" s="2" t="s">
        <v>1257</v>
      </c>
      <c r="X138" s="2" t="str">
        <f t="shared" si="26"/>
        <v>Unique</v>
      </c>
    </row>
    <row r="139" spans="1:24" x14ac:dyDescent="0.35">
      <c r="A139" s="2" t="s">
        <v>1264</v>
      </c>
      <c r="B139" s="2" t="s">
        <v>1265</v>
      </c>
      <c r="C139" s="2" t="s">
        <v>1266</v>
      </c>
      <c r="D139" s="2" t="s">
        <v>1267</v>
      </c>
      <c r="E139" s="2" t="s">
        <v>1268</v>
      </c>
      <c r="F139" s="2" t="s">
        <v>1269</v>
      </c>
      <c r="G139" s="15" t="s">
        <v>1270</v>
      </c>
      <c r="H139" s="2" t="s">
        <v>1271</v>
      </c>
      <c r="I139" s="2" t="s">
        <v>130</v>
      </c>
      <c r="J139" s="2" t="s">
        <v>526</v>
      </c>
      <c r="K139" s="2" t="s">
        <v>121</v>
      </c>
      <c r="L139" s="2" t="s">
        <v>1272</v>
      </c>
      <c r="M139" s="2" t="str">
        <f>IF(TRIM(C139)="","Missing",IF(AND(LEN(TRIM(C139))=10,SUMPRODUCT(--(CODE(MID(TRIM(C139),{1,2,3,4,5,10},1))&gt;=65),--(CODE(MID(TRIM(C139),{1,2,3,4,5,10},1))&lt;=90))=6,ISNUMBER(--MID(TRIM(C139),6,4))),"Valid","Invalid"))</f>
        <v>Valid</v>
      </c>
      <c r="N139" s="2" t="str">
        <f t="shared" si="18"/>
        <v>Valid</v>
      </c>
      <c r="O139" s="2" t="str">
        <f t="shared" si="19"/>
        <v>Valid</v>
      </c>
      <c r="P139" s="2" t="str">
        <f t="shared" si="20"/>
        <v>Valid</v>
      </c>
      <c r="Q139" s="2" t="str">
        <f t="shared" si="21"/>
        <v>Valid</v>
      </c>
      <c r="R139" s="2" t="str">
        <f>IF(TRIM(H139)="","Missing",IF(AND(LEN(TRIM(H139))=11,SUMPRODUCT(--(CODE(MID(TRIM(H139),{1,2,3,4},1))&gt;=65),--(CODE(MID(TRIM(H139),{1,2,3,4},1))&lt;=90))=4,MID(TRIM(H139),5,1)="0"),"Valid","Invalid"))</f>
        <v>Valid</v>
      </c>
      <c r="S139" s="2" t="str">
        <f t="shared" si="22"/>
        <v>Valid</v>
      </c>
      <c r="T139" s="2" t="str">
        <f t="shared" si="23"/>
        <v>Invalid</v>
      </c>
      <c r="U139" s="2">
        <f t="shared" si="24"/>
        <v>1</v>
      </c>
      <c r="V139" s="2" t="str">
        <f t="shared" si="25"/>
        <v>6708053100</v>
      </c>
      <c r="W139" s="2" t="s">
        <v>1264</v>
      </c>
      <c r="X139" s="2" t="str">
        <f t="shared" si="26"/>
        <v>Unique</v>
      </c>
    </row>
    <row r="140" spans="1:24" x14ac:dyDescent="0.35">
      <c r="A140" s="2" t="s">
        <v>1273</v>
      </c>
      <c r="B140" s="2" t="s">
        <v>1274</v>
      </c>
      <c r="C140" s="2"/>
      <c r="D140" s="2" t="s">
        <v>1275</v>
      </c>
      <c r="E140" s="2" t="s">
        <v>1276</v>
      </c>
      <c r="F140" s="2" t="s">
        <v>1277</v>
      </c>
      <c r="G140" s="15" t="s">
        <v>1278</v>
      </c>
      <c r="H140" s="2"/>
      <c r="I140" s="2" t="s">
        <v>130</v>
      </c>
      <c r="J140" s="2" t="s">
        <v>369</v>
      </c>
      <c r="K140" s="2" t="s">
        <v>121</v>
      </c>
      <c r="L140" s="2" t="s">
        <v>1279</v>
      </c>
      <c r="M140" s="2" t="str">
        <f>IF(TRIM(C140)="","Missing",IF(AND(LEN(TRIM(C140))=10,SUMPRODUCT(--(CODE(MID(TRIM(C140),{1,2,3,4,5,10},1))&gt;=65),--(CODE(MID(TRIM(C140),{1,2,3,4,5,10},1))&lt;=90))=6,ISNUMBER(--MID(TRIM(C140),6,4))),"Valid","Invalid"))</f>
        <v>Missing</v>
      </c>
      <c r="N140" s="2" t="str">
        <f t="shared" si="18"/>
        <v>PAN Mismatch</v>
      </c>
      <c r="O140" s="2" t="str">
        <f t="shared" si="19"/>
        <v>Valid</v>
      </c>
      <c r="P140" s="2" t="str">
        <f t="shared" si="20"/>
        <v>Valid</v>
      </c>
      <c r="Q140" s="2" t="str">
        <f t="shared" si="21"/>
        <v>Valid</v>
      </c>
      <c r="R140" s="2" t="str">
        <f>IF(TRIM(H140)="","Missing",IF(AND(LEN(TRIM(H140))=11,SUMPRODUCT(--(CODE(MID(TRIM(H140),{1,2,3,4},1))&gt;=65),--(CODE(MID(TRIM(H140),{1,2,3,4},1))&lt;=90))=4,MID(TRIM(H140),5,1)="0"),"Valid","Invalid"))</f>
        <v>Missing</v>
      </c>
      <c r="S140" s="2" t="str">
        <f t="shared" si="22"/>
        <v>Valid</v>
      </c>
      <c r="T140" s="2" t="str">
        <f t="shared" si="23"/>
        <v>Invalid</v>
      </c>
      <c r="U140" s="2">
        <f t="shared" si="24"/>
        <v>4</v>
      </c>
      <c r="V140" s="2" t="str">
        <f t="shared" si="25"/>
        <v>916910883982</v>
      </c>
      <c r="W140" s="2" t="s">
        <v>1273</v>
      </c>
      <c r="X140" s="2" t="str">
        <f t="shared" si="26"/>
        <v>Unique</v>
      </c>
    </row>
    <row r="141" spans="1:24" x14ac:dyDescent="0.35">
      <c r="A141" s="2" t="s">
        <v>1280</v>
      </c>
      <c r="B141" s="2" t="s">
        <v>1281</v>
      </c>
      <c r="C141" s="2" t="s">
        <v>1282</v>
      </c>
      <c r="D141" s="2" t="s">
        <v>1283</v>
      </c>
      <c r="E141" s="2" t="s">
        <v>1284</v>
      </c>
      <c r="F141" s="2" t="s">
        <v>1285</v>
      </c>
      <c r="G141" s="15" t="s">
        <v>1286</v>
      </c>
      <c r="H141" s="2" t="s">
        <v>1287</v>
      </c>
      <c r="I141" s="2" t="s">
        <v>130</v>
      </c>
      <c r="J141" s="2" t="s">
        <v>131</v>
      </c>
      <c r="K141" s="2" t="s">
        <v>121</v>
      </c>
      <c r="L141" s="2" t="s">
        <v>1288</v>
      </c>
      <c r="M141" s="2" t="str">
        <f>IF(TRIM(C141)="","Missing",IF(AND(LEN(TRIM(C141))=10,SUMPRODUCT(--(CODE(MID(TRIM(C141),{1,2,3,4,5,10},1))&gt;=65),--(CODE(MID(TRIM(C141),{1,2,3,4,5,10},1))&lt;=90))=6,ISNUMBER(--MID(TRIM(C141),6,4))),"Valid","Invalid"))</f>
        <v>Valid</v>
      </c>
      <c r="N141" s="2" t="str">
        <f t="shared" si="18"/>
        <v>Valid</v>
      </c>
      <c r="O141" s="2" t="str">
        <f t="shared" si="19"/>
        <v>Valid</v>
      </c>
      <c r="P141" s="2" t="str">
        <f t="shared" si="20"/>
        <v>Valid</v>
      </c>
      <c r="Q141" s="2" t="str">
        <f t="shared" si="21"/>
        <v>Valid</v>
      </c>
      <c r="R141" s="2" t="str">
        <f>IF(TRIM(H141)="","Missing",IF(AND(LEN(TRIM(H141))=11,SUMPRODUCT(--(CODE(MID(TRIM(H141),{1,2,3,4},1))&gt;=65),--(CODE(MID(TRIM(H141),{1,2,3,4},1))&lt;=90))=4,MID(TRIM(H141),5,1)="0"),"Valid","Invalid"))</f>
        <v>Valid</v>
      </c>
      <c r="S141" s="2" t="str">
        <f t="shared" si="22"/>
        <v>Valid</v>
      </c>
      <c r="T141" s="2" t="str">
        <f t="shared" si="23"/>
        <v>Invalid</v>
      </c>
      <c r="U141" s="2">
        <f t="shared" si="24"/>
        <v>1</v>
      </c>
      <c r="V141" s="2" t="str">
        <f t="shared" si="25"/>
        <v>917050614973</v>
      </c>
      <c r="W141" s="2" t="s">
        <v>1280</v>
      </c>
      <c r="X141" s="2" t="str">
        <f t="shared" si="26"/>
        <v>Unique</v>
      </c>
    </row>
    <row r="142" spans="1:24" x14ac:dyDescent="0.35">
      <c r="A142" s="2" t="s">
        <v>1289</v>
      </c>
      <c r="B142" s="2" t="s">
        <v>1290</v>
      </c>
      <c r="C142" s="2" t="s">
        <v>1291</v>
      </c>
      <c r="D142" s="2" t="s">
        <v>1292</v>
      </c>
      <c r="E142" s="2" t="s">
        <v>1293</v>
      </c>
      <c r="F142" s="2"/>
      <c r="G142" s="15" t="s">
        <v>1294</v>
      </c>
      <c r="H142" s="2" t="s">
        <v>1295</v>
      </c>
      <c r="I142" s="2" t="s">
        <v>130</v>
      </c>
      <c r="J142" s="2" t="s">
        <v>563</v>
      </c>
      <c r="K142" s="2" t="s">
        <v>121</v>
      </c>
      <c r="L142" s="2" t="s">
        <v>1296</v>
      </c>
      <c r="M142" s="2" t="str">
        <f>IF(TRIM(C142)="","Missing",IF(AND(LEN(TRIM(C142))=10,SUMPRODUCT(--(CODE(MID(TRIM(C142),{1,2,3,4,5,10},1))&gt;=65),--(CODE(MID(TRIM(C142),{1,2,3,4,5,10},1))&lt;=90))=6,ISNUMBER(--MID(TRIM(C142),6,4))),"Valid","Invalid"))</f>
        <v>Valid</v>
      </c>
      <c r="N142" s="2" t="str">
        <f t="shared" si="18"/>
        <v>Valid</v>
      </c>
      <c r="O142" s="2" t="str">
        <f t="shared" si="19"/>
        <v>Valid</v>
      </c>
      <c r="P142" s="2" t="str">
        <f t="shared" si="20"/>
        <v>Missing</v>
      </c>
      <c r="Q142" s="2" t="str">
        <f t="shared" si="21"/>
        <v>Valid</v>
      </c>
      <c r="R142" s="2" t="str">
        <f>IF(TRIM(H142)="","Missing",IF(AND(LEN(TRIM(H142))=11,SUMPRODUCT(--(CODE(MID(TRIM(H142),{1,2,3,4},1))&gt;=65),--(CODE(MID(TRIM(H142),{1,2,3,4},1))&lt;=90))=4,MID(TRIM(H142),5,1)="0"),"Valid","Invalid"))</f>
        <v>Valid</v>
      </c>
      <c r="S142" s="2" t="str">
        <f t="shared" si="22"/>
        <v>Valid</v>
      </c>
      <c r="T142" s="2" t="str">
        <f t="shared" si="23"/>
        <v>Invalid</v>
      </c>
      <c r="U142" s="2">
        <f t="shared" si="24"/>
        <v>2</v>
      </c>
      <c r="V142" s="2" t="str">
        <f t="shared" si="25"/>
        <v/>
      </c>
      <c r="W142" s="2" t="s">
        <v>1289</v>
      </c>
      <c r="X142" s="2" t="str">
        <f t="shared" si="26"/>
        <v>Unique</v>
      </c>
    </row>
    <row r="143" spans="1:24" x14ac:dyDescent="0.35">
      <c r="A143" s="2" t="s">
        <v>1297</v>
      </c>
      <c r="B143" s="2" t="s">
        <v>1298</v>
      </c>
      <c r="C143" s="2" t="s">
        <v>1299</v>
      </c>
      <c r="D143" s="2"/>
      <c r="E143" s="2" t="s">
        <v>1300</v>
      </c>
      <c r="F143" s="2" t="s">
        <v>1301</v>
      </c>
      <c r="G143" s="15" t="s">
        <v>1302</v>
      </c>
      <c r="H143" s="2" t="s">
        <v>1303</v>
      </c>
      <c r="I143" s="2" t="s">
        <v>130</v>
      </c>
      <c r="J143" s="2" t="s">
        <v>184</v>
      </c>
      <c r="K143" s="2" t="s">
        <v>121</v>
      </c>
      <c r="L143" s="2" t="s">
        <v>1304</v>
      </c>
      <c r="M143" s="2" t="str">
        <f>IF(TRIM(C143)="","Missing",IF(AND(LEN(TRIM(C143))=10,SUMPRODUCT(--(CODE(MID(TRIM(C143),{1,2,3,4,5,10},1))&gt;=65),--(CODE(MID(TRIM(C143),{1,2,3,4,5,10},1))&lt;=90))=6,ISNUMBER(--MID(TRIM(C143),6,4))),"Valid","Invalid"))</f>
        <v>Valid</v>
      </c>
      <c r="N143" s="2" t="str">
        <f t="shared" si="18"/>
        <v>Missing</v>
      </c>
      <c r="O143" s="2" t="str">
        <f t="shared" si="19"/>
        <v>Valid</v>
      </c>
      <c r="P143" s="2" t="str">
        <f t="shared" si="20"/>
        <v>Valid</v>
      </c>
      <c r="Q143" s="2" t="str">
        <f t="shared" si="21"/>
        <v>Valid</v>
      </c>
      <c r="R143" s="2" t="str">
        <f>IF(TRIM(H143)="","Missing",IF(AND(LEN(TRIM(H143))=11,SUMPRODUCT(--(CODE(MID(TRIM(H143),{1,2,3,4},1))&gt;=65),--(CODE(MID(TRIM(H143),{1,2,3,4},1))&lt;=90))=4,MID(TRIM(H143),5,1)="0"),"Valid","Invalid"))</f>
        <v>Valid</v>
      </c>
      <c r="S143" s="2" t="str">
        <f t="shared" si="22"/>
        <v>Valid</v>
      </c>
      <c r="T143" s="2" t="str">
        <f t="shared" si="23"/>
        <v>Invalid</v>
      </c>
      <c r="U143" s="2">
        <f t="shared" si="24"/>
        <v>2</v>
      </c>
      <c r="V143" s="2" t="str">
        <f t="shared" si="25"/>
        <v>9959463688</v>
      </c>
      <c r="W143" s="2" t="s">
        <v>1297</v>
      </c>
      <c r="X143" s="2" t="str">
        <f t="shared" si="26"/>
        <v>Unique</v>
      </c>
    </row>
    <row r="144" spans="1:24" x14ac:dyDescent="0.35">
      <c r="A144" s="2" t="s">
        <v>1305</v>
      </c>
      <c r="B144" s="2" t="s">
        <v>1306</v>
      </c>
      <c r="C144" s="2" t="s">
        <v>1307</v>
      </c>
      <c r="D144" s="2" t="s">
        <v>1308</v>
      </c>
      <c r="E144" s="2" t="s">
        <v>1309</v>
      </c>
      <c r="F144" s="2" t="s">
        <v>1310</v>
      </c>
      <c r="G144" s="15" t="s">
        <v>1311</v>
      </c>
      <c r="H144" s="2" t="s">
        <v>1312</v>
      </c>
      <c r="I144" s="2" t="s">
        <v>130</v>
      </c>
      <c r="J144" s="2" t="s">
        <v>141</v>
      </c>
      <c r="K144" s="2" t="s">
        <v>121</v>
      </c>
      <c r="L144" s="2" t="s">
        <v>1313</v>
      </c>
      <c r="M144" s="2" t="str">
        <f>IF(TRIM(C144)="","Missing",IF(AND(LEN(TRIM(C144))=10,SUMPRODUCT(--(CODE(MID(TRIM(C144),{1,2,3,4,5,10},1))&gt;=65),--(CODE(MID(TRIM(C144),{1,2,3,4,5,10},1))&lt;=90))=6,ISNUMBER(--MID(TRIM(C144),6,4))),"Valid","Invalid"))</f>
        <v>Valid</v>
      </c>
      <c r="N144" s="2" t="str">
        <f t="shared" si="18"/>
        <v>Valid</v>
      </c>
      <c r="O144" s="2" t="str">
        <f t="shared" si="19"/>
        <v>Valid</v>
      </c>
      <c r="P144" s="2" t="str">
        <f t="shared" si="20"/>
        <v>Valid</v>
      </c>
      <c r="Q144" s="2" t="str">
        <f t="shared" si="21"/>
        <v>Valid</v>
      </c>
      <c r="R144" s="2" t="str">
        <f>IF(TRIM(H144)="","Missing",IF(AND(LEN(TRIM(H144))=11,SUMPRODUCT(--(CODE(MID(TRIM(H144),{1,2,3,4},1))&gt;=65),--(CODE(MID(TRIM(H144),{1,2,3,4},1))&lt;=90))=4,MID(TRIM(H144),5,1)="0"),"Valid","Invalid"))</f>
        <v>Valid</v>
      </c>
      <c r="S144" s="2" t="str">
        <f t="shared" si="22"/>
        <v>Valid</v>
      </c>
      <c r="T144" s="2" t="str">
        <f t="shared" si="23"/>
        <v>Valid</v>
      </c>
      <c r="U144" s="2">
        <f t="shared" si="24"/>
        <v>0</v>
      </c>
      <c r="V144" s="2" t="str">
        <f t="shared" si="25"/>
        <v>8913577594</v>
      </c>
      <c r="W144" s="2" t="s">
        <v>1305</v>
      </c>
      <c r="X144" s="2" t="str">
        <f t="shared" si="26"/>
        <v>Unique</v>
      </c>
    </row>
    <row r="145" spans="1:24" x14ac:dyDescent="0.35">
      <c r="A145" s="2" t="s">
        <v>1314</v>
      </c>
      <c r="B145" s="2" t="s">
        <v>1315</v>
      </c>
      <c r="C145" s="2" t="s">
        <v>1316</v>
      </c>
      <c r="D145" s="2" t="s">
        <v>1317</v>
      </c>
      <c r="E145" s="2" t="s">
        <v>1318</v>
      </c>
      <c r="F145" s="2" t="s">
        <v>1319</v>
      </c>
      <c r="G145" s="15" t="s">
        <v>1320</v>
      </c>
      <c r="H145" s="2" t="s">
        <v>1321</v>
      </c>
      <c r="I145" s="2" t="s">
        <v>152</v>
      </c>
      <c r="J145" s="2" t="s">
        <v>194</v>
      </c>
      <c r="K145" s="2" t="s">
        <v>121</v>
      </c>
      <c r="L145" s="2" t="s">
        <v>1322</v>
      </c>
      <c r="M145" s="2" t="str">
        <f>IF(TRIM(C145)="","Missing",IF(AND(LEN(TRIM(C145))=10,SUMPRODUCT(--(CODE(MID(TRIM(C145),{1,2,3,4,5,10},1))&gt;=65),--(CODE(MID(TRIM(C145),{1,2,3,4,5,10},1))&lt;=90))=6,ISNUMBER(--MID(TRIM(C145),6,4))),"Valid","Invalid"))</f>
        <v>Valid</v>
      </c>
      <c r="N145" s="2" t="str">
        <f t="shared" si="18"/>
        <v>Invalid</v>
      </c>
      <c r="O145" s="2" t="str">
        <f t="shared" si="19"/>
        <v>Valid</v>
      </c>
      <c r="P145" s="2" t="str">
        <f t="shared" si="20"/>
        <v>Invalid</v>
      </c>
      <c r="Q145" s="2" t="str">
        <f t="shared" si="21"/>
        <v>Valid</v>
      </c>
      <c r="R145" s="2" t="str">
        <f>IF(TRIM(H145)="","Missing",IF(AND(LEN(TRIM(H145))=11,SUMPRODUCT(--(CODE(MID(TRIM(H145),{1,2,3,4},1))&gt;=65),--(CODE(MID(TRIM(H145),{1,2,3,4},1))&lt;=90))=4,MID(TRIM(H145),5,1)="0"),"Valid","Invalid"))</f>
        <v>Valid</v>
      </c>
      <c r="S145" s="2" t="str">
        <f t="shared" si="22"/>
        <v>Invalid</v>
      </c>
      <c r="T145" s="2" t="str">
        <f t="shared" si="23"/>
        <v>Invalid</v>
      </c>
      <c r="U145" s="2">
        <f t="shared" si="24"/>
        <v>4</v>
      </c>
      <c r="V145" s="2" t="str">
        <f t="shared" si="25"/>
        <v>965743748</v>
      </c>
      <c r="W145" s="2" t="s">
        <v>1314</v>
      </c>
      <c r="X145" s="2" t="str">
        <f t="shared" si="26"/>
        <v>Unique</v>
      </c>
    </row>
    <row r="146" spans="1:24" x14ac:dyDescent="0.35">
      <c r="A146" s="2" t="s">
        <v>1323</v>
      </c>
      <c r="B146" s="2" t="s">
        <v>1324</v>
      </c>
      <c r="C146" s="2" t="s">
        <v>1325</v>
      </c>
      <c r="D146" s="2" t="s">
        <v>1326</v>
      </c>
      <c r="E146" s="2" t="s">
        <v>1327</v>
      </c>
      <c r="F146" s="2" t="s">
        <v>1328</v>
      </c>
      <c r="G146" s="15" t="s">
        <v>1329</v>
      </c>
      <c r="H146" s="2" t="s">
        <v>1330</v>
      </c>
      <c r="I146" s="2" t="s">
        <v>130</v>
      </c>
      <c r="J146" s="2" t="s">
        <v>164</v>
      </c>
      <c r="K146" s="2" t="s">
        <v>121</v>
      </c>
      <c r="L146" s="2" t="s">
        <v>1331</v>
      </c>
      <c r="M146" s="2" t="str">
        <f>IF(TRIM(C146)="","Missing",IF(AND(LEN(TRIM(C146))=10,SUMPRODUCT(--(CODE(MID(TRIM(C146),{1,2,3,4,5,10},1))&gt;=65),--(CODE(MID(TRIM(C146),{1,2,3,4,5,10},1))&lt;=90))=6,ISNUMBER(--MID(TRIM(C146),6,4))),"Valid","Invalid"))</f>
        <v>Valid</v>
      </c>
      <c r="N146" s="2" t="str">
        <f t="shared" si="18"/>
        <v>Valid</v>
      </c>
      <c r="O146" s="2" t="str">
        <f t="shared" si="19"/>
        <v>Valid</v>
      </c>
      <c r="P146" s="2" t="str">
        <f t="shared" si="20"/>
        <v>Valid</v>
      </c>
      <c r="Q146" s="2" t="str">
        <f t="shared" si="21"/>
        <v>Valid</v>
      </c>
      <c r="R146" s="2" t="str">
        <f>IF(TRIM(H146)="","Missing",IF(AND(LEN(TRIM(H146))=11,SUMPRODUCT(--(CODE(MID(TRIM(H146),{1,2,3,4},1))&gt;=65),--(CODE(MID(TRIM(H146),{1,2,3,4},1))&lt;=90))=4,MID(TRIM(H146),5,1)="0"),"Valid","Invalid"))</f>
        <v>Valid</v>
      </c>
      <c r="S146" s="2" t="str">
        <f t="shared" si="22"/>
        <v>Valid</v>
      </c>
      <c r="T146" s="2" t="str">
        <f t="shared" si="23"/>
        <v>Valid</v>
      </c>
      <c r="U146" s="2">
        <f t="shared" si="24"/>
        <v>0</v>
      </c>
      <c r="V146" s="2" t="str">
        <f t="shared" si="25"/>
        <v>917683158935</v>
      </c>
      <c r="W146" s="2" t="s">
        <v>1323</v>
      </c>
      <c r="X146" s="2" t="str">
        <f t="shared" si="26"/>
        <v>Unique</v>
      </c>
    </row>
    <row r="147" spans="1:24" x14ac:dyDescent="0.35">
      <c r="A147" s="2" t="s">
        <v>1332</v>
      </c>
      <c r="B147" s="2" t="s">
        <v>1333</v>
      </c>
      <c r="C147" s="2" t="s">
        <v>1334</v>
      </c>
      <c r="D147" s="2" t="s">
        <v>1335</v>
      </c>
      <c r="E147" s="2" t="s">
        <v>1336</v>
      </c>
      <c r="F147" s="2" t="s">
        <v>1337</v>
      </c>
      <c r="G147" s="15" t="s">
        <v>1338</v>
      </c>
      <c r="H147" s="2" t="s">
        <v>1339</v>
      </c>
      <c r="I147" s="2" t="s">
        <v>152</v>
      </c>
      <c r="J147" s="2" t="s">
        <v>120</v>
      </c>
      <c r="K147" s="2" t="s">
        <v>142</v>
      </c>
      <c r="L147" s="2" t="s">
        <v>1340</v>
      </c>
      <c r="M147" s="2" t="str">
        <f>IF(TRIM(C147)="","Missing",IF(AND(LEN(TRIM(C147))=10,SUMPRODUCT(--(CODE(MID(TRIM(C147),{1,2,3,4,5,10},1))&gt;=65),--(CODE(MID(TRIM(C147),{1,2,3,4,5,10},1))&lt;=90))=6,ISNUMBER(--MID(TRIM(C147),6,4))),"Valid","Invalid"))</f>
        <v>Valid</v>
      </c>
      <c r="N147" s="2" t="str">
        <f t="shared" si="18"/>
        <v>Valid</v>
      </c>
      <c r="O147" s="2" t="str">
        <f t="shared" si="19"/>
        <v>Valid</v>
      </c>
      <c r="P147" s="2" t="str">
        <f t="shared" si="20"/>
        <v>Valid</v>
      </c>
      <c r="Q147" s="2" t="str">
        <f t="shared" si="21"/>
        <v>Valid</v>
      </c>
      <c r="R147" s="2" t="str">
        <f>IF(TRIM(H147)="","Missing",IF(AND(LEN(TRIM(H147))=11,SUMPRODUCT(--(CODE(MID(TRIM(H147),{1,2,3,4},1))&gt;=65),--(CODE(MID(TRIM(H147),{1,2,3,4},1))&lt;=90))=4,MID(TRIM(H147),5,1)="0"),"Valid","Invalid"))</f>
        <v>Valid</v>
      </c>
      <c r="S147" s="2" t="str">
        <f t="shared" si="22"/>
        <v>Invalid</v>
      </c>
      <c r="T147" s="2" t="str">
        <f t="shared" si="23"/>
        <v>Invalid</v>
      </c>
      <c r="U147" s="2">
        <f t="shared" si="24"/>
        <v>2</v>
      </c>
      <c r="V147" s="2" t="str">
        <f t="shared" si="25"/>
        <v>8896908357</v>
      </c>
      <c r="W147" s="2" t="s">
        <v>1332</v>
      </c>
      <c r="X147" s="2" t="str">
        <f t="shared" si="26"/>
        <v>Duplicate</v>
      </c>
    </row>
    <row r="148" spans="1:24" x14ac:dyDescent="0.35">
      <c r="A148" s="2" t="s">
        <v>1341</v>
      </c>
      <c r="B148" s="2" t="s">
        <v>1342</v>
      </c>
      <c r="C148" s="2"/>
      <c r="D148" s="2"/>
      <c r="E148" s="2" t="s">
        <v>1343</v>
      </c>
      <c r="F148" s="2" t="s">
        <v>1344</v>
      </c>
      <c r="G148" s="15" t="s">
        <v>1345</v>
      </c>
      <c r="H148" s="2" t="s">
        <v>1346</v>
      </c>
      <c r="I148" s="2" t="s">
        <v>130</v>
      </c>
      <c r="J148" s="2" t="s">
        <v>131</v>
      </c>
      <c r="K148" s="2" t="s">
        <v>121</v>
      </c>
      <c r="L148" s="2" t="s">
        <v>581</v>
      </c>
      <c r="M148" s="2" t="str">
        <f>IF(TRIM(C148)="","Missing",IF(AND(LEN(TRIM(C148))=10,SUMPRODUCT(--(CODE(MID(TRIM(C148),{1,2,3,4,5,10},1))&gt;=65),--(CODE(MID(TRIM(C148),{1,2,3,4,5,10},1))&lt;=90))=6,ISNUMBER(--MID(TRIM(C148),6,4))),"Valid","Invalid"))</f>
        <v>Missing</v>
      </c>
      <c r="N148" s="2" t="str">
        <f t="shared" si="18"/>
        <v>Missing</v>
      </c>
      <c r="O148" s="2" t="str">
        <f t="shared" si="19"/>
        <v>Valid</v>
      </c>
      <c r="P148" s="2" t="str">
        <f t="shared" si="20"/>
        <v>Valid</v>
      </c>
      <c r="Q148" s="2" t="str">
        <f t="shared" si="21"/>
        <v>Valid</v>
      </c>
      <c r="R148" s="2" t="str">
        <f>IF(TRIM(H148)="","Missing",IF(AND(LEN(TRIM(H148))=11,SUMPRODUCT(--(CODE(MID(TRIM(H148),{1,2,3,4},1))&gt;=65),--(CODE(MID(TRIM(H148),{1,2,3,4},1))&lt;=90))=4,MID(TRIM(H148),5,1)="0"),"Valid","Invalid"))</f>
        <v>Valid</v>
      </c>
      <c r="S148" s="2" t="str">
        <f t="shared" si="22"/>
        <v>Valid</v>
      </c>
      <c r="T148" s="2" t="str">
        <f t="shared" si="23"/>
        <v>Invalid</v>
      </c>
      <c r="U148" s="2">
        <f t="shared" si="24"/>
        <v>3</v>
      </c>
      <c r="V148" s="2" t="str">
        <f t="shared" si="25"/>
        <v>7838578652</v>
      </c>
      <c r="W148" s="2" t="s">
        <v>1341</v>
      </c>
      <c r="X148" s="2" t="str">
        <f t="shared" si="26"/>
        <v>Unique</v>
      </c>
    </row>
    <row r="149" spans="1:24" x14ac:dyDescent="0.35">
      <c r="A149" s="2" t="s">
        <v>1347</v>
      </c>
      <c r="B149" s="2" t="s">
        <v>1348</v>
      </c>
      <c r="C149" s="2" t="s">
        <v>1349</v>
      </c>
      <c r="D149" s="2" t="s">
        <v>1350</v>
      </c>
      <c r="E149" s="2" t="s">
        <v>1351</v>
      </c>
      <c r="F149" s="2" t="s">
        <v>1352</v>
      </c>
      <c r="G149" s="15" t="s">
        <v>1353</v>
      </c>
      <c r="H149" s="2" t="s">
        <v>1354</v>
      </c>
      <c r="I149" s="2" t="s">
        <v>130</v>
      </c>
      <c r="J149" s="2" t="s">
        <v>174</v>
      </c>
      <c r="K149" s="2" t="s">
        <v>121</v>
      </c>
      <c r="L149" s="2" t="s">
        <v>1190</v>
      </c>
      <c r="M149" s="2" t="str">
        <f>IF(TRIM(C149)="","Missing",IF(AND(LEN(TRIM(C149))=10,SUMPRODUCT(--(CODE(MID(TRIM(C149),{1,2,3,4,5,10},1))&gt;=65),--(CODE(MID(TRIM(C149),{1,2,3,4,5,10},1))&lt;=90))=6,ISNUMBER(--MID(TRIM(C149),6,4))),"Valid","Invalid"))</f>
        <v>Valid</v>
      </c>
      <c r="N149" s="2" t="str">
        <f t="shared" si="18"/>
        <v>Valid</v>
      </c>
      <c r="O149" s="2" t="str">
        <f t="shared" si="19"/>
        <v>Valid</v>
      </c>
      <c r="P149" s="2" t="str">
        <f t="shared" si="20"/>
        <v>Valid</v>
      </c>
      <c r="Q149" s="2" t="str">
        <f t="shared" si="21"/>
        <v>Valid</v>
      </c>
      <c r="R149" s="2" t="str">
        <f>IF(TRIM(H149)="","Missing",IF(AND(LEN(TRIM(H149))=11,SUMPRODUCT(--(CODE(MID(TRIM(H149),{1,2,3,4},1))&gt;=65),--(CODE(MID(TRIM(H149),{1,2,3,4},1))&lt;=90))=4,MID(TRIM(H149),5,1)="0"),"Valid","Invalid"))</f>
        <v>Valid</v>
      </c>
      <c r="S149" s="2" t="str">
        <f t="shared" si="22"/>
        <v>Valid</v>
      </c>
      <c r="T149" s="2" t="str">
        <f t="shared" si="23"/>
        <v>Valid</v>
      </c>
      <c r="U149" s="2">
        <f t="shared" si="24"/>
        <v>0</v>
      </c>
      <c r="V149" s="2" t="str">
        <f t="shared" si="25"/>
        <v>917756362050</v>
      </c>
      <c r="W149" s="2" t="s">
        <v>1347</v>
      </c>
      <c r="X149" s="2" t="str">
        <f t="shared" si="26"/>
        <v>Unique</v>
      </c>
    </row>
    <row r="150" spans="1:24" x14ac:dyDescent="0.35">
      <c r="A150" s="2" t="s">
        <v>1355</v>
      </c>
      <c r="B150" s="2" t="s">
        <v>1356</v>
      </c>
      <c r="C150" s="2" t="s">
        <v>1357</v>
      </c>
      <c r="D150" s="2" t="s">
        <v>1358</v>
      </c>
      <c r="E150" s="2" t="s">
        <v>1359</v>
      </c>
      <c r="F150" s="2" t="s">
        <v>1360</v>
      </c>
      <c r="G150" s="15" t="s">
        <v>1361</v>
      </c>
      <c r="H150" s="2" t="s">
        <v>1362</v>
      </c>
      <c r="I150" s="2" t="s">
        <v>152</v>
      </c>
      <c r="J150" s="2" t="s">
        <v>253</v>
      </c>
      <c r="K150" s="2" t="s">
        <v>121</v>
      </c>
      <c r="L150" s="2" t="s">
        <v>1363</v>
      </c>
      <c r="M150" s="2" t="str">
        <f>IF(TRIM(C150)="","Missing",IF(AND(LEN(TRIM(C150))=10,SUMPRODUCT(--(CODE(MID(TRIM(C150),{1,2,3,4,5,10},1))&gt;=65),--(CODE(MID(TRIM(C150),{1,2,3,4,5,10},1))&lt;=90))=6,ISNUMBER(--MID(TRIM(C150),6,4))),"Valid","Invalid"))</f>
        <v>Valid</v>
      </c>
      <c r="N150" s="2" t="str">
        <f t="shared" si="18"/>
        <v>Invalid</v>
      </c>
      <c r="O150" s="2" t="str">
        <f t="shared" si="19"/>
        <v>Valid</v>
      </c>
      <c r="P150" s="2" t="str">
        <f t="shared" si="20"/>
        <v>Valid</v>
      </c>
      <c r="Q150" s="2" t="str">
        <f t="shared" si="21"/>
        <v>Valid</v>
      </c>
      <c r="R150" s="2" t="str">
        <f>IF(TRIM(H150)="","Missing",IF(AND(LEN(TRIM(H150))=11,SUMPRODUCT(--(CODE(MID(TRIM(H150),{1,2,3,4},1))&gt;=65),--(CODE(MID(TRIM(H150),{1,2,3,4},1))&lt;=90))=4,MID(TRIM(H150),5,1)="0"),"Valid","Invalid"))</f>
        <v>Valid</v>
      </c>
      <c r="S150" s="2" t="str">
        <f t="shared" si="22"/>
        <v>Invalid</v>
      </c>
      <c r="T150" s="2" t="str">
        <f t="shared" si="23"/>
        <v>Invalid</v>
      </c>
      <c r="U150" s="2">
        <f t="shared" si="24"/>
        <v>3</v>
      </c>
      <c r="V150" s="2" t="str">
        <f t="shared" si="25"/>
        <v>9567922877</v>
      </c>
      <c r="W150" s="2" t="s">
        <v>1355</v>
      </c>
      <c r="X150" s="2" t="str">
        <f t="shared" si="26"/>
        <v>Unique</v>
      </c>
    </row>
    <row r="151" spans="1:24" x14ac:dyDescent="0.35">
      <c r="A151" s="2" t="s">
        <v>1364</v>
      </c>
      <c r="B151" s="2" t="s">
        <v>1365</v>
      </c>
      <c r="C151" s="2"/>
      <c r="D151" s="2" t="s">
        <v>1366</v>
      </c>
      <c r="E151" s="2"/>
      <c r="F151" s="2"/>
      <c r="G151" s="15" t="s">
        <v>1367</v>
      </c>
      <c r="H151" s="2" t="s">
        <v>1368</v>
      </c>
      <c r="I151" s="2" t="s">
        <v>130</v>
      </c>
      <c r="J151" s="2" t="s">
        <v>231</v>
      </c>
      <c r="K151" s="2" t="s">
        <v>121</v>
      </c>
      <c r="L151" s="2" t="s">
        <v>1304</v>
      </c>
      <c r="M151" s="2" t="str">
        <f>IF(TRIM(C151)="","Missing",IF(AND(LEN(TRIM(C151))=10,SUMPRODUCT(--(CODE(MID(TRIM(C151),{1,2,3,4,5,10},1))&gt;=65),--(CODE(MID(TRIM(C151),{1,2,3,4,5,10},1))&lt;=90))=6,ISNUMBER(--MID(TRIM(C151),6,4))),"Valid","Invalid"))</f>
        <v>Missing</v>
      </c>
      <c r="N151" s="2" t="str">
        <f t="shared" si="18"/>
        <v>PAN Mismatch</v>
      </c>
      <c r="O151" s="2" t="str">
        <f t="shared" si="19"/>
        <v>Missing</v>
      </c>
      <c r="P151" s="2" t="str">
        <f t="shared" si="20"/>
        <v>Missing</v>
      </c>
      <c r="Q151" s="2" t="str">
        <f t="shared" si="21"/>
        <v>Valid</v>
      </c>
      <c r="R151" s="2" t="str">
        <f>IF(TRIM(H151)="","Missing",IF(AND(LEN(TRIM(H151))=11,SUMPRODUCT(--(CODE(MID(TRIM(H151),{1,2,3,4},1))&gt;=65),--(CODE(MID(TRIM(H151),{1,2,3,4},1))&lt;=90))=4,MID(TRIM(H151),5,1)="0"),"Valid","Invalid"))</f>
        <v>Valid</v>
      </c>
      <c r="S151" s="2" t="str">
        <f t="shared" si="22"/>
        <v>Valid</v>
      </c>
      <c r="T151" s="2" t="str">
        <f t="shared" si="23"/>
        <v>Invalid</v>
      </c>
      <c r="U151" s="2">
        <f t="shared" si="24"/>
        <v>5</v>
      </c>
      <c r="V151" s="2" t="str">
        <f t="shared" si="25"/>
        <v/>
      </c>
      <c r="W151" s="2" t="s">
        <v>1364</v>
      </c>
      <c r="X151" s="2" t="str">
        <f t="shared" si="26"/>
        <v>Unique</v>
      </c>
    </row>
    <row r="152" spans="1:24" x14ac:dyDescent="0.35">
      <c r="A152" s="2" t="s">
        <v>1369</v>
      </c>
      <c r="B152" s="2" t="s">
        <v>1370</v>
      </c>
      <c r="C152" s="2" t="s">
        <v>1371</v>
      </c>
      <c r="D152" s="2" t="s">
        <v>1372</v>
      </c>
      <c r="E152" s="2" t="s">
        <v>1373</v>
      </c>
      <c r="F152" s="2" t="s">
        <v>1374</v>
      </c>
      <c r="G152" s="15" t="s">
        <v>1375</v>
      </c>
      <c r="H152" s="2" t="s">
        <v>1376</v>
      </c>
      <c r="I152" s="2" t="s">
        <v>130</v>
      </c>
      <c r="J152" s="2" t="s">
        <v>359</v>
      </c>
      <c r="K152" s="2" t="s">
        <v>121</v>
      </c>
      <c r="L152" s="2" t="s">
        <v>1377</v>
      </c>
      <c r="M152" s="2" t="str">
        <f>IF(TRIM(C152)="","Missing",IF(AND(LEN(TRIM(C152))=10,SUMPRODUCT(--(CODE(MID(TRIM(C152),{1,2,3,4,5,10},1))&gt;=65),--(CODE(MID(TRIM(C152),{1,2,3,4,5,10},1))&lt;=90))=6,ISNUMBER(--MID(TRIM(C152),6,4))),"Valid","Invalid"))</f>
        <v>Valid</v>
      </c>
      <c r="N152" s="2" t="str">
        <f t="shared" si="18"/>
        <v>Valid</v>
      </c>
      <c r="O152" s="2" t="str">
        <f t="shared" si="19"/>
        <v>Valid</v>
      </c>
      <c r="P152" s="2" t="str">
        <f t="shared" si="20"/>
        <v>Valid</v>
      </c>
      <c r="Q152" s="2" t="str">
        <f t="shared" si="21"/>
        <v>Valid</v>
      </c>
      <c r="R152" s="2" t="str">
        <f>IF(TRIM(H152)="","Missing",IF(AND(LEN(TRIM(H152))=11,SUMPRODUCT(--(CODE(MID(TRIM(H152),{1,2,3,4},1))&gt;=65),--(CODE(MID(TRIM(H152),{1,2,3,4},1))&lt;=90))=4,MID(TRIM(H152),5,1)="0"),"Valid","Invalid"))</f>
        <v>Valid</v>
      </c>
      <c r="S152" s="2" t="str">
        <f t="shared" si="22"/>
        <v>Valid</v>
      </c>
      <c r="T152" s="2" t="str">
        <f t="shared" si="23"/>
        <v>Valid</v>
      </c>
      <c r="U152" s="2">
        <f t="shared" si="24"/>
        <v>0</v>
      </c>
      <c r="V152" s="2" t="str">
        <f t="shared" si="25"/>
        <v>918622086353</v>
      </c>
      <c r="W152" s="2" t="s">
        <v>1369</v>
      </c>
      <c r="X152" s="2" t="str">
        <f t="shared" si="26"/>
        <v>Unique</v>
      </c>
    </row>
    <row r="153" spans="1:24" x14ac:dyDescent="0.35">
      <c r="A153" s="2" t="s">
        <v>1378</v>
      </c>
      <c r="B153" s="2" t="s">
        <v>1379</v>
      </c>
      <c r="C153" s="2" t="s">
        <v>1380</v>
      </c>
      <c r="D153" s="2" t="s">
        <v>1381</v>
      </c>
      <c r="E153" s="2" t="s">
        <v>1382</v>
      </c>
      <c r="F153" s="2" t="s">
        <v>1383</v>
      </c>
      <c r="G153" s="15" t="s">
        <v>1384</v>
      </c>
      <c r="H153" s="2"/>
      <c r="I153" s="2" t="s">
        <v>119</v>
      </c>
      <c r="J153" s="2" t="s">
        <v>204</v>
      </c>
      <c r="K153" s="2" t="s">
        <v>121</v>
      </c>
      <c r="L153" s="2" t="s">
        <v>1385</v>
      </c>
      <c r="M153" s="2" t="str">
        <f>IF(TRIM(C153)="","Missing",IF(AND(LEN(TRIM(C153))=10,SUMPRODUCT(--(CODE(MID(TRIM(C153),{1,2,3,4,5,10},1))&gt;=65),--(CODE(MID(TRIM(C153),{1,2,3,4,5,10},1))&lt;=90))=6,ISNUMBER(--MID(TRIM(C153),6,4))),"Valid","Invalid"))</f>
        <v>Valid</v>
      </c>
      <c r="N153" s="2" t="str">
        <f t="shared" si="18"/>
        <v>Valid</v>
      </c>
      <c r="O153" s="2" t="str">
        <f t="shared" si="19"/>
        <v>Valid</v>
      </c>
      <c r="P153" s="2" t="str">
        <f t="shared" si="20"/>
        <v>Valid</v>
      </c>
      <c r="Q153" s="2" t="str">
        <f t="shared" si="21"/>
        <v>Valid</v>
      </c>
      <c r="R153" s="2" t="str">
        <f>IF(TRIM(H153)="","Missing",IF(AND(LEN(TRIM(H153))=11,SUMPRODUCT(--(CODE(MID(TRIM(H153),{1,2,3,4},1))&gt;=65),--(CODE(MID(TRIM(H153),{1,2,3,4},1))&lt;=90))=4,MID(TRIM(H153),5,1)="0"),"Valid","Invalid"))</f>
        <v>Missing</v>
      </c>
      <c r="S153" s="2" t="str">
        <f t="shared" si="22"/>
        <v>Invalid</v>
      </c>
      <c r="T153" s="2" t="str">
        <f t="shared" si="23"/>
        <v>Invalid</v>
      </c>
      <c r="U153" s="2">
        <f t="shared" si="24"/>
        <v>3</v>
      </c>
      <c r="V153" s="2" t="str">
        <f t="shared" si="25"/>
        <v>917667525459</v>
      </c>
      <c r="W153" s="2" t="s">
        <v>1378</v>
      </c>
      <c r="X153" s="2" t="str">
        <f t="shared" si="26"/>
        <v>Unique</v>
      </c>
    </row>
    <row r="154" spans="1:24" x14ac:dyDescent="0.35">
      <c r="A154" s="2" t="s">
        <v>1386</v>
      </c>
      <c r="B154" s="2" t="s">
        <v>1387</v>
      </c>
      <c r="C154" s="2" t="s">
        <v>1388</v>
      </c>
      <c r="D154" s="2" t="s">
        <v>1389</v>
      </c>
      <c r="E154" s="2" t="s">
        <v>1390</v>
      </c>
      <c r="F154" s="2" t="s">
        <v>1391</v>
      </c>
      <c r="G154" s="15" t="s">
        <v>1392</v>
      </c>
      <c r="H154" s="2" t="s">
        <v>1393</v>
      </c>
      <c r="I154" s="2" t="s">
        <v>152</v>
      </c>
      <c r="J154" s="2" t="s">
        <v>231</v>
      </c>
      <c r="K154" s="2" t="s">
        <v>121</v>
      </c>
      <c r="L154" s="2" t="s">
        <v>1394</v>
      </c>
      <c r="M154" s="2" t="str">
        <f>IF(TRIM(C154)="","Missing",IF(AND(LEN(TRIM(C154))=10,SUMPRODUCT(--(CODE(MID(TRIM(C154),{1,2,3,4,5,10},1))&gt;=65),--(CODE(MID(TRIM(C154),{1,2,3,4,5,10},1))&lt;=90))=6,ISNUMBER(--MID(TRIM(C154),6,4))),"Valid","Invalid"))</f>
        <v>Valid</v>
      </c>
      <c r="N154" s="2" t="str">
        <f t="shared" si="18"/>
        <v>Valid</v>
      </c>
      <c r="O154" s="2" t="str">
        <f t="shared" si="19"/>
        <v>Valid</v>
      </c>
      <c r="P154" s="2" t="str">
        <f t="shared" si="20"/>
        <v>Valid</v>
      </c>
      <c r="Q154" s="2" t="str">
        <f t="shared" si="21"/>
        <v>Valid</v>
      </c>
      <c r="R154" s="2" t="str">
        <f>IF(TRIM(H154)="","Missing",IF(AND(LEN(TRIM(H154))=11,SUMPRODUCT(--(CODE(MID(TRIM(H154),{1,2,3,4},1))&gt;=65),--(CODE(MID(TRIM(H154),{1,2,3,4},1))&lt;=90))=4,MID(TRIM(H154),5,1)="0"),"Valid","Invalid"))</f>
        <v>Valid</v>
      </c>
      <c r="S154" s="2" t="str">
        <f t="shared" si="22"/>
        <v>Invalid</v>
      </c>
      <c r="T154" s="2" t="str">
        <f t="shared" si="23"/>
        <v>Invalid</v>
      </c>
      <c r="U154" s="2">
        <f t="shared" si="24"/>
        <v>2</v>
      </c>
      <c r="V154" s="2" t="str">
        <f t="shared" si="25"/>
        <v>917590947985</v>
      </c>
      <c r="W154" s="2" t="s">
        <v>1386</v>
      </c>
      <c r="X154" s="2" t="str">
        <f t="shared" si="26"/>
        <v>Unique</v>
      </c>
    </row>
    <row r="155" spans="1:24" x14ac:dyDescent="0.35">
      <c r="A155" s="2" t="s">
        <v>1395</v>
      </c>
      <c r="B155" s="2" t="s">
        <v>1396</v>
      </c>
      <c r="C155" s="2" t="s">
        <v>1397</v>
      </c>
      <c r="D155" s="2" t="s">
        <v>1398</v>
      </c>
      <c r="E155" s="2" t="s">
        <v>1399</v>
      </c>
      <c r="F155" s="2" t="s">
        <v>1400</v>
      </c>
      <c r="G155" s="15" t="s">
        <v>1401</v>
      </c>
      <c r="H155" s="2" t="s">
        <v>1402</v>
      </c>
      <c r="I155" s="2" t="s">
        <v>119</v>
      </c>
      <c r="J155" s="2" t="s">
        <v>369</v>
      </c>
      <c r="K155" s="2" t="s">
        <v>121</v>
      </c>
      <c r="L155" s="2" t="s">
        <v>1403</v>
      </c>
      <c r="M155" s="2" t="str">
        <f>IF(TRIM(C155)="","Missing",IF(AND(LEN(TRIM(C155))=10,SUMPRODUCT(--(CODE(MID(TRIM(C155),{1,2,3,4,5,10},1))&gt;=65),--(CODE(MID(TRIM(C155),{1,2,3,4,5,10},1))&lt;=90))=6,ISNUMBER(--MID(TRIM(C155),6,4))),"Valid","Invalid"))</f>
        <v>Valid</v>
      </c>
      <c r="N155" s="2" t="str">
        <f t="shared" si="18"/>
        <v>Valid</v>
      </c>
      <c r="O155" s="2" t="str">
        <f t="shared" si="19"/>
        <v>Valid</v>
      </c>
      <c r="P155" s="2" t="str">
        <f t="shared" si="20"/>
        <v>Valid</v>
      </c>
      <c r="Q155" s="2" t="str">
        <f t="shared" si="21"/>
        <v>Valid</v>
      </c>
      <c r="R155" s="2" t="str">
        <f>IF(TRIM(H155)="","Missing",IF(AND(LEN(TRIM(H155))=11,SUMPRODUCT(--(CODE(MID(TRIM(H155),{1,2,3,4},1))&gt;=65),--(CODE(MID(TRIM(H155),{1,2,3,4},1))&lt;=90))=4,MID(TRIM(H155),5,1)="0"),"Valid","Invalid"))</f>
        <v>Valid</v>
      </c>
      <c r="S155" s="2" t="str">
        <f t="shared" si="22"/>
        <v>Invalid</v>
      </c>
      <c r="T155" s="2" t="str">
        <f t="shared" si="23"/>
        <v>Invalid</v>
      </c>
      <c r="U155" s="2">
        <f t="shared" si="24"/>
        <v>2</v>
      </c>
      <c r="V155" s="2" t="str">
        <f t="shared" si="25"/>
        <v>916170462265</v>
      </c>
      <c r="W155" s="2" t="s">
        <v>1395</v>
      </c>
      <c r="X155" s="2" t="str">
        <f t="shared" si="26"/>
        <v>Unique</v>
      </c>
    </row>
    <row r="156" spans="1:24" x14ac:dyDescent="0.35">
      <c r="A156" s="2" t="s">
        <v>1404</v>
      </c>
      <c r="B156" s="2" t="s">
        <v>1405</v>
      </c>
      <c r="C156" s="2" t="s">
        <v>1406</v>
      </c>
      <c r="D156" s="2" t="s">
        <v>1407</v>
      </c>
      <c r="E156" s="2" t="s">
        <v>1408</v>
      </c>
      <c r="F156" s="2" t="s">
        <v>1409</v>
      </c>
      <c r="G156" s="15" t="s">
        <v>1410</v>
      </c>
      <c r="H156" s="2" t="s">
        <v>1411</v>
      </c>
      <c r="I156" s="2" t="s">
        <v>130</v>
      </c>
      <c r="J156" s="2" t="s">
        <v>174</v>
      </c>
      <c r="K156" s="2" t="s">
        <v>121</v>
      </c>
      <c r="L156" s="2" t="s">
        <v>1412</v>
      </c>
      <c r="M156" s="2" t="str">
        <f>IF(TRIM(C156)="","Missing",IF(AND(LEN(TRIM(C156))=10,SUMPRODUCT(--(CODE(MID(TRIM(C156),{1,2,3,4,5,10},1))&gt;=65),--(CODE(MID(TRIM(C156),{1,2,3,4,5,10},1))&lt;=90))=6,ISNUMBER(--MID(TRIM(C156),6,4))),"Valid","Invalid"))</f>
        <v>Valid</v>
      </c>
      <c r="N156" s="2" t="str">
        <f t="shared" si="18"/>
        <v>Valid</v>
      </c>
      <c r="O156" s="2" t="str">
        <f t="shared" si="19"/>
        <v>Valid</v>
      </c>
      <c r="P156" s="2" t="str">
        <f t="shared" si="20"/>
        <v>Valid</v>
      </c>
      <c r="Q156" s="2" t="str">
        <f t="shared" si="21"/>
        <v>Valid</v>
      </c>
      <c r="R156" s="2" t="str">
        <f>IF(TRIM(H156)="","Missing",IF(AND(LEN(TRIM(H156))=11,SUMPRODUCT(--(CODE(MID(TRIM(H156),{1,2,3,4},1))&gt;=65),--(CODE(MID(TRIM(H156),{1,2,3,4},1))&lt;=90))=4,MID(TRIM(H156),5,1)="0"),"Valid","Invalid"))</f>
        <v>Valid</v>
      </c>
      <c r="S156" s="2" t="str">
        <f t="shared" si="22"/>
        <v>Valid</v>
      </c>
      <c r="T156" s="2" t="str">
        <f t="shared" si="23"/>
        <v>Valid</v>
      </c>
      <c r="U156" s="2">
        <f t="shared" si="24"/>
        <v>0</v>
      </c>
      <c r="V156" s="2" t="str">
        <f t="shared" si="25"/>
        <v>8817549651</v>
      </c>
      <c r="W156" s="2" t="s">
        <v>1404</v>
      </c>
      <c r="X156" s="2" t="str">
        <f t="shared" si="26"/>
        <v>Unique</v>
      </c>
    </row>
    <row r="157" spans="1:24" x14ac:dyDescent="0.35">
      <c r="A157" s="2" t="s">
        <v>1413</v>
      </c>
      <c r="B157" s="2" t="s">
        <v>1414</v>
      </c>
      <c r="C157" s="2" t="s">
        <v>1415</v>
      </c>
      <c r="D157" s="2" t="s">
        <v>1416</v>
      </c>
      <c r="E157" s="2" t="s">
        <v>1417</v>
      </c>
      <c r="F157" s="2" t="s">
        <v>1418</v>
      </c>
      <c r="G157" s="15" t="s">
        <v>1419</v>
      </c>
      <c r="H157" s="2" t="s">
        <v>1420</v>
      </c>
      <c r="I157" s="2" t="s">
        <v>119</v>
      </c>
      <c r="J157" s="2" t="s">
        <v>174</v>
      </c>
      <c r="K157" s="2" t="s">
        <v>121</v>
      </c>
      <c r="L157" s="2" t="s">
        <v>1421</v>
      </c>
      <c r="M157" s="2" t="str">
        <f>IF(TRIM(C157)="","Missing",IF(AND(LEN(TRIM(C157))=10,SUMPRODUCT(--(CODE(MID(TRIM(C157),{1,2,3,4,5,10},1))&gt;=65),--(CODE(MID(TRIM(C157),{1,2,3,4,5,10},1))&lt;=90))=6,ISNUMBER(--MID(TRIM(C157),6,4))),"Valid","Invalid"))</f>
        <v>Valid</v>
      </c>
      <c r="N157" s="2" t="str">
        <f t="shared" si="18"/>
        <v>Valid</v>
      </c>
      <c r="O157" s="2" t="str">
        <f t="shared" si="19"/>
        <v>Valid</v>
      </c>
      <c r="P157" s="2" t="str">
        <f t="shared" si="20"/>
        <v>Valid</v>
      </c>
      <c r="Q157" s="2" t="str">
        <f t="shared" si="21"/>
        <v>Valid</v>
      </c>
      <c r="R157" s="2" t="str">
        <f>IF(TRIM(H157)="","Missing",IF(AND(LEN(TRIM(H157))=11,SUMPRODUCT(--(CODE(MID(TRIM(H157),{1,2,3,4},1))&gt;=65),--(CODE(MID(TRIM(H157),{1,2,3,4},1))&lt;=90))=4,MID(TRIM(H157),5,1)="0"),"Valid","Invalid"))</f>
        <v>Valid</v>
      </c>
      <c r="S157" s="2" t="str">
        <f t="shared" si="22"/>
        <v>Invalid</v>
      </c>
      <c r="T157" s="2" t="str">
        <f t="shared" si="23"/>
        <v>Valid</v>
      </c>
      <c r="U157" s="2">
        <f t="shared" si="24"/>
        <v>1</v>
      </c>
      <c r="V157" s="2" t="str">
        <f t="shared" si="25"/>
        <v>916331739363</v>
      </c>
      <c r="W157" s="2" t="s">
        <v>1413</v>
      </c>
      <c r="X157" s="2" t="str">
        <f t="shared" si="26"/>
        <v>Unique</v>
      </c>
    </row>
    <row r="158" spans="1:24" x14ac:dyDescent="0.35">
      <c r="A158" s="2" t="s">
        <v>1422</v>
      </c>
      <c r="B158" s="2" t="s">
        <v>1423</v>
      </c>
      <c r="C158" s="2" t="s">
        <v>1424</v>
      </c>
      <c r="D158" s="2" t="s">
        <v>1425</v>
      </c>
      <c r="E158" s="2" t="s">
        <v>1426</v>
      </c>
      <c r="F158" s="2" t="s">
        <v>1427</v>
      </c>
      <c r="G158" s="15" t="s">
        <v>1428</v>
      </c>
      <c r="H158" s="2" t="s">
        <v>1429</v>
      </c>
      <c r="I158" s="2" t="s">
        <v>242</v>
      </c>
      <c r="J158" s="2" t="s">
        <v>231</v>
      </c>
      <c r="K158" s="2" t="s">
        <v>121</v>
      </c>
      <c r="L158" s="2" t="s">
        <v>1430</v>
      </c>
      <c r="M158" s="2" t="str">
        <f>IF(TRIM(C158)="","Missing",IF(AND(LEN(TRIM(C158))=10,SUMPRODUCT(--(CODE(MID(TRIM(C158),{1,2,3,4,5,10},1))&gt;=65),--(CODE(MID(TRIM(C158),{1,2,3,4,5,10},1))&lt;=90))=6,ISNUMBER(--MID(TRIM(C158),6,4))),"Valid","Invalid"))</f>
        <v>Valid</v>
      </c>
      <c r="N158" s="2" t="str">
        <f t="shared" si="18"/>
        <v>Invalid</v>
      </c>
      <c r="O158" s="2" t="str">
        <f t="shared" si="19"/>
        <v>Valid</v>
      </c>
      <c r="P158" s="2" t="str">
        <f t="shared" si="20"/>
        <v>Valid</v>
      </c>
      <c r="Q158" s="2" t="str">
        <f t="shared" si="21"/>
        <v>Valid</v>
      </c>
      <c r="R158" s="2" t="str">
        <f>IF(TRIM(H158)="","Missing",IF(AND(LEN(TRIM(H158))=11,SUMPRODUCT(--(CODE(MID(TRIM(H158),{1,2,3,4},1))&gt;=65),--(CODE(MID(TRIM(H158),{1,2,3,4},1))&lt;=90))=4,MID(TRIM(H158),5,1)="0"),"Valid","Invalid"))</f>
        <v>Valid</v>
      </c>
      <c r="S158" s="2" t="str">
        <f t="shared" si="22"/>
        <v>Invalid</v>
      </c>
      <c r="T158" s="2" t="str">
        <f t="shared" si="23"/>
        <v>Invalid</v>
      </c>
      <c r="U158" s="2">
        <f t="shared" si="24"/>
        <v>3</v>
      </c>
      <c r="V158" s="2" t="str">
        <f t="shared" si="25"/>
        <v>6994883755</v>
      </c>
      <c r="W158" s="2" t="s">
        <v>1422</v>
      </c>
      <c r="X158" s="2" t="str">
        <f t="shared" si="26"/>
        <v>Unique</v>
      </c>
    </row>
    <row r="159" spans="1:24" x14ac:dyDescent="0.35">
      <c r="A159" s="2" t="s">
        <v>1431</v>
      </c>
      <c r="B159" s="2" t="s">
        <v>1432</v>
      </c>
      <c r="C159" s="2" t="s">
        <v>1433</v>
      </c>
      <c r="D159" s="2" t="s">
        <v>1434</v>
      </c>
      <c r="E159" s="2" t="s">
        <v>1435</v>
      </c>
      <c r="F159" s="2" t="s">
        <v>1436</v>
      </c>
      <c r="G159" s="15" t="s">
        <v>1437</v>
      </c>
      <c r="H159" s="2" t="s">
        <v>1438</v>
      </c>
      <c r="I159" s="2" t="s">
        <v>130</v>
      </c>
      <c r="J159" s="2" t="s">
        <v>526</v>
      </c>
      <c r="K159" s="2" t="s">
        <v>121</v>
      </c>
      <c r="L159" s="2" t="s">
        <v>1439</v>
      </c>
      <c r="M159" s="2" t="str">
        <f>IF(TRIM(C159)="","Missing",IF(AND(LEN(TRIM(C159))=10,SUMPRODUCT(--(CODE(MID(TRIM(C159),{1,2,3,4,5,10},1))&gt;=65),--(CODE(MID(TRIM(C159),{1,2,3,4,5,10},1))&lt;=90))=6,ISNUMBER(--MID(TRIM(C159),6,4))),"Valid","Invalid"))</f>
        <v>Valid</v>
      </c>
      <c r="N159" s="2" t="str">
        <f t="shared" si="18"/>
        <v>Valid</v>
      </c>
      <c r="O159" s="2" t="str">
        <f t="shared" si="19"/>
        <v>Valid</v>
      </c>
      <c r="P159" s="2" t="str">
        <f t="shared" si="20"/>
        <v>Valid</v>
      </c>
      <c r="Q159" s="2" t="str">
        <f t="shared" si="21"/>
        <v>Valid</v>
      </c>
      <c r="R159" s="2" t="str">
        <f>IF(TRIM(H159)="","Missing",IF(AND(LEN(TRIM(H159))=11,SUMPRODUCT(--(CODE(MID(TRIM(H159),{1,2,3,4},1))&gt;=65),--(CODE(MID(TRIM(H159),{1,2,3,4},1))&lt;=90))=4,MID(TRIM(H159),5,1)="0"),"Valid","Invalid"))</f>
        <v>Valid</v>
      </c>
      <c r="S159" s="2" t="str">
        <f t="shared" si="22"/>
        <v>Valid</v>
      </c>
      <c r="T159" s="2" t="str">
        <f t="shared" si="23"/>
        <v>Invalid</v>
      </c>
      <c r="U159" s="2">
        <f t="shared" si="24"/>
        <v>1</v>
      </c>
      <c r="V159" s="2" t="str">
        <f t="shared" si="25"/>
        <v>8794728463</v>
      </c>
      <c r="W159" s="2" t="s">
        <v>1431</v>
      </c>
      <c r="X159" s="2" t="str">
        <f t="shared" si="26"/>
        <v>Unique</v>
      </c>
    </row>
    <row r="160" spans="1:24" x14ac:dyDescent="0.35">
      <c r="A160" s="2" t="s">
        <v>1440</v>
      </c>
      <c r="B160" s="2" t="s">
        <v>1441</v>
      </c>
      <c r="C160" s="2" t="s">
        <v>1442</v>
      </c>
      <c r="D160" s="2" t="s">
        <v>1443</v>
      </c>
      <c r="E160" s="2" t="s">
        <v>1444</v>
      </c>
      <c r="F160" s="2" t="s">
        <v>1445</v>
      </c>
      <c r="G160" s="15" t="s">
        <v>1446</v>
      </c>
      <c r="H160" s="2" t="s">
        <v>1447</v>
      </c>
      <c r="I160" s="2" t="s">
        <v>130</v>
      </c>
      <c r="J160" s="2" t="s">
        <v>253</v>
      </c>
      <c r="K160" s="2" t="s">
        <v>142</v>
      </c>
      <c r="L160" s="2" t="s">
        <v>1448</v>
      </c>
      <c r="M160" s="2" t="str">
        <f>IF(TRIM(C160)="","Missing",IF(AND(LEN(TRIM(C160))=10,SUMPRODUCT(--(CODE(MID(TRIM(C160),{1,2,3,4,5,10},1))&gt;=65),--(CODE(MID(TRIM(C160),{1,2,3,4,5,10},1))&lt;=90))=6,ISNUMBER(--MID(TRIM(C160),6,4))),"Valid","Invalid"))</f>
        <v>Valid</v>
      </c>
      <c r="N160" s="2" t="str">
        <f t="shared" si="18"/>
        <v>Valid</v>
      </c>
      <c r="O160" s="2" t="str">
        <f t="shared" si="19"/>
        <v>Valid</v>
      </c>
      <c r="P160" s="2" t="str">
        <f t="shared" si="20"/>
        <v>Valid</v>
      </c>
      <c r="Q160" s="2" t="str">
        <f t="shared" si="21"/>
        <v>Valid</v>
      </c>
      <c r="R160" s="2" t="str">
        <f>IF(TRIM(H160)="","Missing",IF(AND(LEN(TRIM(H160))=11,SUMPRODUCT(--(CODE(MID(TRIM(H160),{1,2,3,4},1))&gt;=65),--(CODE(MID(TRIM(H160),{1,2,3,4},1))&lt;=90))=4,MID(TRIM(H160),5,1)="0"),"Valid","Invalid"))</f>
        <v>Invalid</v>
      </c>
      <c r="S160" s="2" t="str">
        <f t="shared" si="22"/>
        <v>Valid</v>
      </c>
      <c r="T160" s="2" t="str">
        <f t="shared" si="23"/>
        <v>Invalid</v>
      </c>
      <c r="U160" s="2">
        <f t="shared" si="24"/>
        <v>2</v>
      </c>
      <c r="V160" s="2" t="str">
        <f t="shared" si="25"/>
        <v>6732030937</v>
      </c>
      <c r="W160" s="2" t="s">
        <v>1440</v>
      </c>
      <c r="X160" s="2" t="str">
        <f t="shared" si="26"/>
        <v>Unique</v>
      </c>
    </row>
    <row r="161" spans="1:24" x14ac:dyDescent="0.35">
      <c r="A161" s="2" t="s">
        <v>1449</v>
      </c>
      <c r="B161" s="2" t="s">
        <v>1450</v>
      </c>
      <c r="C161" s="2"/>
      <c r="D161" s="2"/>
      <c r="E161" s="2" t="s">
        <v>1031</v>
      </c>
      <c r="F161" s="2" t="s">
        <v>1451</v>
      </c>
      <c r="G161" s="15" t="s">
        <v>1033</v>
      </c>
      <c r="H161" s="2" t="s">
        <v>1034</v>
      </c>
      <c r="I161" s="2" t="s">
        <v>130</v>
      </c>
      <c r="J161" s="2" t="s">
        <v>526</v>
      </c>
      <c r="K161" s="2" t="s">
        <v>121</v>
      </c>
      <c r="L161" s="2" t="s">
        <v>1452</v>
      </c>
      <c r="M161" s="2" t="str">
        <f>IF(TRIM(C161)="","Missing",IF(AND(LEN(TRIM(C161))=10,SUMPRODUCT(--(CODE(MID(TRIM(C161),{1,2,3,4,5,10},1))&gt;=65),--(CODE(MID(TRIM(C161),{1,2,3,4,5,10},1))&lt;=90))=6,ISNUMBER(--MID(TRIM(C161),6,4))),"Valid","Invalid"))</f>
        <v>Missing</v>
      </c>
      <c r="N161" s="2" t="str">
        <f t="shared" si="18"/>
        <v>Missing</v>
      </c>
      <c r="O161" s="2" t="str">
        <f t="shared" si="19"/>
        <v>Valid</v>
      </c>
      <c r="P161" s="2" t="str">
        <f t="shared" si="20"/>
        <v>Valid</v>
      </c>
      <c r="Q161" s="2" t="str">
        <f t="shared" si="21"/>
        <v>Valid</v>
      </c>
      <c r="R161" s="2" t="str">
        <f>IF(TRIM(H161)="","Missing",IF(AND(LEN(TRIM(H161))=11,SUMPRODUCT(--(CODE(MID(TRIM(H161),{1,2,3,4},1))&gt;=65),--(CODE(MID(TRIM(H161),{1,2,3,4},1))&lt;=90))=4,MID(TRIM(H161),5,1)="0"),"Valid","Invalid"))</f>
        <v>Valid</v>
      </c>
      <c r="S161" s="2" t="str">
        <f t="shared" si="22"/>
        <v>Valid</v>
      </c>
      <c r="T161" s="2" t="str">
        <f t="shared" si="23"/>
        <v>Invalid</v>
      </c>
      <c r="U161" s="2">
        <f t="shared" si="24"/>
        <v>3</v>
      </c>
      <c r="V161" s="2" t="str">
        <f t="shared" si="25"/>
        <v>9278282742</v>
      </c>
      <c r="W161" s="2" t="s">
        <v>1027</v>
      </c>
      <c r="X161" s="2" t="str">
        <f t="shared" si="26"/>
        <v>Duplicate</v>
      </c>
    </row>
    <row r="162" spans="1:24" x14ac:dyDescent="0.35">
      <c r="A162" s="2" t="s">
        <v>1453</v>
      </c>
      <c r="B162" s="2" t="s">
        <v>1454</v>
      </c>
      <c r="C162" s="2" t="s">
        <v>1455</v>
      </c>
      <c r="D162" s="2" t="s">
        <v>1456</v>
      </c>
      <c r="E162" s="2" t="s">
        <v>1457</v>
      </c>
      <c r="F162" s="2" t="s">
        <v>1458</v>
      </c>
      <c r="G162" s="15" t="s">
        <v>1459</v>
      </c>
      <c r="H162" s="2" t="s">
        <v>1460</v>
      </c>
      <c r="I162" s="2" t="s">
        <v>130</v>
      </c>
      <c r="J162" s="2" t="s">
        <v>174</v>
      </c>
      <c r="K162" s="2" t="s">
        <v>121</v>
      </c>
      <c r="L162" s="2" t="s">
        <v>1461</v>
      </c>
      <c r="M162" s="2" t="str">
        <f>IF(TRIM(C162)="","Missing",IF(AND(LEN(TRIM(C162))=10,SUMPRODUCT(--(CODE(MID(TRIM(C162),{1,2,3,4,5,10},1))&gt;=65),--(CODE(MID(TRIM(C162),{1,2,3,4,5,10},1))&lt;=90))=6,ISNUMBER(--MID(TRIM(C162),6,4))),"Valid","Invalid"))</f>
        <v>Valid</v>
      </c>
      <c r="N162" s="2" t="str">
        <f t="shared" si="18"/>
        <v>Valid</v>
      </c>
      <c r="O162" s="2" t="str">
        <f t="shared" si="19"/>
        <v>Valid</v>
      </c>
      <c r="P162" s="2" t="str">
        <f t="shared" si="20"/>
        <v>Valid</v>
      </c>
      <c r="Q162" s="2" t="str">
        <f t="shared" si="21"/>
        <v>Valid</v>
      </c>
      <c r="R162" s="2" t="str">
        <f>IF(TRIM(H162)="","Missing",IF(AND(LEN(TRIM(H162))=11,SUMPRODUCT(--(CODE(MID(TRIM(H162),{1,2,3,4},1))&gt;=65),--(CODE(MID(TRIM(H162),{1,2,3,4},1))&lt;=90))=4,MID(TRIM(H162),5,1)="0"),"Valid","Invalid"))</f>
        <v>Valid</v>
      </c>
      <c r="S162" s="2" t="str">
        <f t="shared" si="22"/>
        <v>Valid</v>
      </c>
      <c r="T162" s="2" t="str">
        <f t="shared" si="23"/>
        <v>Valid</v>
      </c>
      <c r="U162" s="2">
        <f t="shared" si="24"/>
        <v>0</v>
      </c>
      <c r="V162" s="2" t="str">
        <f t="shared" si="25"/>
        <v>7148951343</v>
      </c>
      <c r="W162" s="2" t="s">
        <v>1453</v>
      </c>
      <c r="X162" s="2" t="str">
        <f t="shared" si="26"/>
        <v>Unique</v>
      </c>
    </row>
    <row r="163" spans="1:24" x14ac:dyDescent="0.35">
      <c r="A163" s="2" t="s">
        <v>1462</v>
      </c>
      <c r="B163" s="2" t="s">
        <v>1463</v>
      </c>
      <c r="C163" s="2" t="s">
        <v>1464</v>
      </c>
      <c r="D163" s="2" t="s">
        <v>1465</v>
      </c>
      <c r="E163" s="2"/>
      <c r="F163" s="2" t="s">
        <v>1466</v>
      </c>
      <c r="G163" s="15" t="s">
        <v>1467</v>
      </c>
      <c r="H163" s="2" t="s">
        <v>1468</v>
      </c>
      <c r="I163" s="2" t="s">
        <v>130</v>
      </c>
      <c r="J163" s="2" t="s">
        <v>141</v>
      </c>
      <c r="K163" s="2" t="s">
        <v>121</v>
      </c>
      <c r="L163" s="2" t="s">
        <v>1469</v>
      </c>
      <c r="M163" s="2" t="str">
        <f>IF(TRIM(C163)="","Missing",IF(AND(LEN(TRIM(C163))=10,SUMPRODUCT(--(CODE(MID(TRIM(C163),{1,2,3,4,5,10},1))&gt;=65),--(CODE(MID(TRIM(C163),{1,2,3,4,5,10},1))&lt;=90))=6,ISNUMBER(--MID(TRIM(C163),6,4))),"Valid","Invalid"))</f>
        <v>Valid</v>
      </c>
      <c r="N163" s="2" t="str">
        <f t="shared" si="18"/>
        <v>Valid</v>
      </c>
      <c r="O163" s="2" t="str">
        <f t="shared" si="19"/>
        <v>Missing</v>
      </c>
      <c r="P163" s="2" t="str">
        <f t="shared" si="20"/>
        <v>Valid</v>
      </c>
      <c r="Q163" s="2" t="str">
        <f t="shared" si="21"/>
        <v>Valid</v>
      </c>
      <c r="R163" s="2" t="str">
        <f>IF(TRIM(H163)="","Missing",IF(AND(LEN(TRIM(H163))=11,SUMPRODUCT(--(CODE(MID(TRIM(H163),{1,2,3,4},1))&gt;=65),--(CODE(MID(TRIM(H163),{1,2,3,4},1))&lt;=90))=4,MID(TRIM(H163),5,1)="0"),"Valid","Invalid"))</f>
        <v>Valid</v>
      </c>
      <c r="S163" s="2" t="str">
        <f t="shared" si="22"/>
        <v>Valid</v>
      </c>
      <c r="T163" s="2" t="str">
        <f t="shared" si="23"/>
        <v>Valid</v>
      </c>
      <c r="U163" s="2">
        <f t="shared" si="24"/>
        <v>1</v>
      </c>
      <c r="V163" s="2" t="str">
        <f t="shared" si="25"/>
        <v>917482629251</v>
      </c>
      <c r="W163" s="2" t="s">
        <v>1462</v>
      </c>
      <c r="X163" s="2" t="str">
        <f t="shared" si="26"/>
        <v>Unique</v>
      </c>
    </row>
    <row r="164" spans="1:24" x14ac:dyDescent="0.35">
      <c r="A164" s="2" t="s">
        <v>1470</v>
      </c>
      <c r="B164" s="2" t="s">
        <v>1471</v>
      </c>
      <c r="C164" s="2" t="s">
        <v>1472</v>
      </c>
      <c r="D164" s="2" t="s">
        <v>1473</v>
      </c>
      <c r="E164" s="2" t="s">
        <v>1474</v>
      </c>
      <c r="F164" s="2" t="s">
        <v>1475</v>
      </c>
      <c r="G164" s="15" t="s">
        <v>1476</v>
      </c>
      <c r="H164" s="2" t="s">
        <v>1477</v>
      </c>
      <c r="I164" s="2" t="s">
        <v>130</v>
      </c>
      <c r="J164" s="2" t="s">
        <v>526</v>
      </c>
      <c r="K164" s="2" t="s">
        <v>121</v>
      </c>
      <c r="L164" s="2" t="s">
        <v>1478</v>
      </c>
      <c r="M164" s="2" t="str">
        <f>IF(TRIM(C164)="","Missing",IF(AND(LEN(TRIM(C164))=10,SUMPRODUCT(--(CODE(MID(TRIM(C164),{1,2,3,4,5,10},1))&gt;=65),--(CODE(MID(TRIM(C164),{1,2,3,4,5,10},1))&lt;=90))=6,ISNUMBER(--MID(TRIM(C164),6,4))),"Valid","Invalid"))</f>
        <v>Valid</v>
      </c>
      <c r="N164" s="2" t="str">
        <f t="shared" si="18"/>
        <v>Valid</v>
      </c>
      <c r="O164" s="2" t="str">
        <f t="shared" si="19"/>
        <v>Valid</v>
      </c>
      <c r="P164" s="2" t="str">
        <f t="shared" si="20"/>
        <v>Valid</v>
      </c>
      <c r="Q164" s="2" t="str">
        <f t="shared" si="21"/>
        <v>Valid</v>
      </c>
      <c r="R164" s="2" t="str">
        <f>IF(TRIM(H164)="","Missing",IF(AND(LEN(TRIM(H164))=11,SUMPRODUCT(--(CODE(MID(TRIM(H164),{1,2,3,4},1))&gt;=65),--(CODE(MID(TRIM(H164),{1,2,3,4},1))&lt;=90))=4,MID(TRIM(H164),5,1)="0"),"Valid","Invalid"))</f>
        <v>Valid</v>
      </c>
      <c r="S164" s="2" t="str">
        <f t="shared" si="22"/>
        <v>Valid</v>
      </c>
      <c r="T164" s="2" t="str">
        <f t="shared" si="23"/>
        <v>Invalid</v>
      </c>
      <c r="U164" s="2">
        <f t="shared" si="24"/>
        <v>1</v>
      </c>
      <c r="V164" s="2" t="str">
        <f t="shared" si="25"/>
        <v>6637562890</v>
      </c>
      <c r="W164" s="2" t="s">
        <v>1470</v>
      </c>
      <c r="X164" s="2" t="str">
        <f t="shared" si="26"/>
        <v>Unique</v>
      </c>
    </row>
    <row r="165" spans="1:24" x14ac:dyDescent="0.35">
      <c r="A165" s="2" t="s">
        <v>1479</v>
      </c>
      <c r="B165" s="2" t="s">
        <v>1480</v>
      </c>
      <c r="C165" s="2" t="s">
        <v>1481</v>
      </c>
      <c r="D165" s="2" t="s">
        <v>1482</v>
      </c>
      <c r="E165" s="2" t="s">
        <v>1483</v>
      </c>
      <c r="F165" s="2" t="s">
        <v>1484</v>
      </c>
      <c r="G165" s="15" t="s">
        <v>1485</v>
      </c>
      <c r="H165" s="2" t="s">
        <v>1486</v>
      </c>
      <c r="I165" s="2" t="s">
        <v>130</v>
      </c>
      <c r="J165" s="2" t="s">
        <v>243</v>
      </c>
      <c r="K165" s="2" t="s">
        <v>142</v>
      </c>
      <c r="L165" s="2" t="s">
        <v>1487</v>
      </c>
      <c r="M165" s="2" t="str">
        <f>IF(TRIM(C165)="","Missing",IF(AND(LEN(TRIM(C165))=10,SUMPRODUCT(--(CODE(MID(TRIM(C165),{1,2,3,4,5,10},1))&gt;=65),--(CODE(MID(TRIM(C165),{1,2,3,4,5,10},1))&lt;=90))=6,ISNUMBER(--MID(TRIM(C165),6,4))),"Valid","Invalid"))</f>
        <v>Valid</v>
      </c>
      <c r="N165" s="2" t="str">
        <f t="shared" si="18"/>
        <v>Valid</v>
      </c>
      <c r="O165" s="2" t="str">
        <f t="shared" si="19"/>
        <v>Valid</v>
      </c>
      <c r="P165" s="2" t="str">
        <f t="shared" si="20"/>
        <v>Valid</v>
      </c>
      <c r="Q165" s="2" t="str">
        <f t="shared" si="21"/>
        <v>Valid</v>
      </c>
      <c r="R165" s="2" t="str">
        <f>IF(TRIM(H165)="","Missing",IF(AND(LEN(TRIM(H165))=11,SUMPRODUCT(--(CODE(MID(TRIM(H165),{1,2,3,4},1))&gt;=65),--(CODE(MID(TRIM(H165),{1,2,3,4},1))&lt;=90))=4,MID(TRIM(H165),5,1)="0"),"Valid","Invalid"))</f>
        <v>Valid</v>
      </c>
      <c r="S165" s="2" t="str">
        <f t="shared" si="22"/>
        <v>Valid</v>
      </c>
      <c r="T165" s="2" t="str">
        <f t="shared" si="23"/>
        <v>Invalid</v>
      </c>
      <c r="U165" s="2">
        <f t="shared" si="24"/>
        <v>1</v>
      </c>
      <c r="V165" s="2" t="str">
        <f t="shared" si="25"/>
        <v>8667652775</v>
      </c>
      <c r="W165" s="2" t="s">
        <v>1479</v>
      </c>
      <c r="X165" s="2" t="str">
        <f t="shared" si="26"/>
        <v>Unique</v>
      </c>
    </row>
    <row r="166" spans="1:24" x14ac:dyDescent="0.35">
      <c r="A166" s="2" t="s">
        <v>1488</v>
      </c>
      <c r="B166" s="2" t="s">
        <v>1489</v>
      </c>
      <c r="C166" s="2" t="s">
        <v>1490</v>
      </c>
      <c r="D166" s="2" t="s">
        <v>1491</v>
      </c>
      <c r="E166" s="2" t="s">
        <v>1492</v>
      </c>
      <c r="F166" s="2" t="s">
        <v>1493</v>
      </c>
      <c r="G166" s="15" t="s">
        <v>1494</v>
      </c>
      <c r="H166" s="2" t="s">
        <v>1495</v>
      </c>
      <c r="I166" s="2" t="s">
        <v>130</v>
      </c>
      <c r="J166" s="2" t="s">
        <v>174</v>
      </c>
      <c r="K166" s="2" t="s">
        <v>121</v>
      </c>
      <c r="L166" s="2" t="s">
        <v>1496</v>
      </c>
      <c r="M166" s="2" t="str">
        <f>IF(TRIM(C166)="","Missing",IF(AND(LEN(TRIM(C166))=10,SUMPRODUCT(--(CODE(MID(TRIM(C166),{1,2,3,4,5,10},1))&gt;=65),--(CODE(MID(TRIM(C166),{1,2,3,4,5,10},1))&lt;=90))=6,ISNUMBER(--MID(TRIM(C166),6,4))),"Valid","Invalid"))</f>
        <v>Valid</v>
      </c>
      <c r="N166" s="2" t="str">
        <f t="shared" si="18"/>
        <v>Valid</v>
      </c>
      <c r="O166" s="2" t="str">
        <f t="shared" si="19"/>
        <v>Valid</v>
      </c>
      <c r="P166" s="2" t="str">
        <f t="shared" si="20"/>
        <v>Valid</v>
      </c>
      <c r="Q166" s="2" t="str">
        <f t="shared" si="21"/>
        <v>Valid</v>
      </c>
      <c r="R166" s="2" t="str">
        <f>IF(TRIM(H166)="","Missing",IF(AND(LEN(TRIM(H166))=11,SUMPRODUCT(--(CODE(MID(TRIM(H166),{1,2,3,4},1))&gt;=65),--(CODE(MID(TRIM(H166),{1,2,3,4},1))&lt;=90))=4,MID(TRIM(H166),5,1)="0"),"Valid","Invalid"))</f>
        <v>Valid</v>
      </c>
      <c r="S166" s="2" t="str">
        <f t="shared" si="22"/>
        <v>Valid</v>
      </c>
      <c r="T166" s="2" t="str">
        <f t="shared" si="23"/>
        <v>Valid</v>
      </c>
      <c r="U166" s="2">
        <f t="shared" si="24"/>
        <v>0</v>
      </c>
      <c r="V166" s="2" t="str">
        <f t="shared" si="25"/>
        <v>7586629619</v>
      </c>
      <c r="W166" s="2" t="s">
        <v>1488</v>
      </c>
      <c r="X166" s="2" t="str">
        <f t="shared" si="26"/>
        <v>Unique</v>
      </c>
    </row>
    <row r="167" spans="1:24" x14ac:dyDescent="0.35">
      <c r="A167" s="2" t="s">
        <v>1497</v>
      </c>
      <c r="B167" s="2" t="s">
        <v>1498</v>
      </c>
      <c r="C167" s="2" t="s">
        <v>1499</v>
      </c>
      <c r="D167" s="2" t="s">
        <v>1500</v>
      </c>
      <c r="E167" s="2" t="s">
        <v>1501</v>
      </c>
      <c r="F167" s="2" t="s">
        <v>1502</v>
      </c>
      <c r="G167" s="15" t="s">
        <v>1503</v>
      </c>
      <c r="H167" s="2" t="s">
        <v>1504</v>
      </c>
      <c r="I167" s="2" t="s">
        <v>130</v>
      </c>
      <c r="J167" s="2" t="s">
        <v>184</v>
      </c>
      <c r="K167" s="2" t="s">
        <v>121</v>
      </c>
      <c r="L167" s="2" t="s">
        <v>1505</v>
      </c>
      <c r="M167" s="2" t="str">
        <f>IF(TRIM(C167)="","Missing",IF(AND(LEN(TRIM(C167))=10,SUMPRODUCT(--(CODE(MID(TRIM(C167),{1,2,3,4,5,10},1))&gt;=65),--(CODE(MID(TRIM(C167),{1,2,3,4,5,10},1))&lt;=90))=6,ISNUMBER(--MID(TRIM(C167),6,4))),"Valid","Invalid"))</f>
        <v>Valid</v>
      </c>
      <c r="N167" s="2" t="str">
        <f t="shared" si="18"/>
        <v>Valid</v>
      </c>
      <c r="O167" s="2" t="str">
        <f t="shared" si="19"/>
        <v>Valid</v>
      </c>
      <c r="P167" s="2" t="str">
        <f t="shared" si="20"/>
        <v>Valid</v>
      </c>
      <c r="Q167" s="2" t="str">
        <f t="shared" si="21"/>
        <v>Valid</v>
      </c>
      <c r="R167" s="2" t="str">
        <f>IF(TRIM(H167)="","Missing",IF(AND(LEN(TRIM(H167))=11,SUMPRODUCT(--(CODE(MID(TRIM(H167),{1,2,3,4},1))&gt;=65),--(CODE(MID(TRIM(H167),{1,2,3,4},1))&lt;=90))=4,MID(TRIM(H167),5,1)="0"),"Valid","Invalid"))</f>
        <v>Valid</v>
      </c>
      <c r="S167" s="2" t="str">
        <f t="shared" si="22"/>
        <v>Valid</v>
      </c>
      <c r="T167" s="2" t="str">
        <f t="shared" si="23"/>
        <v>Invalid</v>
      </c>
      <c r="U167" s="2">
        <f t="shared" si="24"/>
        <v>1</v>
      </c>
      <c r="V167" s="2" t="str">
        <f t="shared" si="25"/>
        <v>9508637659</v>
      </c>
      <c r="W167" s="2" t="s">
        <v>1497</v>
      </c>
      <c r="X167" s="2" t="str">
        <f t="shared" si="26"/>
        <v>Unique</v>
      </c>
    </row>
    <row r="168" spans="1:24" x14ac:dyDescent="0.35">
      <c r="A168" s="2" t="s">
        <v>1506</v>
      </c>
      <c r="B168" s="2" t="s">
        <v>1507</v>
      </c>
      <c r="C168" s="2" t="s">
        <v>1508</v>
      </c>
      <c r="D168" s="2" t="s">
        <v>1509</v>
      </c>
      <c r="E168" s="2" t="s">
        <v>1510</v>
      </c>
      <c r="F168" s="2" t="s">
        <v>1511</v>
      </c>
      <c r="G168" s="15" t="s">
        <v>1512</v>
      </c>
      <c r="H168" s="2" t="s">
        <v>1513</v>
      </c>
      <c r="I168" s="2" t="s">
        <v>130</v>
      </c>
      <c r="J168" s="2" t="s">
        <v>174</v>
      </c>
      <c r="K168" s="2" t="s">
        <v>121</v>
      </c>
      <c r="L168" s="2" t="s">
        <v>1514</v>
      </c>
      <c r="M168" s="2" t="str">
        <f>IF(TRIM(C168)="","Missing",IF(AND(LEN(TRIM(C168))=10,SUMPRODUCT(--(CODE(MID(TRIM(C168),{1,2,3,4,5,10},1))&gt;=65),--(CODE(MID(TRIM(C168),{1,2,3,4,5,10},1))&lt;=90))=6,ISNUMBER(--MID(TRIM(C168),6,4))),"Valid","Invalid"))</f>
        <v>Valid</v>
      </c>
      <c r="N168" s="2" t="str">
        <f t="shared" si="18"/>
        <v>Valid</v>
      </c>
      <c r="O168" s="2" t="str">
        <f t="shared" si="19"/>
        <v>Valid</v>
      </c>
      <c r="P168" s="2" t="str">
        <f t="shared" si="20"/>
        <v>Valid</v>
      </c>
      <c r="Q168" s="2" t="str">
        <f t="shared" si="21"/>
        <v>Valid</v>
      </c>
      <c r="R168" s="2" t="str">
        <f>IF(TRIM(H168)="","Missing",IF(AND(LEN(TRIM(H168))=11,SUMPRODUCT(--(CODE(MID(TRIM(H168),{1,2,3,4},1))&gt;=65),--(CODE(MID(TRIM(H168),{1,2,3,4},1))&lt;=90))=4,MID(TRIM(H168),5,1)="0"),"Valid","Invalid"))</f>
        <v>Valid</v>
      </c>
      <c r="S168" s="2" t="str">
        <f t="shared" si="22"/>
        <v>Valid</v>
      </c>
      <c r="T168" s="2" t="str">
        <f t="shared" si="23"/>
        <v>Valid</v>
      </c>
      <c r="U168" s="2">
        <f t="shared" si="24"/>
        <v>0</v>
      </c>
      <c r="V168" s="2" t="str">
        <f t="shared" si="25"/>
        <v>9060566418</v>
      </c>
      <c r="W168" s="2" t="s">
        <v>1506</v>
      </c>
      <c r="X168" s="2" t="str">
        <f t="shared" si="26"/>
        <v>Unique</v>
      </c>
    </row>
    <row r="169" spans="1:24" x14ac:dyDescent="0.35">
      <c r="A169" s="2" t="s">
        <v>1515</v>
      </c>
      <c r="B169" s="2" t="s">
        <v>1516</v>
      </c>
      <c r="C169" s="2" t="s">
        <v>1517</v>
      </c>
      <c r="D169" s="2" t="s">
        <v>1518</v>
      </c>
      <c r="E169" s="2" t="s">
        <v>1519</v>
      </c>
      <c r="F169" s="2" t="s">
        <v>1520</v>
      </c>
      <c r="G169" s="15" t="s">
        <v>1521</v>
      </c>
      <c r="H169" s="2" t="s">
        <v>1522</v>
      </c>
      <c r="I169" s="2" t="s">
        <v>130</v>
      </c>
      <c r="J169" s="2" t="s">
        <v>526</v>
      </c>
      <c r="K169" s="2" t="s">
        <v>121</v>
      </c>
      <c r="L169" s="2" t="s">
        <v>1523</v>
      </c>
      <c r="M169" s="2" t="str">
        <f>IF(TRIM(C169)="","Missing",IF(AND(LEN(TRIM(C169))=10,SUMPRODUCT(--(CODE(MID(TRIM(C169),{1,2,3,4,5,10},1))&gt;=65),--(CODE(MID(TRIM(C169),{1,2,3,4,5,10},1))&lt;=90))=6,ISNUMBER(--MID(TRIM(C169),6,4))),"Valid","Invalid"))</f>
        <v>Valid</v>
      </c>
      <c r="N169" s="2" t="str">
        <f t="shared" si="18"/>
        <v>Valid</v>
      </c>
      <c r="O169" s="2" t="str">
        <f t="shared" si="19"/>
        <v>Valid</v>
      </c>
      <c r="P169" s="2" t="str">
        <f t="shared" si="20"/>
        <v>Valid</v>
      </c>
      <c r="Q169" s="2" t="str">
        <f t="shared" si="21"/>
        <v>Valid</v>
      </c>
      <c r="R169" s="2" t="str">
        <f>IF(TRIM(H169)="","Missing",IF(AND(LEN(TRIM(H169))=11,SUMPRODUCT(--(CODE(MID(TRIM(H169),{1,2,3,4},1))&gt;=65),--(CODE(MID(TRIM(H169),{1,2,3,4},1))&lt;=90))=4,MID(TRIM(H169),5,1)="0"),"Valid","Invalid"))</f>
        <v>Valid</v>
      </c>
      <c r="S169" s="2" t="str">
        <f t="shared" si="22"/>
        <v>Valid</v>
      </c>
      <c r="T169" s="2" t="str">
        <f t="shared" si="23"/>
        <v>Invalid</v>
      </c>
      <c r="U169" s="2">
        <f t="shared" si="24"/>
        <v>1</v>
      </c>
      <c r="V169" s="2" t="str">
        <f t="shared" si="25"/>
        <v>6849588039</v>
      </c>
      <c r="W169" s="2" t="s">
        <v>1515</v>
      </c>
      <c r="X169" s="2" t="str">
        <f t="shared" si="26"/>
        <v>Duplicate</v>
      </c>
    </row>
    <row r="170" spans="1:24" x14ac:dyDescent="0.35">
      <c r="A170" s="2" t="s">
        <v>1524</v>
      </c>
      <c r="B170" s="2" t="s">
        <v>1525</v>
      </c>
      <c r="C170" s="2" t="s">
        <v>1526</v>
      </c>
      <c r="D170" s="2" t="s">
        <v>1527</v>
      </c>
      <c r="E170" s="2" t="s">
        <v>1528</v>
      </c>
      <c r="F170" s="2" t="s">
        <v>1529</v>
      </c>
      <c r="G170" s="15" t="s">
        <v>1530</v>
      </c>
      <c r="H170" s="2" t="s">
        <v>1531</v>
      </c>
      <c r="I170" s="2" t="s">
        <v>130</v>
      </c>
      <c r="J170" s="2" t="s">
        <v>131</v>
      </c>
      <c r="K170" s="2" t="s">
        <v>121</v>
      </c>
      <c r="L170" s="2" t="s">
        <v>1532</v>
      </c>
      <c r="M170" s="2" t="str">
        <f>IF(TRIM(C170)="","Missing",IF(AND(LEN(TRIM(C170))=10,SUMPRODUCT(--(CODE(MID(TRIM(C170),{1,2,3,4,5,10},1))&gt;=65),--(CODE(MID(TRIM(C170),{1,2,3,4,5,10},1))&lt;=90))=6,ISNUMBER(--MID(TRIM(C170),6,4))),"Valid","Invalid"))</f>
        <v>Valid</v>
      </c>
      <c r="N170" s="2" t="str">
        <f t="shared" si="18"/>
        <v>Valid</v>
      </c>
      <c r="O170" s="2" t="str">
        <f t="shared" si="19"/>
        <v>Invalid</v>
      </c>
      <c r="P170" s="2" t="str">
        <f t="shared" si="20"/>
        <v>Valid</v>
      </c>
      <c r="Q170" s="2" t="str">
        <f t="shared" si="21"/>
        <v>Valid</v>
      </c>
      <c r="R170" s="2" t="str">
        <f>IF(TRIM(H170)="","Missing",IF(AND(LEN(TRIM(H170))=11,SUMPRODUCT(--(CODE(MID(TRIM(H170),{1,2,3,4},1))&gt;=65),--(CODE(MID(TRIM(H170),{1,2,3,4},1))&lt;=90))=4,MID(TRIM(H170),5,1)="0"),"Valid","Invalid"))</f>
        <v>Valid</v>
      </c>
      <c r="S170" s="2" t="str">
        <f t="shared" si="22"/>
        <v>Valid</v>
      </c>
      <c r="T170" s="2" t="str">
        <f t="shared" si="23"/>
        <v>Invalid</v>
      </c>
      <c r="U170" s="2">
        <f t="shared" si="24"/>
        <v>2</v>
      </c>
      <c r="V170" s="2" t="str">
        <f t="shared" si="25"/>
        <v>918663836151</v>
      </c>
      <c r="W170" s="2" t="s">
        <v>1524</v>
      </c>
      <c r="X170" s="2" t="str">
        <f t="shared" si="26"/>
        <v>Unique</v>
      </c>
    </row>
    <row r="171" spans="1:24" x14ac:dyDescent="0.35">
      <c r="A171" s="2" t="s">
        <v>1533</v>
      </c>
      <c r="B171" s="2" t="s">
        <v>1534</v>
      </c>
      <c r="C171" s="2" t="s">
        <v>1535</v>
      </c>
      <c r="D171" s="2" t="s">
        <v>1536</v>
      </c>
      <c r="E171" s="2" t="s">
        <v>1537</v>
      </c>
      <c r="F171" s="2" t="s">
        <v>1538</v>
      </c>
      <c r="G171" s="15" t="s">
        <v>1539</v>
      </c>
      <c r="H171" s="2" t="s">
        <v>1540</v>
      </c>
      <c r="I171" s="2" t="s">
        <v>119</v>
      </c>
      <c r="J171" s="2" t="s">
        <v>231</v>
      </c>
      <c r="K171" s="2" t="s">
        <v>121</v>
      </c>
      <c r="L171" s="2" t="s">
        <v>1541</v>
      </c>
      <c r="M171" s="2" t="str">
        <f>IF(TRIM(C171)="","Missing",IF(AND(LEN(TRIM(C171))=10,SUMPRODUCT(--(CODE(MID(TRIM(C171),{1,2,3,4,5,10},1))&gt;=65),--(CODE(MID(TRIM(C171),{1,2,3,4,5,10},1))&lt;=90))=6,ISNUMBER(--MID(TRIM(C171),6,4))),"Valid","Invalid"))</f>
        <v>Valid</v>
      </c>
      <c r="N171" s="2" t="str">
        <f t="shared" si="18"/>
        <v>Valid</v>
      </c>
      <c r="O171" s="2" t="str">
        <f t="shared" si="19"/>
        <v>Valid</v>
      </c>
      <c r="P171" s="2" t="str">
        <f t="shared" si="20"/>
        <v>Valid</v>
      </c>
      <c r="Q171" s="2" t="str">
        <f t="shared" si="21"/>
        <v>Valid</v>
      </c>
      <c r="R171" s="2" t="str">
        <f>IF(TRIM(H171)="","Missing",IF(AND(LEN(TRIM(H171))=11,SUMPRODUCT(--(CODE(MID(TRIM(H171),{1,2,3,4},1))&gt;=65),--(CODE(MID(TRIM(H171),{1,2,3,4},1))&lt;=90))=4,MID(TRIM(H171),5,1)="0"),"Valid","Invalid"))</f>
        <v>Valid</v>
      </c>
      <c r="S171" s="2" t="str">
        <f t="shared" si="22"/>
        <v>Invalid</v>
      </c>
      <c r="T171" s="2" t="str">
        <f t="shared" si="23"/>
        <v>Invalid</v>
      </c>
      <c r="U171" s="2">
        <f t="shared" si="24"/>
        <v>2</v>
      </c>
      <c r="V171" s="2" t="str">
        <f t="shared" si="25"/>
        <v>8896465280</v>
      </c>
      <c r="W171" s="2" t="s">
        <v>1533</v>
      </c>
      <c r="X171" s="2" t="str">
        <f t="shared" si="26"/>
        <v>Unique</v>
      </c>
    </row>
    <row r="172" spans="1:24" x14ac:dyDescent="0.35">
      <c r="A172" s="2" t="s">
        <v>1542</v>
      </c>
      <c r="B172" s="2" t="s">
        <v>1543</v>
      </c>
      <c r="C172" s="2" t="s">
        <v>1544</v>
      </c>
      <c r="D172" s="2" t="s">
        <v>1545</v>
      </c>
      <c r="E172" s="2" t="s">
        <v>1546</v>
      </c>
      <c r="F172" s="2" t="s">
        <v>1547</v>
      </c>
      <c r="G172" s="15" t="s">
        <v>1548</v>
      </c>
      <c r="H172" s="2" t="s">
        <v>1549</v>
      </c>
      <c r="I172" s="2" t="s">
        <v>152</v>
      </c>
      <c r="J172" s="2" t="s">
        <v>174</v>
      </c>
      <c r="K172" s="2" t="s">
        <v>121</v>
      </c>
      <c r="L172" s="2" t="s">
        <v>1550</v>
      </c>
      <c r="M172" s="2" t="str">
        <f>IF(TRIM(C172)="","Missing",IF(AND(LEN(TRIM(C172))=10,SUMPRODUCT(--(CODE(MID(TRIM(C172),{1,2,3,4,5,10},1))&gt;=65),--(CODE(MID(TRIM(C172),{1,2,3,4,5,10},1))&lt;=90))=6,ISNUMBER(--MID(TRIM(C172),6,4))),"Valid","Invalid"))</f>
        <v>Valid</v>
      </c>
      <c r="N172" s="2" t="str">
        <f t="shared" si="18"/>
        <v>Valid</v>
      </c>
      <c r="O172" s="2" t="str">
        <f t="shared" si="19"/>
        <v>Valid</v>
      </c>
      <c r="P172" s="2" t="str">
        <f t="shared" si="20"/>
        <v>Valid</v>
      </c>
      <c r="Q172" s="2" t="str">
        <f t="shared" si="21"/>
        <v>Valid</v>
      </c>
      <c r="R172" s="2" t="str">
        <f>IF(TRIM(H172)="","Missing",IF(AND(LEN(TRIM(H172))=11,SUMPRODUCT(--(CODE(MID(TRIM(H172),{1,2,3,4},1))&gt;=65),--(CODE(MID(TRIM(H172),{1,2,3,4},1))&lt;=90))=4,MID(TRIM(H172),5,1)="0"),"Valid","Invalid"))</f>
        <v>Valid</v>
      </c>
      <c r="S172" s="2" t="str">
        <f t="shared" si="22"/>
        <v>Invalid</v>
      </c>
      <c r="T172" s="2" t="str">
        <f t="shared" si="23"/>
        <v>Valid</v>
      </c>
      <c r="U172" s="2">
        <f t="shared" si="24"/>
        <v>1</v>
      </c>
      <c r="V172" s="2" t="str">
        <f t="shared" si="25"/>
        <v>917758842524</v>
      </c>
      <c r="W172" s="2" t="s">
        <v>1542</v>
      </c>
      <c r="X172" s="2" t="str">
        <f t="shared" si="26"/>
        <v>Unique</v>
      </c>
    </row>
    <row r="173" spans="1:24" x14ac:dyDescent="0.35">
      <c r="A173" s="2" t="s">
        <v>1551</v>
      </c>
      <c r="B173" s="2" t="s">
        <v>1552</v>
      </c>
      <c r="C173" s="2" t="s">
        <v>1553</v>
      </c>
      <c r="D173" s="2" t="s">
        <v>1554</v>
      </c>
      <c r="E173" s="2" t="s">
        <v>1555</v>
      </c>
      <c r="F173" s="2" t="s">
        <v>1556</v>
      </c>
      <c r="G173" s="15" t="s">
        <v>1557</v>
      </c>
      <c r="H173" s="2" t="s">
        <v>1558</v>
      </c>
      <c r="I173" s="2" t="s">
        <v>119</v>
      </c>
      <c r="J173" s="2" t="s">
        <v>153</v>
      </c>
      <c r="K173" s="2" t="s">
        <v>121</v>
      </c>
      <c r="L173" s="2" t="s">
        <v>1559</v>
      </c>
      <c r="M173" s="2" t="str">
        <f>IF(TRIM(C173)="","Missing",IF(AND(LEN(TRIM(C173))=10,SUMPRODUCT(--(CODE(MID(TRIM(C173),{1,2,3,4,5,10},1))&gt;=65),--(CODE(MID(TRIM(C173),{1,2,3,4,5,10},1))&lt;=90))=6,ISNUMBER(--MID(TRIM(C173),6,4))),"Valid","Invalid"))</f>
        <v>Valid</v>
      </c>
      <c r="N173" s="2" t="str">
        <f t="shared" si="18"/>
        <v>Valid</v>
      </c>
      <c r="O173" s="2" t="str">
        <f t="shared" si="19"/>
        <v>Valid</v>
      </c>
      <c r="P173" s="2" t="str">
        <f t="shared" si="20"/>
        <v>Invalid</v>
      </c>
      <c r="Q173" s="2" t="str">
        <f t="shared" si="21"/>
        <v>Valid</v>
      </c>
      <c r="R173" s="2" t="str">
        <f>IF(TRIM(H173)="","Missing",IF(AND(LEN(TRIM(H173))=11,SUMPRODUCT(--(CODE(MID(TRIM(H173),{1,2,3,4},1))&gt;=65),--(CODE(MID(TRIM(H173),{1,2,3,4},1))&lt;=90))=4,MID(TRIM(H173),5,1)="0"),"Valid","Invalid"))</f>
        <v>Valid</v>
      </c>
      <c r="S173" s="2" t="str">
        <f t="shared" si="22"/>
        <v>Invalid</v>
      </c>
      <c r="T173" s="2" t="str">
        <f t="shared" si="23"/>
        <v>Invalid</v>
      </c>
      <c r="U173" s="2">
        <f t="shared" si="24"/>
        <v>3</v>
      </c>
      <c r="V173" s="2" t="str">
        <f t="shared" si="25"/>
        <v>749985698</v>
      </c>
      <c r="W173" s="2" t="s">
        <v>1551</v>
      </c>
      <c r="X173" s="2" t="str">
        <f t="shared" si="26"/>
        <v>Duplicate</v>
      </c>
    </row>
    <row r="174" spans="1:24" x14ac:dyDescent="0.35">
      <c r="A174" s="2" t="s">
        <v>1560</v>
      </c>
      <c r="B174" s="2" t="s">
        <v>1561</v>
      </c>
      <c r="C174" s="2" t="s">
        <v>1562</v>
      </c>
      <c r="D174" s="2" t="s">
        <v>1563</v>
      </c>
      <c r="E174" s="2" t="s">
        <v>1564</v>
      </c>
      <c r="F174" s="2" t="s">
        <v>1565</v>
      </c>
      <c r="G174" s="15" t="s">
        <v>1566</v>
      </c>
      <c r="H174" s="2" t="s">
        <v>1567</v>
      </c>
      <c r="I174" s="2" t="s">
        <v>119</v>
      </c>
      <c r="J174" s="2" t="s">
        <v>194</v>
      </c>
      <c r="K174" s="2" t="s">
        <v>121</v>
      </c>
      <c r="L174" s="2" t="s">
        <v>1568</v>
      </c>
      <c r="M174" s="2" t="str">
        <f>IF(TRIM(C174)="","Missing",IF(AND(LEN(TRIM(C174))=10,SUMPRODUCT(--(CODE(MID(TRIM(C174),{1,2,3,4,5,10},1))&gt;=65),--(CODE(MID(TRIM(C174),{1,2,3,4,5,10},1))&lt;=90))=6,ISNUMBER(--MID(TRIM(C174),6,4))),"Valid","Invalid"))</f>
        <v>Valid</v>
      </c>
      <c r="N174" s="2" t="str">
        <f t="shared" si="18"/>
        <v>Valid</v>
      </c>
      <c r="O174" s="2" t="str">
        <f t="shared" si="19"/>
        <v>Valid</v>
      </c>
      <c r="P174" s="2" t="str">
        <f t="shared" si="20"/>
        <v>Valid</v>
      </c>
      <c r="Q174" s="2" t="str">
        <f t="shared" si="21"/>
        <v>Valid</v>
      </c>
      <c r="R174" s="2" t="str">
        <f>IF(TRIM(H174)="","Missing",IF(AND(LEN(TRIM(H174))=11,SUMPRODUCT(--(CODE(MID(TRIM(H174),{1,2,3,4},1))&gt;=65),--(CODE(MID(TRIM(H174),{1,2,3,4},1))&lt;=90))=4,MID(TRIM(H174),5,1)="0"),"Valid","Invalid"))</f>
        <v>Valid</v>
      </c>
      <c r="S174" s="2" t="str">
        <f t="shared" si="22"/>
        <v>Invalid</v>
      </c>
      <c r="T174" s="2" t="str">
        <f t="shared" si="23"/>
        <v>Invalid</v>
      </c>
      <c r="U174" s="2">
        <f t="shared" si="24"/>
        <v>2</v>
      </c>
      <c r="V174" s="2" t="str">
        <f t="shared" si="25"/>
        <v>917583206799</v>
      </c>
      <c r="W174" s="2" t="s">
        <v>1560</v>
      </c>
      <c r="X174" s="2" t="str">
        <f t="shared" si="26"/>
        <v>Unique</v>
      </c>
    </row>
    <row r="175" spans="1:24" x14ac:dyDescent="0.35">
      <c r="A175" s="2" t="s">
        <v>1569</v>
      </c>
      <c r="B175" s="2" t="s">
        <v>1570</v>
      </c>
      <c r="C175" s="2" t="s">
        <v>135</v>
      </c>
      <c r="D175" s="2" t="s">
        <v>136</v>
      </c>
      <c r="E175" s="2" t="s">
        <v>137</v>
      </c>
      <c r="F175" s="2" t="s">
        <v>1571</v>
      </c>
      <c r="G175" s="15" t="s">
        <v>139</v>
      </c>
      <c r="H175" s="2" t="s">
        <v>1572</v>
      </c>
      <c r="I175" s="2" t="s">
        <v>130</v>
      </c>
      <c r="J175" s="2" t="s">
        <v>141</v>
      </c>
      <c r="K175" s="2" t="s">
        <v>142</v>
      </c>
      <c r="L175" s="2" t="s">
        <v>1573</v>
      </c>
      <c r="M175" s="2" t="str">
        <f>IF(TRIM(C175)="","Missing",IF(AND(LEN(TRIM(C175))=10,SUMPRODUCT(--(CODE(MID(TRIM(C175),{1,2,3,4,5,10},1))&gt;=65),--(CODE(MID(TRIM(C175),{1,2,3,4,5,10},1))&lt;=90))=6,ISNUMBER(--MID(TRIM(C175),6,4))),"Valid","Invalid"))</f>
        <v>Valid</v>
      </c>
      <c r="N175" s="2" t="str">
        <f t="shared" si="18"/>
        <v>Valid</v>
      </c>
      <c r="O175" s="2" t="str">
        <f t="shared" si="19"/>
        <v>Valid</v>
      </c>
      <c r="P175" s="2" t="str">
        <f t="shared" si="20"/>
        <v>Valid</v>
      </c>
      <c r="Q175" s="2" t="str">
        <f t="shared" si="21"/>
        <v>Valid</v>
      </c>
      <c r="R175" s="2" t="str">
        <f>IF(TRIM(H175)="","Missing",IF(AND(LEN(TRIM(H175))=11,SUMPRODUCT(--(CODE(MID(TRIM(H175),{1,2,3,4},1))&gt;=65),--(CODE(MID(TRIM(H175),{1,2,3,4},1))&lt;=90))=4,MID(TRIM(H175),5,1)="0"),"Valid","Invalid"))</f>
        <v>Invalid</v>
      </c>
      <c r="S175" s="2" t="str">
        <f t="shared" si="22"/>
        <v>Valid</v>
      </c>
      <c r="T175" s="2" t="str">
        <f t="shared" si="23"/>
        <v>Valid</v>
      </c>
      <c r="U175" s="2">
        <f t="shared" si="24"/>
        <v>1</v>
      </c>
      <c r="V175" s="2" t="str">
        <f t="shared" si="25"/>
        <v>9854777252</v>
      </c>
      <c r="W175" s="2" t="s">
        <v>133</v>
      </c>
      <c r="X175" s="2" t="str">
        <f t="shared" si="26"/>
        <v>Duplicate</v>
      </c>
    </row>
    <row r="176" spans="1:24" x14ac:dyDescent="0.35">
      <c r="A176" s="2" t="s">
        <v>1574</v>
      </c>
      <c r="B176" s="2" t="s">
        <v>1575</v>
      </c>
      <c r="C176" s="2" t="s">
        <v>1576</v>
      </c>
      <c r="D176" s="2" t="s">
        <v>1577</v>
      </c>
      <c r="E176" s="2" t="s">
        <v>1578</v>
      </c>
      <c r="F176" s="2" t="s">
        <v>1579</v>
      </c>
      <c r="G176" s="15" t="s">
        <v>1580</v>
      </c>
      <c r="H176" s="2" t="s">
        <v>1581</v>
      </c>
      <c r="I176" s="2" t="s">
        <v>130</v>
      </c>
      <c r="J176" s="2" t="s">
        <v>120</v>
      </c>
      <c r="K176" s="2" t="s">
        <v>121</v>
      </c>
      <c r="L176" s="2" t="s">
        <v>1582</v>
      </c>
      <c r="M176" s="2" t="str">
        <f>IF(TRIM(C176)="","Missing",IF(AND(LEN(TRIM(C176))=10,SUMPRODUCT(--(CODE(MID(TRIM(C176),{1,2,3,4,5,10},1))&gt;=65),--(CODE(MID(TRIM(C176),{1,2,3,4,5,10},1))&lt;=90))=6,ISNUMBER(--MID(TRIM(C176),6,4))),"Valid","Invalid"))</f>
        <v>Valid</v>
      </c>
      <c r="N176" s="2" t="str">
        <f t="shared" si="18"/>
        <v>Valid</v>
      </c>
      <c r="O176" s="2" t="str">
        <f t="shared" si="19"/>
        <v>Valid</v>
      </c>
      <c r="P176" s="2" t="str">
        <f t="shared" si="20"/>
        <v>Valid</v>
      </c>
      <c r="Q176" s="2" t="str">
        <f t="shared" si="21"/>
        <v>Valid</v>
      </c>
      <c r="R176" s="2" t="str">
        <f>IF(TRIM(H176)="","Missing",IF(AND(LEN(TRIM(H176))=11,SUMPRODUCT(--(CODE(MID(TRIM(H176),{1,2,3,4},1))&gt;=65),--(CODE(MID(TRIM(H176),{1,2,3,4},1))&lt;=90))=4,MID(TRIM(H176),5,1)="0"),"Valid","Invalid"))</f>
        <v>Valid</v>
      </c>
      <c r="S176" s="2" t="str">
        <f t="shared" si="22"/>
        <v>Valid</v>
      </c>
      <c r="T176" s="2" t="str">
        <f t="shared" si="23"/>
        <v>Invalid</v>
      </c>
      <c r="U176" s="2">
        <f t="shared" si="24"/>
        <v>1</v>
      </c>
      <c r="V176" s="2" t="str">
        <f t="shared" si="25"/>
        <v>7135247871</v>
      </c>
      <c r="W176" s="2" t="s">
        <v>1574</v>
      </c>
      <c r="X176" s="2" t="str">
        <f t="shared" si="26"/>
        <v>Unique</v>
      </c>
    </row>
    <row r="177" spans="1:24" x14ac:dyDescent="0.35">
      <c r="A177" s="2" t="s">
        <v>1583</v>
      </c>
      <c r="B177" s="2" t="s">
        <v>1584</v>
      </c>
      <c r="C177" s="2" t="s">
        <v>1585</v>
      </c>
      <c r="D177" s="2" t="s">
        <v>1586</v>
      </c>
      <c r="E177" s="2" t="s">
        <v>1587</v>
      </c>
      <c r="F177" s="2" t="s">
        <v>1588</v>
      </c>
      <c r="G177" s="15" t="s">
        <v>1589</v>
      </c>
      <c r="H177" s="2" t="s">
        <v>1590</v>
      </c>
      <c r="I177" s="2" t="s">
        <v>130</v>
      </c>
      <c r="J177" s="2" t="s">
        <v>164</v>
      </c>
      <c r="K177" s="2" t="s">
        <v>121</v>
      </c>
      <c r="L177" s="2" t="s">
        <v>263</v>
      </c>
      <c r="M177" s="2" t="e">
        <f>IF(TRIM(C177)="","Missing",IF(AND(LEN(TRIM(C177))=10,SUMPRODUCT(--(CODE(MID(TRIM(C177),{1,2,3,4,5,10},1))&gt;=65),--(CODE(MID(TRIM(C177),{1,2,3,4,5,10},1))&lt;=90))=6,ISNUMBER(--MID(TRIM(C177),6,4))),"Valid","Invalid"))</f>
        <v>#VALUE!</v>
      </c>
      <c r="N177" s="2" t="str">
        <f t="shared" si="18"/>
        <v>PAN Mismatch</v>
      </c>
      <c r="O177" s="2" t="str">
        <f t="shared" si="19"/>
        <v>Valid</v>
      </c>
      <c r="P177" s="2" t="str">
        <f t="shared" si="20"/>
        <v>Valid</v>
      </c>
      <c r="Q177" s="2" t="str">
        <f t="shared" si="21"/>
        <v>Valid</v>
      </c>
      <c r="R177" s="2" t="str">
        <f>IF(TRIM(H177)="","Missing",IF(AND(LEN(TRIM(H177))=11,SUMPRODUCT(--(CODE(MID(TRIM(H177),{1,2,3,4},1))&gt;=65),--(CODE(MID(TRIM(H177),{1,2,3,4},1))&lt;=90))=4,MID(TRIM(H177),5,1)="0"),"Valid","Invalid"))</f>
        <v>Valid</v>
      </c>
      <c r="S177" s="2" t="str">
        <f t="shared" si="22"/>
        <v>Valid</v>
      </c>
      <c r="T177" s="2" t="str">
        <f t="shared" si="23"/>
        <v>Valid</v>
      </c>
      <c r="U177" s="2">
        <f t="shared" si="24"/>
        <v>2</v>
      </c>
      <c r="V177" s="2" t="str">
        <f t="shared" si="25"/>
        <v>8721458683</v>
      </c>
      <c r="W177" s="2" t="s">
        <v>1583</v>
      </c>
      <c r="X177" s="2" t="str">
        <f t="shared" si="26"/>
        <v>Unique</v>
      </c>
    </row>
    <row r="178" spans="1:24" x14ac:dyDescent="0.35">
      <c r="A178" s="2" t="s">
        <v>1591</v>
      </c>
      <c r="B178" s="2" t="s">
        <v>1592</v>
      </c>
      <c r="C178" s="2" t="s">
        <v>1593</v>
      </c>
      <c r="D178" s="2" t="s">
        <v>1594</v>
      </c>
      <c r="E178" s="2" t="s">
        <v>1595</v>
      </c>
      <c r="F178" s="2"/>
      <c r="G178" s="15" t="s">
        <v>1596</v>
      </c>
      <c r="H178" s="2" t="s">
        <v>1597</v>
      </c>
      <c r="I178" s="2" t="s">
        <v>130</v>
      </c>
      <c r="J178" s="2" t="s">
        <v>563</v>
      </c>
      <c r="K178" s="2" t="s">
        <v>121</v>
      </c>
      <c r="L178" s="2" t="s">
        <v>1598</v>
      </c>
      <c r="M178" s="2" t="str">
        <f>IF(TRIM(C178)="","Missing",IF(AND(LEN(TRIM(C178))=10,SUMPRODUCT(--(CODE(MID(TRIM(C178),{1,2,3,4,5,10},1))&gt;=65),--(CODE(MID(TRIM(C178),{1,2,3,4,5,10},1))&lt;=90))=6,ISNUMBER(--MID(TRIM(C178),6,4))),"Valid","Invalid"))</f>
        <v>Valid</v>
      </c>
      <c r="N178" s="2" t="str">
        <f t="shared" si="18"/>
        <v>PAN Mismatch</v>
      </c>
      <c r="O178" s="2" t="str">
        <f t="shared" si="19"/>
        <v>Valid</v>
      </c>
      <c r="P178" s="2" t="str">
        <f t="shared" si="20"/>
        <v>Missing</v>
      </c>
      <c r="Q178" s="2" t="str">
        <f t="shared" si="21"/>
        <v>Valid</v>
      </c>
      <c r="R178" s="2" t="str">
        <f>IF(TRIM(H178)="","Missing",IF(AND(LEN(TRIM(H178))=11,SUMPRODUCT(--(CODE(MID(TRIM(H178),{1,2,3,4},1))&gt;=65),--(CODE(MID(TRIM(H178),{1,2,3,4},1))&lt;=90))=4,MID(TRIM(H178),5,1)="0"),"Valid","Invalid"))</f>
        <v>Valid</v>
      </c>
      <c r="S178" s="2" t="str">
        <f t="shared" si="22"/>
        <v>Valid</v>
      </c>
      <c r="T178" s="2" t="str">
        <f t="shared" si="23"/>
        <v>Invalid</v>
      </c>
      <c r="U178" s="2">
        <f t="shared" si="24"/>
        <v>3</v>
      </c>
      <c r="V178" s="2" t="str">
        <f t="shared" si="25"/>
        <v/>
      </c>
      <c r="W178" s="2" t="s">
        <v>1591</v>
      </c>
      <c r="X178" s="2" t="str">
        <f t="shared" si="26"/>
        <v>Unique</v>
      </c>
    </row>
    <row r="179" spans="1:24" x14ac:dyDescent="0.35">
      <c r="A179" s="2" t="s">
        <v>1599</v>
      </c>
      <c r="B179" s="2" t="s">
        <v>1600</v>
      </c>
      <c r="C179" s="2" t="s">
        <v>1601</v>
      </c>
      <c r="D179" s="2" t="s">
        <v>1602</v>
      </c>
      <c r="E179" s="2" t="s">
        <v>1603</v>
      </c>
      <c r="F179" s="2" t="s">
        <v>1604</v>
      </c>
      <c r="G179" s="15" t="s">
        <v>1605</v>
      </c>
      <c r="H179" s="2" t="s">
        <v>1606</v>
      </c>
      <c r="I179" s="2" t="s">
        <v>152</v>
      </c>
      <c r="J179" s="2" t="s">
        <v>526</v>
      </c>
      <c r="K179" s="2" t="s">
        <v>121</v>
      </c>
      <c r="L179" s="2" t="s">
        <v>1607</v>
      </c>
      <c r="M179" s="2" t="str">
        <f>IF(TRIM(C179)="","Missing",IF(AND(LEN(TRIM(C179))=10,SUMPRODUCT(--(CODE(MID(TRIM(C179),{1,2,3,4,5,10},1))&gt;=65),--(CODE(MID(TRIM(C179),{1,2,3,4,5,10},1))&lt;=90))=6,ISNUMBER(--MID(TRIM(C179),6,4))),"Valid","Invalid"))</f>
        <v>Valid</v>
      </c>
      <c r="N179" s="2" t="str">
        <f t="shared" si="18"/>
        <v>Valid</v>
      </c>
      <c r="O179" s="2" t="str">
        <f t="shared" si="19"/>
        <v>Valid</v>
      </c>
      <c r="P179" s="2" t="str">
        <f t="shared" si="20"/>
        <v>Valid</v>
      </c>
      <c r="Q179" s="2" t="str">
        <f t="shared" si="21"/>
        <v>Valid</v>
      </c>
      <c r="R179" s="2" t="str">
        <f>IF(TRIM(H179)="","Missing",IF(AND(LEN(TRIM(H179))=11,SUMPRODUCT(--(CODE(MID(TRIM(H179),{1,2,3,4},1))&gt;=65),--(CODE(MID(TRIM(H179),{1,2,3,4},1))&lt;=90))=4,MID(TRIM(H179),5,1)="0"),"Valid","Invalid"))</f>
        <v>Valid</v>
      </c>
      <c r="S179" s="2" t="str">
        <f t="shared" si="22"/>
        <v>Invalid</v>
      </c>
      <c r="T179" s="2" t="str">
        <f t="shared" si="23"/>
        <v>Invalid</v>
      </c>
      <c r="U179" s="2">
        <f t="shared" si="24"/>
        <v>2</v>
      </c>
      <c r="V179" s="2" t="str">
        <f t="shared" si="25"/>
        <v>6832582386</v>
      </c>
      <c r="W179" s="2" t="s">
        <v>1599</v>
      </c>
      <c r="X179" s="2" t="str">
        <f t="shared" si="26"/>
        <v>Unique</v>
      </c>
    </row>
    <row r="180" spans="1:24" x14ac:dyDescent="0.35">
      <c r="A180" s="2" t="s">
        <v>1608</v>
      </c>
      <c r="B180" s="2" t="s">
        <v>1609</v>
      </c>
      <c r="C180" s="2" t="s">
        <v>617</v>
      </c>
      <c r="D180" s="2" t="s">
        <v>618</v>
      </c>
      <c r="E180" s="2" t="s">
        <v>619</v>
      </c>
      <c r="F180" s="2" t="s">
        <v>1610</v>
      </c>
      <c r="G180" s="15" t="s">
        <v>621</v>
      </c>
      <c r="H180" s="2" t="s">
        <v>622</v>
      </c>
      <c r="I180" s="2" t="s">
        <v>130</v>
      </c>
      <c r="J180" s="2" t="s">
        <v>369</v>
      </c>
      <c r="K180" s="2" t="s">
        <v>121</v>
      </c>
      <c r="L180" s="2" t="s">
        <v>1611</v>
      </c>
      <c r="M180" s="2" t="str">
        <f>IF(TRIM(C180)="","Missing",IF(AND(LEN(TRIM(C180))=10,SUMPRODUCT(--(CODE(MID(TRIM(C180),{1,2,3,4,5,10},1))&gt;=65),--(CODE(MID(TRIM(C180),{1,2,3,4,5,10},1))&lt;=90))=6,ISNUMBER(--MID(TRIM(C180),6,4))),"Valid","Invalid"))</f>
        <v>Valid</v>
      </c>
      <c r="N180" s="2" t="str">
        <f t="shared" si="18"/>
        <v>Valid</v>
      </c>
      <c r="O180" s="2" t="str">
        <f t="shared" si="19"/>
        <v>Valid</v>
      </c>
      <c r="P180" s="2" t="str">
        <f t="shared" si="20"/>
        <v>Valid</v>
      </c>
      <c r="Q180" s="2" t="str">
        <f t="shared" si="21"/>
        <v>Valid</v>
      </c>
      <c r="R180" s="2" t="str">
        <f>IF(TRIM(H180)="","Missing",IF(AND(LEN(TRIM(H180))=11,SUMPRODUCT(--(CODE(MID(TRIM(H180),{1,2,3,4},1))&gt;=65),--(CODE(MID(TRIM(H180),{1,2,3,4},1))&lt;=90))=4,MID(TRIM(H180),5,1)="0"),"Valid","Invalid"))</f>
        <v>Valid</v>
      </c>
      <c r="S180" s="2" t="str">
        <f t="shared" si="22"/>
        <v>Valid</v>
      </c>
      <c r="T180" s="2" t="str">
        <f t="shared" si="23"/>
        <v>Invalid</v>
      </c>
      <c r="U180" s="2">
        <f t="shared" si="24"/>
        <v>1</v>
      </c>
      <c r="V180" s="2" t="str">
        <f t="shared" si="25"/>
        <v>6150835354</v>
      </c>
      <c r="W180" s="2" t="s">
        <v>615</v>
      </c>
      <c r="X180" s="2" t="str">
        <f t="shared" si="26"/>
        <v>Duplicate</v>
      </c>
    </row>
    <row r="181" spans="1:24" x14ac:dyDescent="0.35">
      <c r="A181" s="2" t="s">
        <v>1612</v>
      </c>
      <c r="B181" s="2" t="s">
        <v>1613</v>
      </c>
      <c r="C181" s="2"/>
      <c r="D181" s="2"/>
      <c r="E181" s="2" t="s">
        <v>1483</v>
      </c>
      <c r="F181" s="2" t="s">
        <v>1614</v>
      </c>
      <c r="G181" s="15" t="s">
        <v>1485</v>
      </c>
      <c r="H181" s="2" t="s">
        <v>1486</v>
      </c>
      <c r="I181" s="2" t="s">
        <v>130</v>
      </c>
      <c r="J181" s="2" t="s">
        <v>204</v>
      </c>
      <c r="K181" s="2" t="s">
        <v>142</v>
      </c>
      <c r="L181" s="2" t="s">
        <v>1615</v>
      </c>
      <c r="M181" s="2" t="str">
        <f>IF(TRIM(C181)="","Missing",IF(AND(LEN(TRIM(C181))=10,SUMPRODUCT(--(CODE(MID(TRIM(C181),{1,2,3,4,5,10},1))&gt;=65),--(CODE(MID(TRIM(C181),{1,2,3,4,5,10},1))&lt;=90))=6,ISNUMBER(--MID(TRIM(C181),6,4))),"Valid","Invalid"))</f>
        <v>Missing</v>
      </c>
      <c r="N181" s="2" t="str">
        <f t="shared" si="18"/>
        <v>Missing</v>
      </c>
      <c r="O181" s="2" t="str">
        <f t="shared" si="19"/>
        <v>Valid</v>
      </c>
      <c r="P181" s="2" t="str">
        <f t="shared" si="20"/>
        <v>Valid</v>
      </c>
      <c r="Q181" s="2" t="str">
        <f t="shared" si="21"/>
        <v>Valid</v>
      </c>
      <c r="R181" s="2" t="str">
        <f>IF(TRIM(H181)="","Missing",IF(AND(LEN(TRIM(H181))=11,SUMPRODUCT(--(CODE(MID(TRIM(H181),{1,2,3,4},1))&gt;=65),--(CODE(MID(TRIM(H181),{1,2,3,4},1))&lt;=90))=4,MID(TRIM(H181),5,1)="0"),"Valid","Invalid"))</f>
        <v>Valid</v>
      </c>
      <c r="S181" s="2" t="str">
        <f t="shared" si="22"/>
        <v>Valid</v>
      </c>
      <c r="T181" s="2" t="str">
        <f t="shared" si="23"/>
        <v>Invalid</v>
      </c>
      <c r="U181" s="2">
        <f t="shared" si="24"/>
        <v>3</v>
      </c>
      <c r="V181" s="2" t="str">
        <f t="shared" si="25"/>
        <v>918667652775</v>
      </c>
      <c r="W181" s="2" t="s">
        <v>1612</v>
      </c>
      <c r="X181" s="2" t="str">
        <f t="shared" si="26"/>
        <v>Unique</v>
      </c>
    </row>
    <row r="182" spans="1:24" x14ac:dyDescent="0.35">
      <c r="A182" s="2" t="s">
        <v>1616</v>
      </c>
      <c r="B182" s="2" t="s">
        <v>1617</v>
      </c>
      <c r="C182" s="2" t="s">
        <v>1618</v>
      </c>
      <c r="D182" s="2" t="s">
        <v>1619</v>
      </c>
      <c r="E182" s="2" t="s">
        <v>1620</v>
      </c>
      <c r="F182" s="2" t="s">
        <v>1621</v>
      </c>
      <c r="G182" s="15" t="s">
        <v>1622</v>
      </c>
      <c r="H182" s="2" t="s">
        <v>1623</v>
      </c>
      <c r="I182" s="2" t="s">
        <v>130</v>
      </c>
      <c r="J182" s="2" t="s">
        <v>359</v>
      </c>
      <c r="K182" s="2" t="s">
        <v>121</v>
      </c>
      <c r="L182" s="2" t="s">
        <v>1624</v>
      </c>
      <c r="M182" s="2" t="str">
        <f>IF(TRIM(C182)="","Missing",IF(AND(LEN(TRIM(C182))=10,SUMPRODUCT(--(CODE(MID(TRIM(C182),{1,2,3,4,5,10},1))&gt;=65),--(CODE(MID(TRIM(C182),{1,2,3,4,5,10},1))&lt;=90))=6,ISNUMBER(--MID(TRIM(C182),6,4))),"Valid","Invalid"))</f>
        <v>Valid</v>
      </c>
      <c r="N182" s="2" t="str">
        <f t="shared" si="18"/>
        <v>Valid</v>
      </c>
      <c r="O182" s="2" t="str">
        <f t="shared" si="19"/>
        <v>Valid</v>
      </c>
      <c r="P182" s="2" t="str">
        <f t="shared" si="20"/>
        <v>Valid</v>
      </c>
      <c r="Q182" s="2" t="str">
        <f t="shared" si="21"/>
        <v>Valid</v>
      </c>
      <c r="R182" s="2" t="str">
        <f>IF(TRIM(H182)="","Missing",IF(AND(LEN(TRIM(H182))=11,SUMPRODUCT(--(CODE(MID(TRIM(H182),{1,2,3,4},1))&gt;=65),--(CODE(MID(TRIM(H182),{1,2,3,4},1))&lt;=90))=4,MID(TRIM(H182),5,1)="0"),"Valid","Invalid"))</f>
        <v>Valid</v>
      </c>
      <c r="S182" s="2" t="str">
        <f t="shared" si="22"/>
        <v>Valid</v>
      </c>
      <c r="T182" s="2" t="str">
        <f t="shared" si="23"/>
        <v>Valid</v>
      </c>
      <c r="U182" s="2">
        <f t="shared" si="24"/>
        <v>0</v>
      </c>
      <c r="V182" s="2" t="str">
        <f t="shared" si="25"/>
        <v>916837645208</v>
      </c>
      <c r="W182" s="2" t="s">
        <v>1616</v>
      </c>
      <c r="X182" s="2" t="str">
        <f t="shared" si="26"/>
        <v>Unique</v>
      </c>
    </row>
    <row r="183" spans="1:24" x14ac:dyDescent="0.35">
      <c r="A183" s="2" t="s">
        <v>1625</v>
      </c>
      <c r="B183" s="2" t="s">
        <v>1626</v>
      </c>
      <c r="C183" s="2" t="s">
        <v>1627</v>
      </c>
      <c r="D183" s="2" t="s">
        <v>1628</v>
      </c>
      <c r="E183" s="2" t="s">
        <v>1629</v>
      </c>
      <c r="F183" s="2" t="s">
        <v>1630</v>
      </c>
      <c r="G183" s="15" t="s">
        <v>1631</v>
      </c>
      <c r="H183" s="2" t="s">
        <v>1632</v>
      </c>
      <c r="I183" s="2" t="s">
        <v>130</v>
      </c>
      <c r="J183" s="2" t="s">
        <v>204</v>
      </c>
      <c r="K183" s="2" t="s">
        <v>121</v>
      </c>
      <c r="L183" s="2" t="s">
        <v>1633</v>
      </c>
      <c r="M183" s="2" t="str">
        <f>IF(TRIM(C183)="","Missing",IF(AND(LEN(TRIM(C183))=10,SUMPRODUCT(--(CODE(MID(TRIM(C183),{1,2,3,4,5,10},1))&gt;=65),--(CODE(MID(TRIM(C183),{1,2,3,4,5,10},1))&lt;=90))=6,ISNUMBER(--MID(TRIM(C183),6,4))),"Valid","Invalid"))</f>
        <v>Valid</v>
      </c>
      <c r="N183" s="2" t="str">
        <f t="shared" si="18"/>
        <v>Valid</v>
      </c>
      <c r="O183" s="2" t="str">
        <f t="shared" si="19"/>
        <v>Valid</v>
      </c>
      <c r="P183" s="2" t="str">
        <f t="shared" si="20"/>
        <v>Valid</v>
      </c>
      <c r="Q183" s="2" t="str">
        <f t="shared" si="21"/>
        <v>Valid</v>
      </c>
      <c r="R183" s="2" t="str">
        <f>IF(TRIM(H183)="","Missing",IF(AND(LEN(TRIM(H183))=11,SUMPRODUCT(--(CODE(MID(TRIM(H183),{1,2,3,4},1))&gt;=65),--(CODE(MID(TRIM(H183),{1,2,3,4},1))&lt;=90))=4,MID(TRIM(H183),5,1)="0"),"Valid","Invalid"))</f>
        <v>Valid</v>
      </c>
      <c r="S183" s="2" t="str">
        <f t="shared" si="22"/>
        <v>Valid</v>
      </c>
      <c r="T183" s="2" t="str">
        <f t="shared" si="23"/>
        <v>Invalid</v>
      </c>
      <c r="U183" s="2">
        <f t="shared" si="24"/>
        <v>1</v>
      </c>
      <c r="V183" s="2" t="str">
        <f t="shared" si="25"/>
        <v>917735160917</v>
      </c>
      <c r="W183" s="2" t="s">
        <v>1625</v>
      </c>
      <c r="X183" s="2" t="str">
        <f t="shared" si="26"/>
        <v>Unique</v>
      </c>
    </row>
    <row r="184" spans="1:24" x14ac:dyDescent="0.35">
      <c r="A184" s="2" t="s">
        <v>1634</v>
      </c>
      <c r="B184" s="2" t="s">
        <v>1635</v>
      </c>
      <c r="C184" s="2" t="s">
        <v>1636</v>
      </c>
      <c r="D184" s="2" t="s">
        <v>1637</v>
      </c>
      <c r="E184" s="2" t="s">
        <v>1638</v>
      </c>
      <c r="F184" s="2" t="s">
        <v>1639</v>
      </c>
      <c r="G184" s="15" t="s">
        <v>1640</v>
      </c>
      <c r="H184" s="2" t="s">
        <v>1641</v>
      </c>
      <c r="I184" s="2" t="s">
        <v>119</v>
      </c>
      <c r="J184" s="2" t="s">
        <v>253</v>
      </c>
      <c r="K184" s="2" t="s">
        <v>121</v>
      </c>
      <c r="L184" s="2" t="s">
        <v>1642</v>
      </c>
      <c r="M184" s="2" t="str">
        <f>IF(TRIM(C184)="","Missing",IF(AND(LEN(TRIM(C184))=10,SUMPRODUCT(--(CODE(MID(TRIM(C184),{1,2,3,4,5,10},1))&gt;=65),--(CODE(MID(TRIM(C184),{1,2,3,4,5,10},1))&lt;=90))=6,ISNUMBER(--MID(TRIM(C184),6,4))),"Valid","Invalid"))</f>
        <v>Valid</v>
      </c>
      <c r="N184" s="2" t="str">
        <f t="shared" si="18"/>
        <v>Valid</v>
      </c>
      <c r="O184" s="2" t="str">
        <f t="shared" si="19"/>
        <v>Valid</v>
      </c>
      <c r="P184" s="2" t="str">
        <f t="shared" si="20"/>
        <v>Valid</v>
      </c>
      <c r="Q184" s="2" t="str">
        <f t="shared" si="21"/>
        <v>Valid</v>
      </c>
      <c r="R184" s="2" t="str">
        <f>IF(TRIM(H184)="","Missing",IF(AND(LEN(TRIM(H184))=11,SUMPRODUCT(--(CODE(MID(TRIM(H184),{1,2,3,4},1))&gt;=65),--(CODE(MID(TRIM(H184),{1,2,3,4},1))&lt;=90))=4,MID(TRIM(H184),5,1)="0"),"Valid","Invalid"))</f>
        <v>Valid</v>
      </c>
      <c r="S184" s="2" t="str">
        <f t="shared" si="22"/>
        <v>Invalid</v>
      </c>
      <c r="T184" s="2" t="str">
        <f t="shared" si="23"/>
        <v>Invalid</v>
      </c>
      <c r="U184" s="2">
        <f t="shared" si="24"/>
        <v>2</v>
      </c>
      <c r="V184" s="2" t="str">
        <f t="shared" si="25"/>
        <v>916260422325</v>
      </c>
      <c r="W184" s="2" t="s">
        <v>1634</v>
      </c>
      <c r="X184" s="2" t="str">
        <f t="shared" si="26"/>
        <v>Unique</v>
      </c>
    </row>
    <row r="185" spans="1:24" x14ac:dyDescent="0.35">
      <c r="A185" s="2" t="s">
        <v>1643</v>
      </c>
      <c r="B185" s="2" t="s">
        <v>1644</v>
      </c>
      <c r="C185" s="2" t="s">
        <v>1645</v>
      </c>
      <c r="D185" s="2" t="s">
        <v>1646</v>
      </c>
      <c r="E185" s="2" t="s">
        <v>1647</v>
      </c>
      <c r="F185" s="2" t="s">
        <v>1648</v>
      </c>
      <c r="G185" s="15" t="s">
        <v>1649</v>
      </c>
      <c r="H185" s="2" t="s">
        <v>1650</v>
      </c>
      <c r="I185" s="2" t="s">
        <v>130</v>
      </c>
      <c r="J185" s="2" t="s">
        <v>253</v>
      </c>
      <c r="K185" s="2" t="s">
        <v>121</v>
      </c>
      <c r="L185" s="2" t="s">
        <v>1651</v>
      </c>
      <c r="M185" s="2" t="str">
        <f>IF(TRIM(C185)="","Missing",IF(AND(LEN(TRIM(C185))=10,SUMPRODUCT(--(CODE(MID(TRIM(C185),{1,2,3,4,5,10},1))&gt;=65),--(CODE(MID(TRIM(C185),{1,2,3,4,5,10},1))&lt;=90))=6,ISNUMBER(--MID(TRIM(C185),6,4))),"Valid","Invalid"))</f>
        <v>Valid</v>
      </c>
      <c r="N185" s="2" t="str">
        <f t="shared" si="18"/>
        <v>Valid</v>
      </c>
      <c r="O185" s="2" t="str">
        <f t="shared" si="19"/>
        <v>Valid</v>
      </c>
      <c r="P185" s="2" t="str">
        <f t="shared" si="20"/>
        <v>Valid</v>
      </c>
      <c r="Q185" s="2" t="str">
        <f t="shared" si="21"/>
        <v>Valid</v>
      </c>
      <c r="R185" s="2" t="str">
        <f>IF(TRIM(H185)="","Missing",IF(AND(LEN(TRIM(H185))=11,SUMPRODUCT(--(CODE(MID(TRIM(H185),{1,2,3,4},1))&gt;=65),--(CODE(MID(TRIM(H185),{1,2,3,4},1))&lt;=90))=4,MID(TRIM(H185),5,1)="0"),"Valid","Invalid"))</f>
        <v>Invalid</v>
      </c>
      <c r="S185" s="2" t="str">
        <f t="shared" si="22"/>
        <v>Valid</v>
      </c>
      <c r="T185" s="2" t="str">
        <f t="shared" si="23"/>
        <v>Invalid</v>
      </c>
      <c r="U185" s="2">
        <f t="shared" si="24"/>
        <v>2</v>
      </c>
      <c r="V185" s="2" t="str">
        <f t="shared" si="25"/>
        <v>916465911665</v>
      </c>
      <c r="W185" s="2" t="s">
        <v>1643</v>
      </c>
      <c r="X185" s="2" t="str">
        <f t="shared" si="26"/>
        <v>Unique</v>
      </c>
    </row>
    <row r="186" spans="1:24" x14ac:dyDescent="0.35">
      <c r="A186" s="2" t="s">
        <v>1652</v>
      </c>
      <c r="B186" s="2" t="s">
        <v>1653</v>
      </c>
      <c r="C186" s="2" t="s">
        <v>1334</v>
      </c>
      <c r="D186" s="2" t="s">
        <v>1654</v>
      </c>
      <c r="E186" s="2" t="s">
        <v>1336</v>
      </c>
      <c r="F186" s="2" t="s">
        <v>1655</v>
      </c>
      <c r="G186" s="15" t="s">
        <v>1338</v>
      </c>
      <c r="H186" s="2" t="s">
        <v>1339</v>
      </c>
      <c r="I186" s="2" t="s">
        <v>119</v>
      </c>
      <c r="J186" s="2" t="s">
        <v>194</v>
      </c>
      <c r="K186" s="2" t="s">
        <v>142</v>
      </c>
      <c r="L186" s="2" t="s">
        <v>1656</v>
      </c>
      <c r="M186" s="2" t="str">
        <f>IF(TRIM(C186)="","Missing",IF(AND(LEN(TRIM(C186))=10,SUMPRODUCT(--(CODE(MID(TRIM(C186),{1,2,3,4,5,10},1))&gt;=65),--(CODE(MID(TRIM(C186),{1,2,3,4,5,10},1))&lt;=90))=6,ISNUMBER(--MID(TRIM(C186),6,4))),"Valid","Invalid"))</f>
        <v>Valid</v>
      </c>
      <c r="N186" s="2" t="str">
        <f t="shared" si="18"/>
        <v>PAN Mismatch</v>
      </c>
      <c r="O186" s="2" t="str">
        <f t="shared" si="19"/>
        <v>Valid</v>
      </c>
      <c r="P186" s="2" t="str">
        <f t="shared" si="20"/>
        <v>Valid</v>
      </c>
      <c r="Q186" s="2" t="str">
        <f t="shared" si="21"/>
        <v>Valid</v>
      </c>
      <c r="R186" s="2" t="str">
        <f>IF(TRIM(H186)="","Missing",IF(AND(LEN(TRIM(H186))=11,SUMPRODUCT(--(CODE(MID(TRIM(H186),{1,2,3,4},1))&gt;=65),--(CODE(MID(TRIM(H186),{1,2,3,4},1))&lt;=90))=4,MID(TRIM(H186),5,1)="0"),"Valid","Invalid"))</f>
        <v>Valid</v>
      </c>
      <c r="S186" s="2" t="str">
        <f t="shared" si="22"/>
        <v>Invalid</v>
      </c>
      <c r="T186" s="2" t="str">
        <f t="shared" si="23"/>
        <v>Invalid</v>
      </c>
      <c r="U186" s="2">
        <f t="shared" si="24"/>
        <v>3</v>
      </c>
      <c r="V186" s="2" t="str">
        <f t="shared" si="25"/>
        <v>918896908357</v>
      </c>
      <c r="W186" s="2" t="s">
        <v>1332</v>
      </c>
      <c r="X186" s="2" t="str">
        <f t="shared" si="26"/>
        <v>Duplicate</v>
      </c>
    </row>
    <row r="187" spans="1:24" x14ac:dyDescent="0.35">
      <c r="A187" s="2" t="s">
        <v>1657</v>
      </c>
      <c r="B187" s="2" t="s">
        <v>1658</v>
      </c>
      <c r="C187" s="2" t="s">
        <v>1659</v>
      </c>
      <c r="D187" s="2" t="s">
        <v>1660</v>
      </c>
      <c r="E187" s="2" t="s">
        <v>1661</v>
      </c>
      <c r="F187" s="2" t="s">
        <v>1662</v>
      </c>
      <c r="G187" s="15" t="s">
        <v>1663</v>
      </c>
      <c r="H187" s="2" t="s">
        <v>1664</v>
      </c>
      <c r="I187" s="2" t="s">
        <v>130</v>
      </c>
      <c r="J187" s="2" t="s">
        <v>270</v>
      </c>
      <c r="K187" s="2" t="s">
        <v>121</v>
      </c>
      <c r="L187" s="2" t="s">
        <v>1665</v>
      </c>
      <c r="M187" s="2" t="str">
        <f>IF(TRIM(C187)="","Missing",IF(AND(LEN(TRIM(C187))=10,SUMPRODUCT(--(CODE(MID(TRIM(C187),{1,2,3,4,5,10},1))&gt;=65),--(CODE(MID(TRIM(C187),{1,2,3,4,5,10},1))&lt;=90))=6,ISNUMBER(--MID(TRIM(C187),6,4))),"Valid","Invalid"))</f>
        <v>Valid</v>
      </c>
      <c r="N187" s="2" t="str">
        <f t="shared" si="18"/>
        <v>Valid</v>
      </c>
      <c r="O187" s="2" t="str">
        <f t="shared" si="19"/>
        <v>Valid</v>
      </c>
      <c r="P187" s="2" t="str">
        <f t="shared" si="20"/>
        <v>Valid</v>
      </c>
      <c r="Q187" s="2" t="str">
        <f t="shared" si="21"/>
        <v>Valid</v>
      </c>
      <c r="R187" s="2" t="str">
        <f>IF(TRIM(H187)="","Missing",IF(AND(LEN(TRIM(H187))=11,SUMPRODUCT(--(CODE(MID(TRIM(H187),{1,2,3,4},1))&gt;=65),--(CODE(MID(TRIM(H187),{1,2,3,4},1))&lt;=90))=4,MID(TRIM(H187),5,1)="0"),"Valid","Invalid"))</f>
        <v>Valid</v>
      </c>
      <c r="S187" s="2" t="str">
        <f t="shared" si="22"/>
        <v>Valid</v>
      </c>
      <c r="T187" s="2" t="str">
        <f t="shared" si="23"/>
        <v>Invalid</v>
      </c>
      <c r="U187" s="2">
        <f t="shared" si="24"/>
        <v>1</v>
      </c>
      <c r="V187" s="2" t="str">
        <f t="shared" si="25"/>
        <v>8545892975</v>
      </c>
      <c r="W187" s="2" t="s">
        <v>1657</v>
      </c>
      <c r="X187" s="2" t="str">
        <f t="shared" si="26"/>
        <v>Unique</v>
      </c>
    </row>
    <row r="188" spans="1:24" x14ac:dyDescent="0.35">
      <c r="A188" s="2" t="s">
        <v>1666</v>
      </c>
      <c r="B188" s="2" t="s">
        <v>1667</v>
      </c>
      <c r="C188" s="2" t="s">
        <v>1668</v>
      </c>
      <c r="D188" s="2" t="s">
        <v>1669</v>
      </c>
      <c r="E188" s="2" t="s">
        <v>1670</v>
      </c>
      <c r="F188" s="2" t="s">
        <v>1671</v>
      </c>
      <c r="G188" s="15" t="s">
        <v>1672</v>
      </c>
      <c r="H188" s="2" t="s">
        <v>1673</v>
      </c>
      <c r="I188" s="2" t="s">
        <v>130</v>
      </c>
      <c r="J188" s="2" t="s">
        <v>270</v>
      </c>
      <c r="K188" s="2" t="s">
        <v>121</v>
      </c>
      <c r="L188" s="2" t="s">
        <v>1674</v>
      </c>
      <c r="M188" s="2" t="str">
        <f>IF(TRIM(C188)="","Missing",IF(AND(LEN(TRIM(C188))=10,SUMPRODUCT(--(CODE(MID(TRIM(C188),{1,2,3,4,5,10},1))&gt;=65),--(CODE(MID(TRIM(C188),{1,2,3,4,5,10},1))&lt;=90))=6,ISNUMBER(--MID(TRIM(C188),6,4))),"Valid","Invalid"))</f>
        <v>Valid</v>
      </c>
      <c r="N188" s="2" t="str">
        <f t="shared" si="18"/>
        <v>Valid</v>
      </c>
      <c r="O188" s="2" t="str">
        <f t="shared" si="19"/>
        <v>Valid</v>
      </c>
      <c r="P188" s="2" t="str">
        <f t="shared" si="20"/>
        <v>Valid</v>
      </c>
      <c r="Q188" s="2" t="str">
        <f t="shared" si="21"/>
        <v>Valid</v>
      </c>
      <c r="R188" s="2" t="str">
        <f>IF(TRIM(H188)="","Missing",IF(AND(LEN(TRIM(H188))=11,SUMPRODUCT(--(CODE(MID(TRIM(H188),{1,2,3,4},1))&gt;=65),--(CODE(MID(TRIM(H188),{1,2,3,4},1))&lt;=90))=4,MID(TRIM(H188),5,1)="0"),"Valid","Invalid"))</f>
        <v>Valid</v>
      </c>
      <c r="S188" s="2" t="str">
        <f t="shared" si="22"/>
        <v>Valid</v>
      </c>
      <c r="T188" s="2" t="str">
        <f t="shared" si="23"/>
        <v>Invalid</v>
      </c>
      <c r="U188" s="2">
        <f t="shared" si="24"/>
        <v>1</v>
      </c>
      <c r="V188" s="2" t="str">
        <f t="shared" si="25"/>
        <v>9013290227</v>
      </c>
      <c r="W188" s="2" t="s">
        <v>1666</v>
      </c>
      <c r="X188" s="2" t="str">
        <f t="shared" si="26"/>
        <v>Unique</v>
      </c>
    </row>
    <row r="189" spans="1:24" x14ac:dyDescent="0.35">
      <c r="A189" s="2" t="s">
        <v>1675</v>
      </c>
      <c r="B189" s="2" t="s">
        <v>1676</v>
      </c>
      <c r="C189" s="2" t="s">
        <v>1677</v>
      </c>
      <c r="D189" s="2" t="s">
        <v>1678</v>
      </c>
      <c r="E189" s="2" t="s">
        <v>1679</v>
      </c>
      <c r="F189" s="2" t="s">
        <v>1680</v>
      </c>
      <c r="G189" s="15" t="s">
        <v>1681</v>
      </c>
      <c r="H189" s="2" t="s">
        <v>1682</v>
      </c>
      <c r="I189" s="2" t="s">
        <v>130</v>
      </c>
      <c r="J189" s="2" t="s">
        <v>131</v>
      </c>
      <c r="K189" s="2" t="s">
        <v>121</v>
      </c>
      <c r="L189" s="2" t="s">
        <v>1683</v>
      </c>
      <c r="M189" s="2" t="str">
        <f>IF(TRIM(C189)="","Missing",IF(AND(LEN(TRIM(C189))=10,SUMPRODUCT(--(CODE(MID(TRIM(C189),{1,2,3,4,5,10},1))&gt;=65),--(CODE(MID(TRIM(C189),{1,2,3,4,5,10},1))&lt;=90))=6,ISNUMBER(--MID(TRIM(C189),6,4))),"Valid","Invalid"))</f>
        <v>Valid</v>
      </c>
      <c r="N189" s="2" t="str">
        <f t="shared" si="18"/>
        <v>Invalid</v>
      </c>
      <c r="O189" s="2" t="str">
        <f t="shared" si="19"/>
        <v>Valid</v>
      </c>
      <c r="P189" s="2" t="str">
        <f t="shared" si="20"/>
        <v>Valid</v>
      </c>
      <c r="Q189" s="2" t="str">
        <f t="shared" si="21"/>
        <v>Valid</v>
      </c>
      <c r="R189" s="2" t="str">
        <f>IF(TRIM(H189)="","Missing",IF(AND(LEN(TRIM(H189))=11,SUMPRODUCT(--(CODE(MID(TRIM(H189),{1,2,3,4},1))&gt;=65),--(CODE(MID(TRIM(H189),{1,2,3,4},1))&lt;=90))=4,MID(TRIM(H189),5,1)="0"),"Valid","Invalid"))</f>
        <v>Valid</v>
      </c>
      <c r="S189" s="2" t="str">
        <f t="shared" si="22"/>
        <v>Valid</v>
      </c>
      <c r="T189" s="2" t="str">
        <f t="shared" si="23"/>
        <v>Invalid</v>
      </c>
      <c r="U189" s="2">
        <f t="shared" si="24"/>
        <v>2</v>
      </c>
      <c r="V189" s="2" t="str">
        <f t="shared" si="25"/>
        <v>6873753001</v>
      </c>
      <c r="W189" s="2" t="s">
        <v>1675</v>
      </c>
      <c r="X189" s="2" t="str">
        <f t="shared" si="26"/>
        <v>Unique</v>
      </c>
    </row>
    <row r="190" spans="1:24" x14ac:dyDescent="0.35">
      <c r="A190" s="2" t="s">
        <v>1684</v>
      </c>
      <c r="B190" s="2" t="s">
        <v>1685</v>
      </c>
      <c r="C190" s="2" t="s">
        <v>576</v>
      </c>
      <c r="D190" s="2"/>
      <c r="E190" s="2" t="s">
        <v>578</v>
      </c>
      <c r="F190" s="2" t="s">
        <v>1686</v>
      </c>
      <c r="G190" s="15" t="s">
        <v>580</v>
      </c>
      <c r="H190" s="2"/>
      <c r="I190" s="2" t="s">
        <v>130</v>
      </c>
      <c r="J190" s="2" t="s">
        <v>204</v>
      </c>
      <c r="K190" s="2" t="s">
        <v>121</v>
      </c>
      <c r="L190" s="2" t="s">
        <v>1687</v>
      </c>
      <c r="M190" s="2" t="str">
        <f>IF(TRIM(C190)="","Missing",IF(AND(LEN(TRIM(C190))=10,SUMPRODUCT(--(CODE(MID(TRIM(C190),{1,2,3,4,5,10},1))&gt;=65),--(CODE(MID(TRIM(C190),{1,2,3,4,5,10},1))&lt;=90))=6,ISNUMBER(--MID(TRIM(C190),6,4))),"Valid","Invalid"))</f>
        <v>Valid</v>
      </c>
      <c r="N190" s="2" t="str">
        <f t="shared" si="18"/>
        <v>Missing</v>
      </c>
      <c r="O190" s="2" t="str">
        <f t="shared" si="19"/>
        <v>Valid</v>
      </c>
      <c r="P190" s="2" t="str">
        <f t="shared" si="20"/>
        <v>Valid</v>
      </c>
      <c r="Q190" s="2" t="str">
        <f t="shared" si="21"/>
        <v>Valid</v>
      </c>
      <c r="R190" s="2" t="str">
        <f>IF(TRIM(H190)="","Missing",IF(AND(LEN(TRIM(H190))=11,SUMPRODUCT(--(CODE(MID(TRIM(H190),{1,2,3,4},1))&gt;=65),--(CODE(MID(TRIM(H190),{1,2,3,4},1))&lt;=90))=4,MID(TRIM(H190),5,1)="0"),"Valid","Invalid"))</f>
        <v>Missing</v>
      </c>
      <c r="S190" s="2" t="str">
        <f t="shared" si="22"/>
        <v>Valid</v>
      </c>
      <c r="T190" s="2" t="str">
        <f t="shared" si="23"/>
        <v>Invalid</v>
      </c>
      <c r="U190" s="2">
        <f t="shared" si="24"/>
        <v>3</v>
      </c>
      <c r="V190" s="2" t="str">
        <f t="shared" si="25"/>
        <v>8051531952</v>
      </c>
      <c r="W190" s="2" t="s">
        <v>574</v>
      </c>
      <c r="X190" s="2" t="str">
        <f t="shared" si="26"/>
        <v>Duplicate</v>
      </c>
    </row>
    <row r="191" spans="1:24" x14ac:dyDescent="0.35">
      <c r="A191" s="2" t="s">
        <v>1688</v>
      </c>
      <c r="B191" s="2" t="s">
        <v>1689</v>
      </c>
      <c r="C191" s="2" t="s">
        <v>1690</v>
      </c>
      <c r="D191" s="2" t="s">
        <v>1691</v>
      </c>
      <c r="E191" s="2" t="s">
        <v>1692</v>
      </c>
      <c r="F191" s="2" t="s">
        <v>1693</v>
      </c>
      <c r="G191" s="15" t="s">
        <v>1694</v>
      </c>
      <c r="H191" s="2" t="s">
        <v>1695</v>
      </c>
      <c r="I191" s="2" t="s">
        <v>130</v>
      </c>
      <c r="J191" s="2" t="s">
        <v>141</v>
      </c>
      <c r="K191" s="2" t="s">
        <v>121</v>
      </c>
      <c r="L191" s="2" t="s">
        <v>675</v>
      </c>
      <c r="M191" s="2" t="str">
        <f>IF(TRIM(C191)="","Missing",IF(AND(LEN(TRIM(C191))=10,SUMPRODUCT(--(CODE(MID(TRIM(C191),{1,2,3,4,5,10},1))&gt;=65),--(CODE(MID(TRIM(C191),{1,2,3,4,5,10},1))&lt;=90))=6,ISNUMBER(--MID(TRIM(C191),6,4))),"Valid","Invalid"))</f>
        <v>Valid</v>
      </c>
      <c r="N191" s="2" t="str">
        <f t="shared" si="18"/>
        <v>Valid</v>
      </c>
      <c r="O191" s="2" t="str">
        <f t="shared" si="19"/>
        <v>Valid</v>
      </c>
      <c r="P191" s="2" t="str">
        <f t="shared" si="20"/>
        <v>Valid</v>
      </c>
      <c r="Q191" s="2" t="str">
        <f t="shared" si="21"/>
        <v>Valid</v>
      </c>
      <c r="R191" s="2" t="str">
        <f>IF(TRIM(H191)="","Missing",IF(AND(LEN(TRIM(H191))=11,SUMPRODUCT(--(CODE(MID(TRIM(H191),{1,2,3,4},1))&gt;=65),--(CODE(MID(TRIM(H191),{1,2,3,4},1))&lt;=90))=4,MID(TRIM(H191),5,1)="0"),"Valid","Invalid"))</f>
        <v>Valid</v>
      </c>
      <c r="S191" s="2" t="str">
        <f t="shared" si="22"/>
        <v>Valid</v>
      </c>
      <c r="T191" s="2" t="str">
        <f t="shared" si="23"/>
        <v>Valid</v>
      </c>
      <c r="U191" s="2">
        <f t="shared" si="24"/>
        <v>0</v>
      </c>
      <c r="V191" s="2" t="str">
        <f t="shared" si="25"/>
        <v>919493085368</v>
      </c>
      <c r="W191" s="2" t="s">
        <v>1688</v>
      </c>
      <c r="X191" s="2" t="str">
        <f t="shared" si="26"/>
        <v>Unique</v>
      </c>
    </row>
    <row r="192" spans="1:24" x14ac:dyDescent="0.35">
      <c r="A192" s="2" t="s">
        <v>1696</v>
      </c>
      <c r="B192" s="2" t="s">
        <v>1697</v>
      </c>
      <c r="C192" s="2"/>
      <c r="D192" s="2"/>
      <c r="E192" s="2" t="s">
        <v>1698</v>
      </c>
      <c r="F192" s="2" t="s">
        <v>1699</v>
      </c>
      <c r="G192" s="15" t="s">
        <v>1083</v>
      </c>
      <c r="H192" s="2" t="s">
        <v>1084</v>
      </c>
      <c r="I192" s="2" t="s">
        <v>130</v>
      </c>
      <c r="J192" s="2" t="s">
        <v>359</v>
      </c>
      <c r="K192" s="2" t="s">
        <v>121</v>
      </c>
      <c r="L192" s="2" t="s">
        <v>1700</v>
      </c>
      <c r="M192" s="2" t="str">
        <f>IF(TRIM(C192)="","Missing",IF(AND(LEN(TRIM(C192))=10,SUMPRODUCT(--(CODE(MID(TRIM(C192),{1,2,3,4,5,10},1))&gt;=65),--(CODE(MID(TRIM(C192),{1,2,3,4,5,10},1))&lt;=90))=6,ISNUMBER(--MID(TRIM(C192),6,4))),"Valid","Invalid"))</f>
        <v>Missing</v>
      </c>
      <c r="N192" s="2" t="str">
        <f t="shared" si="18"/>
        <v>Missing</v>
      </c>
      <c r="O192" s="2" t="str">
        <f t="shared" si="19"/>
        <v>Valid</v>
      </c>
      <c r="P192" s="2" t="str">
        <f t="shared" si="20"/>
        <v>Valid</v>
      </c>
      <c r="Q192" s="2" t="str">
        <f t="shared" si="21"/>
        <v>Valid</v>
      </c>
      <c r="R192" s="2" t="str">
        <f>IF(TRIM(H192)="","Missing",IF(AND(LEN(TRIM(H192))=11,SUMPRODUCT(--(CODE(MID(TRIM(H192),{1,2,3,4},1))&gt;=65),--(CODE(MID(TRIM(H192),{1,2,3,4},1))&lt;=90))=4,MID(TRIM(H192),5,1)="0"),"Valid","Invalid"))</f>
        <v>Valid</v>
      </c>
      <c r="S192" s="2" t="str">
        <f t="shared" si="22"/>
        <v>Valid</v>
      </c>
      <c r="T192" s="2" t="str">
        <f t="shared" si="23"/>
        <v>Valid</v>
      </c>
      <c r="U192" s="2">
        <f t="shared" si="24"/>
        <v>2</v>
      </c>
      <c r="V192" s="2" t="str">
        <f t="shared" si="25"/>
        <v>918787300244</v>
      </c>
      <c r="W192" s="2" t="s">
        <v>1696</v>
      </c>
      <c r="X192" s="2" t="str">
        <f t="shared" si="26"/>
        <v>Unique</v>
      </c>
    </row>
    <row r="193" spans="1:24" x14ac:dyDescent="0.35">
      <c r="A193" s="2" t="s">
        <v>1701</v>
      </c>
      <c r="B193" s="2" t="s">
        <v>1702</v>
      </c>
      <c r="C193" s="2" t="s">
        <v>1703</v>
      </c>
      <c r="D193" s="2" t="s">
        <v>1704</v>
      </c>
      <c r="E193" s="2" t="s">
        <v>1705</v>
      </c>
      <c r="F193" s="2" t="s">
        <v>1706</v>
      </c>
      <c r="G193" s="15" t="s">
        <v>1707</v>
      </c>
      <c r="H193" s="2" t="s">
        <v>1708</v>
      </c>
      <c r="I193" s="2" t="s">
        <v>130</v>
      </c>
      <c r="J193" s="2" t="s">
        <v>563</v>
      </c>
      <c r="K193" s="2" t="s">
        <v>121</v>
      </c>
      <c r="L193" s="2" t="s">
        <v>1709</v>
      </c>
      <c r="M193" s="2" t="str">
        <f>IF(TRIM(C193)="","Missing",IF(AND(LEN(TRIM(C193))=10,SUMPRODUCT(--(CODE(MID(TRIM(C193),{1,2,3,4,5,10},1))&gt;=65),--(CODE(MID(TRIM(C193),{1,2,3,4,5,10},1))&lt;=90))=6,ISNUMBER(--MID(TRIM(C193),6,4))),"Valid","Invalid"))</f>
        <v>Valid</v>
      </c>
      <c r="N193" s="2" t="str">
        <f t="shared" si="18"/>
        <v>Invalid</v>
      </c>
      <c r="O193" s="2" t="str">
        <f t="shared" si="19"/>
        <v>Valid</v>
      </c>
      <c r="P193" s="2" t="str">
        <f t="shared" si="20"/>
        <v>Valid</v>
      </c>
      <c r="Q193" s="2" t="str">
        <f t="shared" si="21"/>
        <v>Valid</v>
      </c>
      <c r="R193" s="2" t="str">
        <f>IF(TRIM(H193)="","Missing",IF(AND(LEN(TRIM(H193))=11,SUMPRODUCT(--(CODE(MID(TRIM(H193),{1,2,3,4},1))&gt;=65),--(CODE(MID(TRIM(H193),{1,2,3,4},1))&lt;=90))=4,MID(TRIM(H193),5,1)="0"),"Valid","Invalid"))</f>
        <v>Valid</v>
      </c>
      <c r="S193" s="2" t="str">
        <f t="shared" si="22"/>
        <v>Valid</v>
      </c>
      <c r="T193" s="2" t="str">
        <f t="shared" si="23"/>
        <v>Invalid</v>
      </c>
      <c r="U193" s="2">
        <f t="shared" si="24"/>
        <v>2</v>
      </c>
      <c r="V193" s="2" t="str">
        <f t="shared" si="25"/>
        <v>6377028519</v>
      </c>
      <c r="W193" s="2" t="s">
        <v>1701</v>
      </c>
      <c r="X193" s="2" t="str">
        <f t="shared" si="26"/>
        <v>Unique</v>
      </c>
    </row>
    <row r="194" spans="1:24" x14ac:dyDescent="0.35">
      <c r="A194" s="2" t="s">
        <v>1710</v>
      </c>
      <c r="B194" s="2" t="s">
        <v>1711</v>
      </c>
      <c r="C194" s="2" t="s">
        <v>1712</v>
      </c>
      <c r="D194" s="2" t="s">
        <v>1713</v>
      </c>
      <c r="E194" s="2" t="s">
        <v>1714</v>
      </c>
      <c r="F194" s="2" t="s">
        <v>1715</v>
      </c>
      <c r="G194" s="15" t="s">
        <v>1716</v>
      </c>
      <c r="H194" s="2" t="s">
        <v>1717</v>
      </c>
      <c r="I194" s="2" t="s">
        <v>130</v>
      </c>
      <c r="J194" s="2" t="s">
        <v>289</v>
      </c>
      <c r="K194" s="2" t="s">
        <v>121</v>
      </c>
      <c r="L194" s="2" t="s">
        <v>1718</v>
      </c>
      <c r="M194" s="2" t="str">
        <f>IF(TRIM(C194)="","Missing",IF(AND(LEN(TRIM(C194))=10,SUMPRODUCT(--(CODE(MID(TRIM(C194),{1,2,3,4,5,10},1))&gt;=65),--(CODE(MID(TRIM(C194),{1,2,3,4,5,10},1))&lt;=90))=6,ISNUMBER(--MID(TRIM(C194),6,4))),"Valid","Invalid"))</f>
        <v>Valid</v>
      </c>
      <c r="N194" s="2" t="str">
        <f t="shared" ref="N194:N229" si="27">IF(TRIM(D194)="","Missing",IF(AND(LEN(TRIM(D194))=15,MID(TRIM(D194),14,1)="Z"),IF(AND(TRIM(C194)&lt;&gt;"",MID(TRIM(D194),3,10)=TRIM(C194)),"Valid","PAN Mismatch"),"Invalid"))</f>
        <v>Invalid</v>
      </c>
      <c r="O194" s="2" t="str">
        <f t="shared" ref="O194:O229" si="28">IF(TRIM(E194)="","Missing",IF(AND(ISNUMBER(FIND("@",E194)),ISERROR(FIND(" ",TRIM(E194))),IFERROR(FIND(".",E194,FIND("@",E194)),0)&gt;0),"Valid","Invalid"))</f>
        <v>Valid</v>
      </c>
      <c r="P194" s="2" t="str">
        <f t="shared" ref="P194:P229" si="29">IF(TRIM(F194)="","Missing",IFERROR(IF(AND(ISNUMBER(--V194),OR(LEN(V194)=10,AND(LEN(V194)=12,LEFT(V194,2)="91")),VALUE(LEFT(RIGHT(V194,10),1))&gt;=6),"Valid","Invalid"),"Invalid"))</f>
        <v>Valid</v>
      </c>
      <c r="Q194" s="2" t="str">
        <f t="shared" ref="Q194:Q229" si="30">IF(TRIM(G194)="","Missing",IFERROR(IF(AND(ISNUMBER(--TRIM(G194)),LEN(TRIM(G194))&gt;=9,LEN(TRIM(G194))&lt;=18,ISERROR(FIND(".",G194))),"Valid","Invalid"),"Invalid"))</f>
        <v>Valid</v>
      </c>
      <c r="R194" s="2" t="str">
        <f>IF(TRIM(H194)="","Missing",IF(AND(LEN(TRIM(H194))=11,SUMPRODUCT(--(CODE(MID(TRIM(H194),{1,2,3,4},1))&gt;=65),--(CODE(MID(TRIM(H194),{1,2,3,4},1))&lt;=90))=4,MID(TRIM(H194),5,1)="0"),"Valid","Invalid"))</f>
        <v>Valid</v>
      </c>
      <c r="S194" s="2" t="str">
        <f t="shared" ref="S194:S229" si="31">IF(TRIM(I194)="","Missing",IF(EXACT(TRIM(I194),"India"),"Valid","Invalid"))</f>
        <v>Valid</v>
      </c>
      <c r="T194" s="2" t="str">
        <f t="shared" ref="T194:T229" si="32">IF(TRIM(J194)="","Missing",IF(OR(EXACT(TRIM(J194),"Net 15"),EXACT(TRIM(J194),"Net 30"),EXACT(TRIM(J194),"Net 45"),EXACT(TRIM(J194),"Net 60")),"Valid","Invalid"))</f>
        <v>Invalid</v>
      </c>
      <c r="U194" s="2">
        <f t="shared" ref="U194:U257" si="33">COUNTIF(M194:T194,"&lt;&gt;Valid")</f>
        <v>2</v>
      </c>
      <c r="V194" s="2" t="str">
        <f t="shared" ref="V194:V229" si="34">SUBSTITUTE(SUBSTITUTE(SUBSTITUTE(F194," ",""),"-",""),"+","")</f>
        <v>7959391725</v>
      </c>
      <c r="W194" s="2" t="s">
        <v>1710</v>
      </c>
      <c r="X194" s="2" t="str">
        <f t="shared" ref="X194:X257" si="35">IF(COUNTIF($W$2:$W$229,W194)&gt;1,"Duplicate","Unique")</f>
        <v>Unique</v>
      </c>
    </row>
    <row r="195" spans="1:24" x14ac:dyDescent="0.35">
      <c r="A195" s="2" t="s">
        <v>1719</v>
      </c>
      <c r="B195" s="2" t="s">
        <v>1720</v>
      </c>
      <c r="C195" s="2" t="s">
        <v>1553</v>
      </c>
      <c r="D195" s="2"/>
      <c r="E195" s="2"/>
      <c r="F195" s="2" t="s">
        <v>1721</v>
      </c>
      <c r="G195" s="15" t="s">
        <v>1557</v>
      </c>
      <c r="H195" s="2" t="s">
        <v>1558</v>
      </c>
      <c r="I195" s="2" t="s">
        <v>130</v>
      </c>
      <c r="J195" s="2" t="s">
        <v>174</v>
      </c>
      <c r="K195" s="2" t="s">
        <v>121</v>
      </c>
      <c r="L195" s="2" t="s">
        <v>1722</v>
      </c>
      <c r="M195" s="2" t="str">
        <f>IF(TRIM(C195)="","Missing",IF(AND(LEN(TRIM(C195))=10,SUMPRODUCT(--(CODE(MID(TRIM(C195),{1,2,3,4,5,10},1))&gt;=65),--(CODE(MID(TRIM(C195),{1,2,3,4,5,10},1))&lt;=90))=6,ISNUMBER(--MID(TRIM(C195),6,4))),"Valid","Invalid"))</f>
        <v>Valid</v>
      </c>
      <c r="N195" s="2" t="str">
        <f t="shared" si="27"/>
        <v>Missing</v>
      </c>
      <c r="O195" s="2" t="str">
        <f t="shared" si="28"/>
        <v>Missing</v>
      </c>
      <c r="P195" s="2" t="str">
        <f t="shared" si="29"/>
        <v>Valid</v>
      </c>
      <c r="Q195" s="2" t="str">
        <f t="shared" si="30"/>
        <v>Valid</v>
      </c>
      <c r="R195" s="2" t="str">
        <f>IF(TRIM(H195)="","Missing",IF(AND(LEN(TRIM(H195))=11,SUMPRODUCT(--(CODE(MID(TRIM(H195),{1,2,3,4},1))&gt;=65),--(CODE(MID(TRIM(H195),{1,2,3,4},1))&lt;=90))=4,MID(TRIM(H195),5,1)="0"),"Valid","Invalid"))</f>
        <v>Valid</v>
      </c>
      <c r="S195" s="2" t="str">
        <f t="shared" si="31"/>
        <v>Valid</v>
      </c>
      <c r="T195" s="2" t="str">
        <f t="shared" si="32"/>
        <v>Valid</v>
      </c>
      <c r="U195" s="2">
        <f t="shared" si="33"/>
        <v>2</v>
      </c>
      <c r="V195" s="2" t="str">
        <f t="shared" si="34"/>
        <v>7499856984</v>
      </c>
      <c r="W195" s="2" t="s">
        <v>1551</v>
      </c>
      <c r="X195" s="2" t="str">
        <f t="shared" si="35"/>
        <v>Duplicate</v>
      </c>
    </row>
    <row r="196" spans="1:24" x14ac:dyDescent="0.35">
      <c r="A196" s="2" t="s">
        <v>1723</v>
      </c>
      <c r="B196" s="2" t="s">
        <v>1724</v>
      </c>
      <c r="C196" s="2" t="s">
        <v>1725</v>
      </c>
      <c r="D196" s="2" t="s">
        <v>1726</v>
      </c>
      <c r="E196" s="2" t="s">
        <v>1727</v>
      </c>
      <c r="F196" s="2" t="s">
        <v>1728</v>
      </c>
      <c r="G196" s="15" t="s">
        <v>1729</v>
      </c>
      <c r="H196" s="2" t="s">
        <v>1730</v>
      </c>
      <c r="I196" s="2" t="s">
        <v>130</v>
      </c>
      <c r="J196" s="2" t="s">
        <v>359</v>
      </c>
      <c r="K196" s="2" t="s">
        <v>142</v>
      </c>
      <c r="L196" s="2" t="s">
        <v>1731</v>
      </c>
      <c r="M196" s="2" t="str">
        <f>IF(TRIM(C196)="","Missing",IF(AND(LEN(TRIM(C196))=10,SUMPRODUCT(--(CODE(MID(TRIM(C196),{1,2,3,4,5,10},1))&gt;=65),--(CODE(MID(TRIM(C196),{1,2,3,4,5,10},1))&lt;=90))=6,ISNUMBER(--MID(TRIM(C196),6,4))),"Valid","Invalid"))</f>
        <v>Valid</v>
      </c>
      <c r="N196" s="2" t="str">
        <f t="shared" si="27"/>
        <v>Valid</v>
      </c>
      <c r="O196" s="2" t="str">
        <f t="shared" si="28"/>
        <v>Valid</v>
      </c>
      <c r="P196" s="2" t="str">
        <f t="shared" si="29"/>
        <v>Valid</v>
      </c>
      <c r="Q196" s="2" t="str">
        <f t="shared" si="30"/>
        <v>Valid</v>
      </c>
      <c r="R196" s="2" t="str">
        <f>IF(TRIM(H196)="","Missing",IF(AND(LEN(TRIM(H196))=11,SUMPRODUCT(--(CODE(MID(TRIM(H196),{1,2,3,4},1))&gt;=65),--(CODE(MID(TRIM(H196),{1,2,3,4},1))&lt;=90))=4,MID(TRIM(H196),5,1)="0"),"Valid","Invalid"))</f>
        <v>Valid</v>
      </c>
      <c r="S196" s="2" t="str">
        <f t="shared" si="31"/>
        <v>Valid</v>
      </c>
      <c r="T196" s="2" t="str">
        <f t="shared" si="32"/>
        <v>Valid</v>
      </c>
      <c r="U196" s="2">
        <f t="shared" si="33"/>
        <v>0</v>
      </c>
      <c r="V196" s="2" t="str">
        <f t="shared" si="34"/>
        <v>6020539502</v>
      </c>
      <c r="W196" s="2" t="s">
        <v>1723</v>
      </c>
      <c r="X196" s="2" t="str">
        <f t="shared" si="35"/>
        <v>Unique</v>
      </c>
    </row>
    <row r="197" spans="1:24" x14ac:dyDescent="0.35">
      <c r="A197" s="2" t="s">
        <v>1732</v>
      </c>
      <c r="B197" s="2" t="s">
        <v>1733</v>
      </c>
      <c r="C197" s="2" t="s">
        <v>1734</v>
      </c>
      <c r="D197" s="2" t="s">
        <v>1735</v>
      </c>
      <c r="E197" s="2" t="s">
        <v>1736</v>
      </c>
      <c r="F197" s="2" t="s">
        <v>1737</v>
      </c>
      <c r="G197" s="15" t="s">
        <v>1738</v>
      </c>
      <c r="H197" s="2" t="s">
        <v>1739</v>
      </c>
      <c r="I197" s="2" t="s">
        <v>242</v>
      </c>
      <c r="J197" s="2" t="s">
        <v>289</v>
      </c>
      <c r="K197" s="2" t="s">
        <v>121</v>
      </c>
      <c r="L197" s="2" t="s">
        <v>1740</v>
      </c>
      <c r="M197" s="2" t="str">
        <f>IF(TRIM(C197)="","Missing",IF(AND(LEN(TRIM(C197))=10,SUMPRODUCT(--(CODE(MID(TRIM(C197),{1,2,3,4,5,10},1))&gt;=65),--(CODE(MID(TRIM(C197),{1,2,3,4,5,10},1))&lt;=90))=6,ISNUMBER(--MID(TRIM(C197),6,4))),"Valid","Invalid"))</f>
        <v>Valid</v>
      </c>
      <c r="N197" s="2" t="str">
        <f t="shared" si="27"/>
        <v>Valid</v>
      </c>
      <c r="O197" s="2" t="str">
        <f t="shared" si="28"/>
        <v>Valid</v>
      </c>
      <c r="P197" s="2" t="str">
        <f t="shared" si="29"/>
        <v>Valid</v>
      </c>
      <c r="Q197" s="2" t="str">
        <f t="shared" si="30"/>
        <v>Valid</v>
      </c>
      <c r="R197" s="2" t="str">
        <f>IF(TRIM(H197)="","Missing",IF(AND(LEN(TRIM(H197))=11,SUMPRODUCT(--(CODE(MID(TRIM(H197),{1,2,3,4},1))&gt;=65),--(CODE(MID(TRIM(H197),{1,2,3,4},1))&lt;=90))=4,MID(TRIM(H197),5,1)="0"),"Valid","Invalid"))</f>
        <v>Valid</v>
      </c>
      <c r="S197" s="2" t="str">
        <f t="shared" si="31"/>
        <v>Invalid</v>
      </c>
      <c r="T197" s="2" t="str">
        <f t="shared" si="32"/>
        <v>Invalid</v>
      </c>
      <c r="U197" s="2">
        <f t="shared" si="33"/>
        <v>2</v>
      </c>
      <c r="V197" s="2" t="str">
        <f t="shared" si="34"/>
        <v>7970213556</v>
      </c>
      <c r="W197" s="2" t="s">
        <v>1732</v>
      </c>
      <c r="X197" s="2" t="str">
        <f t="shared" si="35"/>
        <v>Unique</v>
      </c>
    </row>
    <row r="198" spans="1:24" x14ac:dyDescent="0.35">
      <c r="A198" s="2" t="s">
        <v>1741</v>
      </c>
      <c r="B198" s="2" t="s">
        <v>1742</v>
      </c>
      <c r="C198" s="2" t="s">
        <v>1743</v>
      </c>
      <c r="D198" s="2" t="s">
        <v>1744</v>
      </c>
      <c r="E198" s="2" t="s">
        <v>1745</v>
      </c>
      <c r="F198" s="2" t="s">
        <v>1746</v>
      </c>
      <c r="G198" s="15" t="s">
        <v>1747</v>
      </c>
      <c r="H198" s="2" t="s">
        <v>1748</v>
      </c>
      <c r="I198" s="2" t="s">
        <v>130</v>
      </c>
      <c r="J198" s="2" t="s">
        <v>141</v>
      </c>
      <c r="K198" s="2" t="s">
        <v>121</v>
      </c>
      <c r="L198" s="2" t="s">
        <v>474</v>
      </c>
      <c r="M198" s="2" t="str">
        <f>IF(TRIM(C198)="","Missing",IF(AND(LEN(TRIM(C198))=10,SUMPRODUCT(--(CODE(MID(TRIM(C198),{1,2,3,4,5,10},1))&gt;=65),--(CODE(MID(TRIM(C198),{1,2,3,4,5,10},1))&lt;=90))=6,ISNUMBER(--MID(TRIM(C198),6,4))),"Valid","Invalid"))</f>
        <v>Valid</v>
      </c>
      <c r="N198" s="2" t="str">
        <f t="shared" si="27"/>
        <v>Valid</v>
      </c>
      <c r="O198" s="2" t="str">
        <f t="shared" si="28"/>
        <v>Valid</v>
      </c>
      <c r="P198" s="2" t="str">
        <f t="shared" si="29"/>
        <v>Valid</v>
      </c>
      <c r="Q198" s="2" t="str">
        <f t="shared" si="30"/>
        <v>Valid</v>
      </c>
      <c r="R198" s="2" t="str">
        <f>IF(TRIM(H198)="","Missing",IF(AND(LEN(TRIM(H198))=11,SUMPRODUCT(--(CODE(MID(TRIM(H198),{1,2,3,4},1))&gt;=65),--(CODE(MID(TRIM(H198),{1,2,3,4},1))&lt;=90))=4,MID(TRIM(H198),5,1)="0"),"Valid","Invalid"))</f>
        <v>Valid</v>
      </c>
      <c r="S198" s="2" t="str">
        <f t="shared" si="31"/>
        <v>Valid</v>
      </c>
      <c r="T198" s="2" t="str">
        <f t="shared" si="32"/>
        <v>Valid</v>
      </c>
      <c r="U198" s="2">
        <f t="shared" si="33"/>
        <v>0</v>
      </c>
      <c r="V198" s="2" t="str">
        <f t="shared" si="34"/>
        <v>8743553795</v>
      </c>
      <c r="W198" s="2" t="s">
        <v>1741</v>
      </c>
      <c r="X198" s="2" t="str">
        <f t="shared" si="35"/>
        <v>Unique</v>
      </c>
    </row>
    <row r="199" spans="1:24" x14ac:dyDescent="0.35">
      <c r="A199" s="2" t="s">
        <v>1749</v>
      </c>
      <c r="B199" s="2" t="s">
        <v>1750</v>
      </c>
      <c r="C199" s="2" t="s">
        <v>1751</v>
      </c>
      <c r="D199" s="2" t="s">
        <v>1752</v>
      </c>
      <c r="E199" s="2" t="s">
        <v>1753</v>
      </c>
      <c r="F199" s="2" t="s">
        <v>1754</v>
      </c>
      <c r="G199" s="15" t="s">
        <v>1755</v>
      </c>
      <c r="H199" s="2" t="s">
        <v>1756</v>
      </c>
      <c r="I199" s="2" t="s">
        <v>152</v>
      </c>
      <c r="J199" s="2" t="s">
        <v>174</v>
      </c>
      <c r="K199" s="2" t="s">
        <v>121</v>
      </c>
      <c r="L199" s="2" t="s">
        <v>1757</v>
      </c>
      <c r="M199" s="2" t="str">
        <f>IF(TRIM(C199)="","Missing",IF(AND(LEN(TRIM(C199))=10,SUMPRODUCT(--(CODE(MID(TRIM(C199),{1,2,3,4,5,10},1))&gt;=65),--(CODE(MID(TRIM(C199),{1,2,3,4,5,10},1))&lt;=90))=6,ISNUMBER(--MID(TRIM(C199),6,4))),"Valid","Invalid"))</f>
        <v>Valid</v>
      </c>
      <c r="N199" s="2" t="str">
        <f t="shared" si="27"/>
        <v>Valid</v>
      </c>
      <c r="O199" s="2" t="str">
        <f t="shared" si="28"/>
        <v>Valid</v>
      </c>
      <c r="P199" s="2" t="str">
        <f t="shared" si="29"/>
        <v>Valid</v>
      </c>
      <c r="Q199" s="2" t="str">
        <f t="shared" si="30"/>
        <v>Valid</v>
      </c>
      <c r="R199" s="2" t="str">
        <f>IF(TRIM(H199)="","Missing",IF(AND(LEN(TRIM(H199))=11,SUMPRODUCT(--(CODE(MID(TRIM(H199),{1,2,3,4},1))&gt;=65),--(CODE(MID(TRIM(H199),{1,2,3,4},1))&lt;=90))=4,MID(TRIM(H199),5,1)="0"),"Valid","Invalid"))</f>
        <v>Valid</v>
      </c>
      <c r="S199" s="2" t="str">
        <f t="shared" si="31"/>
        <v>Invalid</v>
      </c>
      <c r="T199" s="2" t="str">
        <f t="shared" si="32"/>
        <v>Valid</v>
      </c>
      <c r="U199" s="2">
        <f t="shared" si="33"/>
        <v>1</v>
      </c>
      <c r="V199" s="2" t="str">
        <f t="shared" si="34"/>
        <v>9098358416</v>
      </c>
      <c r="W199" s="2" t="s">
        <v>1749</v>
      </c>
      <c r="X199" s="2" t="str">
        <f t="shared" si="35"/>
        <v>Unique</v>
      </c>
    </row>
    <row r="200" spans="1:24" x14ac:dyDescent="0.35">
      <c r="A200" s="2" t="s">
        <v>1758</v>
      </c>
      <c r="B200" s="2" t="s">
        <v>1759</v>
      </c>
      <c r="C200" s="2" t="s">
        <v>1760</v>
      </c>
      <c r="D200" s="2" t="s">
        <v>1761</v>
      </c>
      <c r="E200" s="2" t="s">
        <v>1762</v>
      </c>
      <c r="F200" s="2" t="s">
        <v>1763</v>
      </c>
      <c r="G200" s="15" t="s">
        <v>1764</v>
      </c>
      <c r="H200" s="2" t="s">
        <v>1765</v>
      </c>
      <c r="I200" s="2" t="s">
        <v>130</v>
      </c>
      <c r="J200" s="2" t="s">
        <v>231</v>
      </c>
      <c r="K200" s="2" t="s">
        <v>121</v>
      </c>
      <c r="L200" s="2" t="s">
        <v>1766</v>
      </c>
      <c r="M200" s="2" t="str">
        <f>IF(TRIM(C200)="","Missing",IF(AND(LEN(TRIM(C200))=10,SUMPRODUCT(--(CODE(MID(TRIM(C200),{1,2,3,4,5,10},1))&gt;=65),--(CODE(MID(TRIM(C200),{1,2,3,4,5,10},1))&lt;=90))=6,ISNUMBER(--MID(TRIM(C200),6,4))),"Valid","Invalid"))</f>
        <v>Valid</v>
      </c>
      <c r="N200" s="2" t="str">
        <f t="shared" si="27"/>
        <v>Valid</v>
      </c>
      <c r="O200" s="2" t="str">
        <f t="shared" si="28"/>
        <v>Valid</v>
      </c>
      <c r="P200" s="2" t="str">
        <f t="shared" si="29"/>
        <v>Valid</v>
      </c>
      <c r="Q200" s="2" t="str">
        <f t="shared" si="30"/>
        <v>Valid</v>
      </c>
      <c r="R200" s="2" t="str">
        <f>IF(TRIM(H200)="","Missing",IF(AND(LEN(TRIM(H200))=11,SUMPRODUCT(--(CODE(MID(TRIM(H200),{1,2,3,4},1))&gt;=65),--(CODE(MID(TRIM(H200),{1,2,3,4},1))&lt;=90))=4,MID(TRIM(H200),5,1)="0"),"Valid","Invalid"))</f>
        <v>Valid</v>
      </c>
      <c r="S200" s="2" t="str">
        <f t="shared" si="31"/>
        <v>Valid</v>
      </c>
      <c r="T200" s="2" t="str">
        <f t="shared" si="32"/>
        <v>Invalid</v>
      </c>
      <c r="U200" s="2">
        <f t="shared" si="33"/>
        <v>1</v>
      </c>
      <c r="V200" s="2" t="str">
        <f t="shared" si="34"/>
        <v>917677223306</v>
      </c>
      <c r="W200" s="2" t="s">
        <v>1758</v>
      </c>
      <c r="X200" s="2" t="str">
        <f t="shared" si="35"/>
        <v>Unique</v>
      </c>
    </row>
    <row r="201" spans="1:24" x14ac:dyDescent="0.35">
      <c r="A201" s="2" t="s">
        <v>1767</v>
      </c>
      <c r="B201" s="2" t="s">
        <v>1768</v>
      </c>
      <c r="C201" s="2" t="s">
        <v>1517</v>
      </c>
      <c r="D201" s="2" t="s">
        <v>1518</v>
      </c>
      <c r="E201" s="2" t="s">
        <v>1519</v>
      </c>
      <c r="F201" s="2"/>
      <c r="G201" s="15" t="s">
        <v>1521</v>
      </c>
      <c r="H201" s="2" t="s">
        <v>1522</v>
      </c>
      <c r="I201" s="2" t="s">
        <v>119</v>
      </c>
      <c r="J201" s="2" t="s">
        <v>526</v>
      </c>
      <c r="K201" s="2" t="s">
        <v>121</v>
      </c>
      <c r="L201" s="2" t="s">
        <v>1769</v>
      </c>
      <c r="M201" s="2" t="str">
        <f>IF(TRIM(C201)="","Missing",IF(AND(LEN(TRIM(C201))=10,SUMPRODUCT(--(CODE(MID(TRIM(C201),{1,2,3,4,5,10},1))&gt;=65),--(CODE(MID(TRIM(C201),{1,2,3,4,5,10},1))&lt;=90))=6,ISNUMBER(--MID(TRIM(C201),6,4))),"Valid","Invalid"))</f>
        <v>Valid</v>
      </c>
      <c r="N201" s="2" t="str">
        <f t="shared" si="27"/>
        <v>Valid</v>
      </c>
      <c r="O201" s="2" t="str">
        <f t="shared" si="28"/>
        <v>Valid</v>
      </c>
      <c r="P201" s="2" t="str">
        <f t="shared" si="29"/>
        <v>Missing</v>
      </c>
      <c r="Q201" s="2" t="str">
        <f t="shared" si="30"/>
        <v>Valid</v>
      </c>
      <c r="R201" s="2" t="str">
        <f>IF(TRIM(H201)="","Missing",IF(AND(LEN(TRIM(H201))=11,SUMPRODUCT(--(CODE(MID(TRIM(H201),{1,2,3,4},1))&gt;=65),--(CODE(MID(TRIM(H201),{1,2,3,4},1))&lt;=90))=4,MID(TRIM(H201),5,1)="0"),"Valid","Invalid"))</f>
        <v>Valid</v>
      </c>
      <c r="S201" s="2" t="str">
        <f t="shared" si="31"/>
        <v>Invalid</v>
      </c>
      <c r="T201" s="2" t="str">
        <f t="shared" si="32"/>
        <v>Invalid</v>
      </c>
      <c r="U201" s="2">
        <f t="shared" si="33"/>
        <v>3</v>
      </c>
      <c r="V201" s="2" t="str">
        <f t="shared" si="34"/>
        <v/>
      </c>
      <c r="W201" s="2" t="s">
        <v>1515</v>
      </c>
      <c r="X201" s="2" t="str">
        <f t="shared" si="35"/>
        <v>Duplicate</v>
      </c>
    </row>
    <row r="202" spans="1:24" x14ac:dyDescent="0.35">
      <c r="A202" s="2" t="s">
        <v>1770</v>
      </c>
      <c r="B202" s="2" t="s">
        <v>1771</v>
      </c>
      <c r="C202" s="2" t="s">
        <v>1772</v>
      </c>
      <c r="D202" s="2" t="s">
        <v>1773</v>
      </c>
      <c r="E202" s="2" t="s">
        <v>1774</v>
      </c>
      <c r="F202" s="2" t="s">
        <v>1775</v>
      </c>
      <c r="G202" s="15" t="s">
        <v>1776</v>
      </c>
      <c r="H202" s="2" t="s">
        <v>1777</v>
      </c>
      <c r="I202" s="2" t="s">
        <v>119</v>
      </c>
      <c r="J202" s="2" t="s">
        <v>164</v>
      </c>
      <c r="K202" s="2" t="s">
        <v>121</v>
      </c>
      <c r="L202" s="2" t="s">
        <v>1778</v>
      </c>
      <c r="M202" s="2" t="str">
        <f>IF(TRIM(C202)="","Missing",IF(AND(LEN(TRIM(C202))=10,SUMPRODUCT(--(CODE(MID(TRIM(C202),{1,2,3,4,5,10},1))&gt;=65),--(CODE(MID(TRIM(C202),{1,2,3,4,5,10},1))&lt;=90))=6,ISNUMBER(--MID(TRIM(C202),6,4))),"Valid","Invalid"))</f>
        <v>Valid</v>
      </c>
      <c r="N202" s="2" t="str">
        <f t="shared" si="27"/>
        <v>Valid</v>
      </c>
      <c r="O202" s="2" t="str">
        <f t="shared" si="28"/>
        <v>Valid</v>
      </c>
      <c r="P202" s="2" t="str">
        <f t="shared" si="29"/>
        <v>Valid</v>
      </c>
      <c r="Q202" s="2" t="str">
        <f t="shared" si="30"/>
        <v>Valid</v>
      </c>
      <c r="R202" s="2" t="str">
        <f>IF(TRIM(H202)="","Missing",IF(AND(LEN(TRIM(H202))=11,SUMPRODUCT(--(CODE(MID(TRIM(H202),{1,2,3,4},1))&gt;=65),--(CODE(MID(TRIM(H202),{1,2,3,4},1))&lt;=90))=4,MID(TRIM(H202),5,1)="0"),"Valid","Invalid"))</f>
        <v>Valid</v>
      </c>
      <c r="S202" s="2" t="str">
        <f t="shared" si="31"/>
        <v>Invalid</v>
      </c>
      <c r="T202" s="2" t="str">
        <f t="shared" si="32"/>
        <v>Valid</v>
      </c>
      <c r="U202" s="2">
        <f t="shared" si="33"/>
        <v>1</v>
      </c>
      <c r="V202" s="2" t="str">
        <f t="shared" si="34"/>
        <v>918937526547</v>
      </c>
      <c r="W202" s="2" t="s">
        <v>1770</v>
      </c>
      <c r="X202" s="2" t="str">
        <f t="shared" si="35"/>
        <v>Unique</v>
      </c>
    </row>
    <row r="203" spans="1:24" x14ac:dyDescent="0.35">
      <c r="A203" s="2" t="s">
        <v>1779</v>
      </c>
      <c r="B203" s="2" t="s">
        <v>1780</v>
      </c>
      <c r="C203" s="2" t="s">
        <v>1781</v>
      </c>
      <c r="D203" s="2" t="s">
        <v>1782</v>
      </c>
      <c r="E203" s="2" t="s">
        <v>1783</v>
      </c>
      <c r="F203" s="2" t="s">
        <v>1784</v>
      </c>
      <c r="G203" s="15" t="s">
        <v>1785</v>
      </c>
      <c r="H203" s="2" t="s">
        <v>1786</v>
      </c>
      <c r="I203" s="2" t="s">
        <v>130</v>
      </c>
      <c r="J203" s="2" t="s">
        <v>289</v>
      </c>
      <c r="K203" s="2" t="s">
        <v>121</v>
      </c>
      <c r="L203" s="2" t="s">
        <v>1787</v>
      </c>
      <c r="M203" s="2" t="str">
        <f>IF(TRIM(C203)="","Missing",IF(AND(LEN(TRIM(C203))=10,SUMPRODUCT(--(CODE(MID(TRIM(C203),{1,2,3,4,5,10},1))&gt;=65),--(CODE(MID(TRIM(C203),{1,2,3,4,5,10},1))&lt;=90))=6,ISNUMBER(--MID(TRIM(C203),6,4))),"Valid","Invalid"))</f>
        <v>Valid</v>
      </c>
      <c r="N203" s="2" t="str">
        <f t="shared" si="27"/>
        <v>Valid</v>
      </c>
      <c r="O203" s="2" t="str">
        <f t="shared" si="28"/>
        <v>Valid</v>
      </c>
      <c r="P203" s="2" t="str">
        <f t="shared" si="29"/>
        <v>Valid</v>
      </c>
      <c r="Q203" s="2" t="str">
        <f t="shared" si="30"/>
        <v>Valid</v>
      </c>
      <c r="R203" s="2" t="str">
        <f>IF(TRIM(H203)="","Missing",IF(AND(LEN(TRIM(H203))=11,SUMPRODUCT(--(CODE(MID(TRIM(H203),{1,2,3,4},1))&gt;=65),--(CODE(MID(TRIM(H203),{1,2,3,4},1))&lt;=90))=4,MID(TRIM(H203),5,1)="0"),"Valid","Invalid"))</f>
        <v>Invalid</v>
      </c>
      <c r="S203" s="2" t="str">
        <f t="shared" si="31"/>
        <v>Valid</v>
      </c>
      <c r="T203" s="2" t="str">
        <f t="shared" si="32"/>
        <v>Invalid</v>
      </c>
      <c r="U203" s="2">
        <f t="shared" si="33"/>
        <v>2</v>
      </c>
      <c r="V203" s="2" t="str">
        <f t="shared" si="34"/>
        <v>7244720999</v>
      </c>
      <c r="W203" s="2" t="s">
        <v>1779</v>
      </c>
      <c r="X203" s="2" t="str">
        <f t="shared" si="35"/>
        <v>Unique</v>
      </c>
    </row>
    <row r="204" spans="1:24" x14ac:dyDescent="0.35">
      <c r="A204" s="2" t="s">
        <v>1788</v>
      </c>
      <c r="B204" s="2" t="s">
        <v>1789</v>
      </c>
      <c r="C204" s="2" t="s">
        <v>1790</v>
      </c>
      <c r="D204" s="2" t="s">
        <v>1791</v>
      </c>
      <c r="E204" s="2" t="s">
        <v>1792</v>
      </c>
      <c r="F204" s="2" t="s">
        <v>1793</v>
      </c>
      <c r="G204" s="15" t="s">
        <v>1794</v>
      </c>
      <c r="H204" s="2" t="s">
        <v>1795</v>
      </c>
      <c r="I204" s="2" t="s">
        <v>130</v>
      </c>
      <c r="J204" s="2" t="s">
        <v>243</v>
      </c>
      <c r="K204" s="2" t="s">
        <v>121</v>
      </c>
      <c r="L204" s="2" t="s">
        <v>1796</v>
      </c>
      <c r="M204" s="2" t="str">
        <f>IF(TRIM(C204)="","Missing",IF(AND(LEN(TRIM(C204))=10,SUMPRODUCT(--(CODE(MID(TRIM(C204),{1,2,3,4,5,10},1))&gt;=65),--(CODE(MID(TRIM(C204),{1,2,3,4,5,10},1))&lt;=90))=6,ISNUMBER(--MID(TRIM(C204),6,4))),"Valid","Invalid"))</f>
        <v>Valid</v>
      </c>
      <c r="N204" s="2" t="str">
        <f t="shared" si="27"/>
        <v>Valid</v>
      </c>
      <c r="O204" s="2" t="str">
        <f t="shared" si="28"/>
        <v>Valid</v>
      </c>
      <c r="P204" s="2" t="str">
        <f t="shared" si="29"/>
        <v>Valid</v>
      </c>
      <c r="Q204" s="2" t="str">
        <f t="shared" si="30"/>
        <v>Valid</v>
      </c>
      <c r="R204" s="2" t="str">
        <f>IF(TRIM(H204)="","Missing",IF(AND(LEN(TRIM(H204))=11,SUMPRODUCT(--(CODE(MID(TRIM(H204),{1,2,3,4},1))&gt;=65),--(CODE(MID(TRIM(H204),{1,2,3,4},1))&lt;=90))=4,MID(TRIM(H204),5,1)="0"),"Valid","Invalid"))</f>
        <v>Valid</v>
      </c>
      <c r="S204" s="2" t="str">
        <f t="shared" si="31"/>
        <v>Valid</v>
      </c>
      <c r="T204" s="2" t="str">
        <f t="shared" si="32"/>
        <v>Invalid</v>
      </c>
      <c r="U204" s="2">
        <f t="shared" si="33"/>
        <v>1</v>
      </c>
      <c r="V204" s="2" t="str">
        <f t="shared" si="34"/>
        <v>8762639343</v>
      </c>
      <c r="W204" s="2" t="s">
        <v>1788</v>
      </c>
      <c r="X204" s="2" t="str">
        <f t="shared" si="35"/>
        <v>Unique</v>
      </c>
    </row>
    <row r="205" spans="1:24" x14ac:dyDescent="0.35">
      <c r="A205" s="2" t="s">
        <v>1797</v>
      </c>
      <c r="B205" s="2" t="s">
        <v>1798</v>
      </c>
      <c r="C205" s="2" t="s">
        <v>1799</v>
      </c>
      <c r="D205" s="2" t="s">
        <v>1800</v>
      </c>
      <c r="E205" s="2" t="s">
        <v>1801</v>
      </c>
      <c r="F205" s="2" t="s">
        <v>1802</v>
      </c>
      <c r="G205" s="15" t="s">
        <v>1803</v>
      </c>
      <c r="H205" s="2" t="s">
        <v>1804</v>
      </c>
      <c r="I205" s="2" t="s">
        <v>130</v>
      </c>
      <c r="J205" s="2" t="s">
        <v>141</v>
      </c>
      <c r="K205" s="2" t="s">
        <v>121</v>
      </c>
      <c r="L205" s="2" t="s">
        <v>1805</v>
      </c>
      <c r="M205" s="2" t="str">
        <f>IF(TRIM(C205)="","Missing",IF(AND(LEN(TRIM(C205))=10,SUMPRODUCT(--(CODE(MID(TRIM(C205),{1,2,3,4,5,10},1))&gt;=65),--(CODE(MID(TRIM(C205),{1,2,3,4,5,10},1))&lt;=90))=6,ISNUMBER(--MID(TRIM(C205),6,4))),"Valid","Invalid"))</f>
        <v>Valid</v>
      </c>
      <c r="N205" s="2" t="str">
        <f t="shared" si="27"/>
        <v>PAN Mismatch</v>
      </c>
      <c r="O205" s="2" t="str">
        <f t="shared" si="28"/>
        <v>Valid</v>
      </c>
      <c r="P205" s="2" t="str">
        <f t="shared" si="29"/>
        <v>Valid</v>
      </c>
      <c r="Q205" s="2" t="str">
        <f t="shared" si="30"/>
        <v>Valid</v>
      </c>
      <c r="R205" s="2" t="str">
        <f>IF(TRIM(H205)="","Missing",IF(AND(LEN(TRIM(H205))=11,SUMPRODUCT(--(CODE(MID(TRIM(H205),{1,2,3,4},1))&gt;=65),--(CODE(MID(TRIM(H205),{1,2,3,4},1))&lt;=90))=4,MID(TRIM(H205),5,1)="0"),"Valid","Invalid"))</f>
        <v>Invalid</v>
      </c>
      <c r="S205" s="2" t="str">
        <f t="shared" si="31"/>
        <v>Valid</v>
      </c>
      <c r="T205" s="2" t="str">
        <f t="shared" si="32"/>
        <v>Valid</v>
      </c>
      <c r="U205" s="2">
        <f t="shared" si="33"/>
        <v>2</v>
      </c>
      <c r="V205" s="2" t="str">
        <f t="shared" si="34"/>
        <v>9465421406</v>
      </c>
      <c r="W205" s="2" t="s">
        <v>1797</v>
      </c>
      <c r="X205" s="2" t="str">
        <f t="shared" si="35"/>
        <v>Unique</v>
      </c>
    </row>
    <row r="206" spans="1:24" x14ac:dyDescent="0.35">
      <c r="A206" s="2" t="s">
        <v>1806</v>
      </c>
      <c r="B206" s="2" t="s">
        <v>1807</v>
      </c>
      <c r="C206" s="2" t="s">
        <v>1808</v>
      </c>
      <c r="D206" s="2" t="s">
        <v>1809</v>
      </c>
      <c r="E206" s="2" t="s">
        <v>1810</v>
      </c>
      <c r="F206" s="2" t="s">
        <v>1811</v>
      </c>
      <c r="G206" s="15" t="s">
        <v>1812</v>
      </c>
      <c r="H206" s="2" t="s">
        <v>1813</v>
      </c>
      <c r="I206" s="2" t="s">
        <v>130</v>
      </c>
      <c r="J206" s="2" t="s">
        <v>184</v>
      </c>
      <c r="K206" s="2" t="s">
        <v>121</v>
      </c>
      <c r="L206" s="2" t="s">
        <v>1814</v>
      </c>
      <c r="M206" s="2" t="str">
        <f>IF(TRIM(C206)="","Missing",IF(AND(LEN(TRIM(C206))=10,SUMPRODUCT(--(CODE(MID(TRIM(C206),{1,2,3,4,5,10},1))&gt;=65),--(CODE(MID(TRIM(C206),{1,2,3,4,5,10},1))&lt;=90))=6,ISNUMBER(--MID(TRIM(C206),6,4))),"Valid","Invalid"))</f>
        <v>Valid</v>
      </c>
      <c r="N206" s="2" t="str">
        <f t="shared" si="27"/>
        <v>Valid</v>
      </c>
      <c r="O206" s="2" t="str">
        <f t="shared" si="28"/>
        <v>Valid</v>
      </c>
      <c r="P206" s="2" t="str">
        <f t="shared" si="29"/>
        <v>Valid</v>
      </c>
      <c r="Q206" s="2" t="str">
        <f t="shared" si="30"/>
        <v>Valid</v>
      </c>
      <c r="R206" s="2" t="str">
        <f>IF(TRIM(H206)="","Missing",IF(AND(LEN(TRIM(H206))=11,SUMPRODUCT(--(CODE(MID(TRIM(H206),{1,2,3,4},1))&gt;=65),--(CODE(MID(TRIM(H206),{1,2,3,4},1))&lt;=90))=4,MID(TRIM(H206),5,1)="0"),"Valid","Invalid"))</f>
        <v>Invalid</v>
      </c>
      <c r="S206" s="2" t="str">
        <f t="shared" si="31"/>
        <v>Valid</v>
      </c>
      <c r="T206" s="2" t="str">
        <f t="shared" si="32"/>
        <v>Invalid</v>
      </c>
      <c r="U206" s="2">
        <f t="shared" si="33"/>
        <v>2</v>
      </c>
      <c r="V206" s="2" t="str">
        <f t="shared" si="34"/>
        <v>916052427868</v>
      </c>
      <c r="W206" s="2" t="s">
        <v>1806</v>
      </c>
      <c r="X206" s="2" t="str">
        <f t="shared" si="35"/>
        <v>Unique</v>
      </c>
    </row>
    <row r="207" spans="1:24" x14ac:dyDescent="0.35">
      <c r="A207" s="2" t="s">
        <v>1815</v>
      </c>
      <c r="B207" s="2" t="s">
        <v>1816</v>
      </c>
      <c r="C207" s="2" t="s">
        <v>1817</v>
      </c>
      <c r="D207" s="2" t="s">
        <v>1818</v>
      </c>
      <c r="E207" s="2" t="s">
        <v>1819</v>
      </c>
      <c r="F207" s="2" t="s">
        <v>1820</v>
      </c>
      <c r="G207" s="15" t="s">
        <v>1821</v>
      </c>
      <c r="H207" s="2" t="s">
        <v>1822</v>
      </c>
      <c r="I207" s="2" t="s">
        <v>130</v>
      </c>
      <c r="J207" s="2" t="s">
        <v>153</v>
      </c>
      <c r="K207" s="2" t="s">
        <v>121</v>
      </c>
      <c r="L207" s="2" t="s">
        <v>1823</v>
      </c>
      <c r="M207" s="2" t="str">
        <f>IF(TRIM(C207)="","Missing",IF(AND(LEN(TRIM(C207))=10,SUMPRODUCT(--(CODE(MID(TRIM(C207),{1,2,3,4,5,10},1))&gt;=65),--(CODE(MID(TRIM(C207),{1,2,3,4,5,10},1))&lt;=90))=6,ISNUMBER(--MID(TRIM(C207),6,4))),"Valid","Invalid"))</f>
        <v>Valid</v>
      </c>
      <c r="N207" s="2" t="str">
        <f t="shared" si="27"/>
        <v>Valid</v>
      </c>
      <c r="O207" s="2" t="str">
        <f t="shared" si="28"/>
        <v>Valid</v>
      </c>
      <c r="P207" s="2" t="str">
        <f t="shared" si="29"/>
        <v>Valid</v>
      </c>
      <c r="Q207" s="2" t="str">
        <f t="shared" si="30"/>
        <v>Valid</v>
      </c>
      <c r="R207" s="2" t="str">
        <f>IF(TRIM(H207)="","Missing",IF(AND(LEN(TRIM(H207))=11,SUMPRODUCT(--(CODE(MID(TRIM(H207),{1,2,3,4},1))&gt;=65),--(CODE(MID(TRIM(H207),{1,2,3,4},1))&lt;=90))=4,MID(TRIM(H207),5,1)="0"),"Valid","Invalid"))</f>
        <v>Valid</v>
      </c>
      <c r="S207" s="2" t="str">
        <f t="shared" si="31"/>
        <v>Valid</v>
      </c>
      <c r="T207" s="2" t="str">
        <f t="shared" si="32"/>
        <v>Invalid</v>
      </c>
      <c r="U207" s="2">
        <f t="shared" si="33"/>
        <v>1</v>
      </c>
      <c r="V207" s="2" t="str">
        <f t="shared" si="34"/>
        <v>916586518506</v>
      </c>
      <c r="W207" s="2" t="s">
        <v>1815</v>
      </c>
      <c r="X207" s="2" t="str">
        <f t="shared" si="35"/>
        <v>Unique</v>
      </c>
    </row>
    <row r="208" spans="1:24" x14ac:dyDescent="0.35">
      <c r="A208" s="2" t="s">
        <v>1824</v>
      </c>
      <c r="B208" s="2" t="s">
        <v>1825</v>
      </c>
      <c r="C208" s="2" t="s">
        <v>850</v>
      </c>
      <c r="D208" s="2"/>
      <c r="E208" s="2" t="s">
        <v>852</v>
      </c>
      <c r="F208" s="2" t="s">
        <v>1826</v>
      </c>
      <c r="G208" s="15" t="s">
        <v>854</v>
      </c>
      <c r="H208" s="2" t="s">
        <v>855</v>
      </c>
      <c r="I208" s="2" t="s">
        <v>152</v>
      </c>
      <c r="J208" s="2" t="s">
        <v>526</v>
      </c>
      <c r="K208" s="2" t="s">
        <v>121</v>
      </c>
      <c r="L208" s="2" t="s">
        <v>1827</v>
      </c>
      <c r="M208" s="2" t="str">
        <f>IF(TRIM(C208)="","Missing",IF(AND(LEN(TRIM(C208))=10,SUMPRODUCT(--(CODE(MID(TRIM(C208),{1,2,3,4,5,10},1))&gt;=65),--(CODE(MID(TRIM(C208),{1,2,3,4,5,10},1))&lt;=90))=6,ISNUMBER(--MID(TRIM(C208),6,4))),"Valid","Invalid"))</f>
        <v>Valid</v>
      </c>
      <c r="N208" s="2" t="str">
        <f t="shared" si="27"/>
        <v>Missing</v>
      </c>
      <c r="O208" s="2" t="str">
        <f t="shared" si="28"/>
        <v>Valid</v>
      </c>
      <c r="P208" s="2" t="str">
        <f t="shared" si="29"/>
        <v>Valid</v>
      </c>
      <c r="Q208" s="2" t="str">
        <f t="shared" si="30"/>
        <v>Valid</v>
      </c>
      <c r="R208" s="2" t="str">
        <f>IF(TRIM(H208)="","Missing",IF(AND(LEN(TRIM(H208))=11,SUMPRODUCT(--(CODE(MID(TRIM(H208),{1,2,3,4},1))&gt;=65),--(CODE(MID(TRIM(H208),{1,2,3,4},1))&lt;=90))=4,MID(TRIM(H208),5,1)="0"),"Valid","Invalid"))</f>
        <v>Valid</v>
      </c>
      <c r="S208" s="2" t="str">
        <f t="shared" si="31"/>
        <v>Invalid</v>
      </c>
      <c r="T208" s="2" t="str">
        <f t="shared" si="32"/>
        <v>Invalid</v>
      </c>
      <c r="U208" s="2">
        <f t="shared" si="33"/>
        <v>3</v>
      </c>
      <c r="V208" s="2" t="str">
        <f t="shared" si="34"/>
        <v>917445107622</v>
      </c>
      <c r="W208" s="2" t="s">
        <v>848</v>
      </c>
      <c r="X208" s="2" t="str">
        <f t="shared" si="35"/>
        <v>Duplicate</v>
      </c>
    </row>
    <row r="209" spans="1:24" x14ac:dyDescent="0.35">
      <c r="A209" s="2" t="s">
        <v>1828</v>
      </c>
      <c r="B209" s="2" t="s">
        <v>1829</v>
      </c>
      <c r="C209" s="2" t="s">
        <v>1830</v>
      </c>
      <c r="D209" s="2" t="s">
        <v>1831</v>
      </c>
      <c r="E209" s="2" t="s">
        <v>1832</v>
      </c>
      <c r="F209" s="2" t="s">
        <v>1833</v>
      </c>
      <c r="G209" s="15" t="s">
        <v>1834</v>
      </c>
      <c r="H209" s="2" t="s">
        <v>1835</v>
      </c>
      <c r="I209" s="2" t="s">
        <v>152</v>
      </c>
      <c r="J209" s="2" t="s">
        <v>412</v>
      </c>
      <c r="K209" s="2" t="s">
        <v>121</v>
      </c>
      <c r="L209" s="2" t="s">
        <v>1836</v>
      </c>
      <c r="M209" s="2" t="str">
        <f>IF(TRIM(C209)="","Missing",IF(AND(LEN(TRIM(C209))=10,SUMPRODUCT(--(CODE(MID(TRIM(C209),{1,2,3,4,5,10},1))&gt;=65),--(CODE(MID(TRIM(C209),{1,2,3,4,5,10},1))&lt;=90))=6,ISNUMBER(--MID(TRIM(C209),6,4))),"Valid","Invalid"))</f>
        <v>Valid</v>
      </c>
      <c r="N209" s="2" t="str">
        <f t="shared" si="27"/>
        <v>Valid</v>
      </c>
      <c r="O209" s="2" t="str">
        <f t="shared" si="28"/>
        <v>Valid</v>
      </c>
      <c r="P209" s="2" t="str">
        <f t="shared" si="29"/>
        <v>Valid</v>
      </c>
      <c r="Q209" s="2" t="str">
        <f t="shared" si="30"/>
        <v>Valid</v>
      </c>
      <c r="R209" s="2" t="str">
        <f>IF(TRIM(H209)="","Missing",IF(AND(LEN(TRIM(H209))=11,SUMPRODUCT(--(CODE(MID(TRIM(H209),{1,2,3,4},1))&gt;=65),--(CODE(MID(TRIM(H209),{1,2,3,4},1))&lt;=90))=4,MID(TRIM(H209),5,1)="0"),"Valid","Invalid"))</f>
        <v>Valid</v>
      </c>
      <c r="S209" s="2" t="str">
        <f t="shared" si="31"/>
        <v>Invalid</v>
      </c>
      <c r="T209" s="2" t="str">
        <f t="shared" si="32"/>
        <v>Invalid</v>
      </c>
      <c r="U209" s="2">
        <f t="shared" si="33"/>
        <v>2</v>
      </c>
      <c r="V209" s="2" t="str">
        <f t="shared" si="34"/>
        <v>6037170586</v>
      </c>
      <c r="W209" s="2" t="s">
        <v>1828</v>
      </c>
      <c r="X209" s="2" t="str">
        <f t="shared" si="35"/>
        <v>Unique</v>
      </c>
    </row>
    <row r="210" spans="1:24" x14ac:dyDescent="0.35">
      <c r="A210" s="2" t="s">
        <v>1837</v>
      </c>
      <c r="B210" s="2" t="s">
        <v>1838</v>
      </c>
      <c r="C210" s="2" t="s">
        <v>1839</v>
      </c>
      <c r="D210" s="2" t="s">
        <v>1840</v>
      </c>
      <c r="E210" s="2" t="s">
        <v>1841</v>
      </c>
      <c r="F210" s="2" t="s">
        <v>1842</v>
      </c>
      <c r="G210" s="15"/>
      <c r="H210" s="2" t="s">
        <v>1843</v>
      </c>
      <c r="I210" s="2" t="s">
        <v>130</v>
      </c>
      <c r="J210" s="2" t="s">
        <v>153</v>
      </c>
      <c r="K210" s="2" t="s">
        <v>121</v>
      </c>
      <c r="L210" s="2" t="s">
        <v>1844</v>
      </c>
      <c r="M210" s="2" t="e">
        <f>IF(TRIM(C210)="","Missing",IF(AND(LEN(TRIM(C210))=10,SUMPRODUCT(--(CODE(MID(TRIM(C210),{1,2,3,4,5,10},1))&gt;=65),--(CODE(MID(TRIM(C210),{1,2,3,4,5,10},1))&lt;=90))=6,ISNUMBER(--MID(TRIM(C210),6,4))),"Valid","Invalid"))</f>
        <v>#VALUE!</v>
      </c>
      <c r="N210" s="2" t="str">
        <f t="shared" si="27"/>
        <v>PAN Mismatch</v>
      </c>
      <c r="O210" s="2" t="str">
        <f t="shared" si="28"/>
        <v>Valid</v>
      </c>
      <c r="P210" s="2" t="str">
        <f t="shared" si="29"/>
        <v>Valid</v>
      </c>
      <c r="Q210" s="2" t="str">
        <f t="shared" si="30"/>
        <v>Missing</v>
      </c>
      <c r="R210" s="2" t="str">
        <f>IF(TRIM(H210)="","Missing",IF(AND(LEN(TRIM(H210))=11,SUMPRODUCT(--(CODE(MID(TRIM(H210),{1,2,3,4},1))&gt;=65),--(CODE(MID(TRIM(H210),{1,2,3,4},1))&lt;=90))=4,MID(TRIM(H210),5,1)="0"),"Valid","Invalid"))</f>
        <v>Valid</v>
      </c>
      <c r="S210" s="2" t="str">
        <f t="shared" si="31"/>
        <v>Valid</v>
      </c>
      <c r="T210" s="2" t="str">
        <f t="shared" si="32"/>
        <v>Invalid</v>
      </c>
      <c r="U210" s="2">
        <f t="shared" si="33"/>
        <v>4</v>
      </c>
      <c r="V210" s="2" t="str">
        <f t="shared" si="34"/>
        <v>916485807836</v>
      </c>
      <c r="W210" s="2" t="s">
        <v>1837</v>
      </c>
      <c r="X210" s="2" t="str">
        <f t="shared" si="35"/>
        <v>Unique</v>
      </c>
    </row>
    <row r="211" spans="1:24" x14ac:dyDescent="0.35">
      <c r="A211" s="2" t="s">
        <v>1845</v>
      </c>
      <c r="B211" s="2" t="s">
        <v>1846</v>
      </c>
      <c r="C211" s="2"/>
      <c r="D211" s="2" t="s">
        <v>1847</v>
      </c>
      <c r="E211" s="2" t="s">
        <v>1848</v>
      </c>
      <c r="F211" s="2" t="s">
        <v>1849</v>
      </c>
      <c r="G211" s="15" t="s">
        <v>1850</v>
      </c>
      <c r="H211" s="2" t="s">
        <v>1851</v>
      </c>
      <c r="I211" s="2" t="s">
        <v>130</v>
      </c>
      <c r="J211" s="2" t="s">
        <v>174</v>
      </c>
      <c r="K211" s="2" t="s">
        <v>121</v>
      </c>
      <c r="L211" s="2" t="s">
        <v>1852</v>
      </c>
      <c r="M211" s="2" t="str">
        <f>IF(TRIM(C211)="","Missing",IF(AND(LEN(TRIM(C211))=10,SUMPRODUCT(--(CODE(MID(TRIM(C211),{1,2,3,4,5,10},1))&gt;=65),--(CODE(MID(TRIM(C211),{1,2,3,4,5,10},1))&lt;=90))=6,ISNUMBER(--MID(TRIM(C211),6,4))),"Valid","Invalid"))</f>
        <v>Missing</v>
      </c>
      <c r="N211" s="2" t="str">
        <f t="shared" si="27"/>
        <v>PAN Mismatch</v>
      </c>
      <c r="O211" s="2" t="str">
        <f t="shared" si="28"/>
        <v>Valid</v>
      </c>
      <c r="P211" s="2" t="str">
        <f t="shared" si="29"/>
        <v>Valid</v>
      </c>
      <c r="Q211" s="2" t="str">
        <f t="shared" si="30"/>
        <v>Valid</v>
      </c>
      <c r="R211" s="2" t="str">
        <f>IF(TRIM(H211)="","Missing",IF(AND(LEN(TRIM(H211))=11,SUMPRODUCT(--(CODE(MID(TRIM(H211),{1,2,3,4},1))&gt;=65),--(CODE(MID(TRIM(H211),{1,2,3,4},1))&lt;=90))=4,MID(TRIM(H211),5,1)="0"),"Valid","Invalid"))</f>
        <v>Valid</v>
      </c>
      <c r="S211" s="2" t="str">
        <f t="shared" si="31"/>
        <v>Valid</v>
      </c>
      <c r="T211" s="2" t="str">
        <f t="shared" si="32"/>
        <v>Valid</v>
      </c>
      <c r="U211" s="2">
        <f t="shared" si="33"/>
        <v>2</v>
      </c>
      <c r="V211" s="2" t="str">
        <f t="shared" si="34"/>
        <v>7884879206</v>
      </c>
      <c r="W211" s="2" t="s">
        <v>1845</v>
      </c>
      <c r="X211" s="2" t="str">
        <f t="shared" si="35"/>
        <v>Unique</v>
      </c>
    </row>
    <row r="212" spans="1:24" x14ac:dyDescent="0.35">
      <c r="A212" s="2" t="s">
        <v>1853</v>
      </c>
      <c r="B212" s="2" t="s">
        <v>1854</v>
      </c>
      <c r="C212" s="2" t="s">
        <v>1855</v>
      </c>
      <c r="D212" s="2"/>
      <c r="E212" s="2" t="s">
        <v>1856</v>
      </c>
      <c r="F212" s="2" t="s">
        <v>1857</v>
      </c>
      <c r="G212" s="15" t="s">
        <v>1858</v>
      </c>
      <c r="H212" s="2" t="s">
        <v>1859</v>
      </c>
      <c r="I212" s="2" t="s">
        <v>130</v>
      </c>
      <c r="J212" s="2" t="s">
        <v>289</v>
      </c>
      <c r="K212" s="2" t="s">
        <v>121</v>
      </c>
      <c r="L212" s="2" t="s">
        <v>1860</v>
      </c>
      <c r="M212" s="2" t="str">
        <f>IF(TRIM(C212)="","Missing",IF(AND(LEN(TRIM(C212))=10,SUMPRODUCT(--(CODE(MID(TRIM(C212),{1,2,3,4,5,10},1))&gt;=65),--(CODE(MID(TRIM(C212),{1,2,3,4,5,10},1))&lt;=90))=6,ISNUMBER(--MID(TRIM(C212),6,4))),"Valid","Invalid"))</f>
        <v>Valid</v>
      </c>
      <c r="N212" s="2" t="str">
        <f t="shared" si="27"/>
        <v>Missing</v>
      </c>
      <c r="O212" s="2" t="str">
        <f t="shared" si="28"/>
        <v>Valid</v>
      </c>
      <c r="P212" s="2" t="str">
        <f t="shared" si="29"/>
        <v>Valid</v>
      </c>
      <c r="Q212" s="2" t="str">
        <f t="shared" si="30"/>
        <v>Valid</v>
      </c>
      <c r="R212" s="2" t="str">
        <f>IF(TRIM(H212)="","Missing",IF(AND(LEN(TRIM(H212))=11,SUMPRODUCT(--(CODE(MID(TRIM(H212),{1,2,3,4},1))&gt;=65),--(CODE(MID(TRIM(H212),{1,2,3,4},1))&lt;=90))=4,MID(TRIM(H212),5,1)="0"),"Valid","Invalid"))</f>
        <v>Valid</v>
      </c>
      <c r="S212" s="2" t="str">
        <f t="shared" si="31"/>
        <v>Valid</v>
      </c>
      <c r="T212" s="2" t="str">
        <f t="shared" si="32"/>
        <v>Invalid</v>
      </c>
      <c r="U212" s="2">
        <f t="shared" si="33"/>
        <v>2</v>
      </c>
      <c r="V212" s="2" t="str">
        <f t="shared" si="34"/>
        <v>7150983930</v>
      </c>
      <c r="W212" s="2" t="s">
        <v>1853</v>
      </c>
      <c r="X212" s="2" t="str">
        <f t="shared" si="35"/>
        <v>Unique</v>
      </c>
    </row>
    <row r="213" spans="1:24" x14ac:dyDescent="0.35">
      <c r="A213" s="2" t="s">
        <v>1861</v>
      </c>
      <c r="B213" s="2" t="s">
        <v>1862</v>
      </c>
      <c r="C213" s="2" t="s">
        <v>1863</v>
      </c>
      <c r="D213" s="2" t="s">
        <v>1864</v>
      </c>
      <c r="E213" s="2" t="s">
        <v>1865</v>
      </c>
      <c r="F213" s="2" t="s">
        <v>1866</v>
      </c>
      <c r="G213" s="15" t="s">
        <v>1867</v>
      </c>
      <c r="H213" s="2" t="s">
        <v>1868</v>
      </c>
      <c r="I213" s="2" t="s">
        <v>130</v>
      </c>
      <c r="J213" s="2" t="s">
        <v>120</v>
      </c>
      <c r="K213" s="2" t="s">
        <v>121</v>
      </c>
      <c r="L213" s="2" t="s">
        <v>1869</v>
      </c>
      <c r="M213" s="2" t="str">
        <f>IF(TRIM(C213)="","Missing",IF(AND(LEN(TRIM(C213))=10,SUMPRODUCT(--(CODE(MID(TRIM(C213),{1,2,3,4,5,10},1))&gt;=65),--(CODE(MID(TRIM(C213),{1,2,3,4,5,10},1))&lt;=90))=6,ISNUMBER(--MID(TRIM(C213),6,4))),"Valid","Invalid"))</f>
        <v>Valid</v>
      </c>
      <c r="N213" s="2" t="str">
        <f t="shared" si="27"/>
        <v>Valid</v>
      </c>
      <c r="O213" s="2" t="str">
        <f t="shared" si="28"/>
        <v>Valid</v>
      </c>
      <c r="P213" s="2" t="str">
        <f t="shared" si="29"/>
        <v>Valid</v>
      </c>
      <c r="Q213" s="2" t="str">
        <f t="shared" si="30"/>
        <v>Valid</v>
      </c>
      <c r="R213" s="2" t="str">
        <f>IF(TRIM(H213)="","Missing",IF(AND(LEN(TRIM(H213))=11,SUMPRODUCT(--(CODE(MID(TRIM(H213),{1,2,3,4},1))&gt;=65),--(CODE(MID(TRIM(H213),{1,2,3,4},1))&lt;=90))=4,MID(TRIM(H213),5,1)="0"),"Valid","Invalid"))</f>
        <v>Valid</v>
      </c>
      <c r="S213" s="2" t="str">
        <f t="shared" si="31"/>
        <v>Valid</v>
      </c>
      <c r="T213" s="2" t="str">
        <f t="shared" si="32"/>
        <v>Invalid</v>
      </c>
      <c r="U213" s="2">
        <f t="shared" si="33"/>
        <v>1</v>
      </c>
      <c r="V213" s="2" t="str">
        <f t="shared" si="34"/>
        <v>6710021946</v>
      </c>
      <c r="W213" s="2" t="s">
        <v>1861</v>
      </c>
      <c r="X213" s="2" t="str">
        <f t="shared" si="35"/>
        <v>Unique</v>
      </c>
    </row>
    <row r="214" spans="1:24" x14ac:dyDescent="0.35">
      <c r="A214" s="2" t="s">
        <v>1870</v>
      </c>
      <c r="B214" s="2" t="s">
        <v>1871</v>
      </c>
      <c r="C214" s="2"/>
      <c r="D214" s="2"/>
      <c r="E214" s="2" t="s">
        <v>601</v>
      </c>
      <c r="F214" s="2" t="s">
        <v>602</v>
      </c>
      <c r="G214" s="15" t="s">
        <v>603</v>
      </c>
      <c r="H214" s="2" t="s">
        <v>604</v>
      </c>
      <c r="I214" s="2" t="s">
        <v>130</v>
      </c>
      <c r="J214" s="2" t="s">
        <v>184</v>
      </c>
      <c r="K214" s="2" t="s">
        <v>121</v>
      </c>
      <c r="L214" s="2" t="s">
        <v>1872</v>
      </c>
      <c r="M214" s="2" t="str">
        <f>IF(TRIM(C214)="","Missing",IF(AND(LEN(TRIM(C214))=10,SUMPRODUCT(--(CODE(MID(TRIM(C214),{1,2,3,4,5,10},1))&gt;=65),--(CODE(MID(TRIM(C214),{1,2,3,4,5,10},1))&lt;=90))=6,ISNUMBER(--MID(TRIM(C214),6,4))),"Valid","Invalid"))</f>
        <v>Missing</v>
      </c>
      <c r="N214" s="2" t="str">
        <f t="shared" si="27"/>
        <v>Missing</v>
      </c>
      <c r="O214" s="2" t="str">
        <f t="shared" si="28"/>
        <v>Valid</v>
      </c>
      <c r="P214" s="2" t="str">
        <f t="shared" si="29"/>
        <v>Valid</v>
      </c>
      <c r="Q214" s="2" t="str">
        <f t="shared" si="30"/>
        <v>Valid</v>
      </c>
      <c r="R214" s="2" t="str">
        <f>IF(TRIM(H214)="","Missing",IF(AND(LEN(TRIM(H214))=11,SUMPRODUCT(--(CODE(MID(TRIM(H214),{1,2,3,4},1))&gt;=65),--(CODE(MID(TRIM(H214),{1,2,3,4},1))&lt;=90))=4,MID(TRIM(H214),5,1)="0"),"Valid","Invalid"))</f>
        <v>Valid</v>
      </c>
      <c r="S214" s="2" t="str">
        <f t="shared" si="31"/>
        <v>Valid</v>
      </c>
      <c r="T214" s="2" t="str">
        <f t="shared" si="32"/>
        <v>Invalid</v>
      </c>
      <c r="U214" s="2">
        <f t="shared" si="33"/>
        <v>3</v>
      </c>
      <c r="V214" s="2" t="str">
        <f t="shared" si="34"/>
        <v>917787429671</v>
      </c>
      <c r="W214" s="2" t="s">
        <v>1870</v>
      </c>
      <c r="X214" s="2" t="str">
        <f t="shared" si="35"/>
        <v>Unique</v>
      </c>
    </row>
    <row r="215" spans="1:24" x14ac:dyDescent="0.35">
      <c r="A215" s="2" t="s">
        <v>1873</v>
      </c>
      <c r="B215" s="2" t="s">
        <v>1874</v>
      </c>
      <c r="C215" s="2" t="s">
        <v>1875</v>
      </c>
      <c r="D215" s="2" t="s">
        <v>1876</v>
      </c>
      <c r="E215" s="2" t="s">
        <v>1877</v>
      </c>
      <c r="F215" s="2" t="s">
        <v>1878</v>
      </c>
      <c r="G215" s="15" t="s">
        <v>1879</v>
      </c>
      <c r="H215" s="2" t="s">
        <v>1880</v>
      </c>
      <c r="I215" s="2" t="s">
        <v>130</v>
      </c>
      <c r="J215" s="2" t="s">
        <v>270</v>
      </c>
      <c r="K215" s="2" t="s">
        <v>121</v>
      </c>
      <c r="L215" s="2" t="s">
        <v>1881</v>
      </c>
      <c r="M215" s="2" t="str">
        <f>IF(TRIM(C215)="","Missing",IF(AND(LEN(TRIM(C215))=10,SUMPRODUCT(--(CODE(MID(TRIM(C215),{1,2,3,4,5,10},1))&gt;=65),--(CODE(MID(TRIM(C215),{1,2,3,4,5,10},1))&lt;=90))=6,ISNUMBER(--MID(TRIM(C215),6,4))),"Valid","Invalid"))</f>
        <v>Valid</v>
      </c>
      <c r="N215" s="2" t="str">
        <f t="shared" si="27"/>
        <v>Valid</v>
      </c>
      <c r="O215" s="2" t="str">
        <f t="shared" si="28"/>
        <v>Valid</v>
      </c>
      <c r="P215" s="2" t="str">
        <f t="shared" si="29"/>
        <v>Valid</v>
      </c>
      <c r="Q215" s="2" t="str">
        <f t="shared" si="30"/>
        <v>Valid</v>
      </c>
      <c r="R215" s="2" t="str">
        <f>IF(TRIM(H215)="","Missing",IF(AND(LEN(TRIM(H215))=11,SUMPRODUCT(--(CODE(MID(TRIM(H215),{1,2,3,4},1))&gt;=65),--(CODE(MID(TRIM(H215),{1,2,3,4},1))&lt;=90))=4,MID(TRIM(H215),5,1)="0"),"Valid","Invalid"))</f>
        <v>Valid</v>
      </c>
      <c r="S215" s="2" t="str">
        <f t="shared" si="31"/>
        <v>Valid</v>
      </c>
      <c r="T215" s="2" t="str">
        <f t="shared" si="32"/>
        <v>Invalid</v>
      </c>
      <c r="U215" s="2">
        <f t="shared" si="33"/>
        <v>1</v>
      </c>
      <c r="V215" s="2" t="str">
        <f t="shared" si="34"/>
        <v>6552166746</v>
      </c>
      <c r="W215" s="2" t="s">
        <v>1873</v>
      </c>
      <c r="X215" s="2" t="str">
        <f t="shared" si="35"/>
        <v>Unique</v>
      </c>
    </row>
    <row r="216" spans="1:24" x14ac:dyDescent="0.35">
      <c r="A216" s="2" t="s">
        <v>1882</v>
      </c>
      <c r="B216" s="2" t="s">
        <v>1883</v>
      </c>
      <c r="C216" s="2" t="s">
        <v>1884</v>
      </c>
      <c r="D216" s="2" t="s">
        <v>1885</v>
      </c>
      <c r="E216" s="2" t="s">
        <v>1886</v>
      </c>
      <c r="F216" s="2" t="s">
        <v>1887</v>
      </c>
      <c r="G216" s="15" t="s">
        <v>1888</v>
      </c>
      <c r="H216" s="2" t="s">
        <v>1889</v>
      </c>
      <c r="I216" s="2" t="s">
        <v>130</v>
      </c>
      <c r="J216" s="2" t="s">
        <v>120</v>
      </c>
      <c r="K216" s="2" t="s">
        <v>121</v>
      </c>
      <c r="L216" s="2" t="s">
        <v>1890</v>
      </c>
      <c r="M216" s="2" t="str">
        <f>IF(TRIM(C216)="","Missing",IF(AND(LEN(TRIM(C216))=10,SUMPRODUCT(--(CODE(MID(TRIM(C216),{1,2,3,4,5,10},1))&gt;=65),--(CODE(MID(TRIM(C216),{1,2,3,4,5,10},1))&lt;=90))=6,ISNUMBER(--MID(TRIM(C216),6,4))),"Valid","Invalid"))</f>
        <v>Invalid</v>
      </c>
      <c r="N216" s="2" t="str">
        <f t="shared" si="27"/>
        <v>Valid</v>
      </c>
      <c r="O216" s="2" t="str">
        <f t="shared" si="28"/>
        <v>Valid</v>
      </c>
      <c r="P216" s="2" t="str">
        <f t="shared" si="29"/>
        <v>Valid</v>
      </c>
      <c r="Q216" s="2" t="str">
        <f t="shared" si="30"/>
        <v>Valid</v>
      </c>
      <c r="R216" s="2" t="str">
        <f>IF(TRIM(H216)="","Missing",IF(AND(LEN(TRIM(H216))=11,SUMPRODUCT(--(CODE(MID(TRIM(H216),{1,2,3,4},1))&gt;=65),--(CODE(MID(TRIM(H216),{1,2,3,4},1))&lt;=90))=4,MID(TRIM(H216),5,1)="0"),"Valid","Invalid"))</f>
        <v>Invalid</v>
      </c>
      <c r="S216" s="2" t="str">
        <f t="shared" si="31"/>
        <v>Valid</v>
      </c>
      <c r="T216" s="2" t="str">
        <f t="shared" si="32"/>
        <v>Invalid</v>
      </c>
      <c r="U216" s="2">
        <f t="shared" si="33"/>
        <v>3</v>
      </c>
      <c r="V216" s="2" t="str">
        <f t="shared" si="34"/>
        <v>6633569392</v>
      </c>
      <c r="W216" s="2" t="s">
        <v>1882</v>
      </c>
      <c r="X216" s="2" t="str">
        <f t="shared" si="35"/>
        <v>Unique</v>
      </c>
    </row>
    <row r="217" spans="1:24" x14ac:dyDescent="0.35">
      <c r="A217" s="2" t="s">
        <v>1891</v>
      </c>
      <c r="B217" s="2" t="s">
        <v>1892</v>
      </c>
      <c r="C217" s="2" t="s">
        <v>1893</v>
      </c>
      <c r="D217" s="2" t="s">
        <v>1894</v>
      </c>
      <c r="E217" s="2" t="s">
        <v>1895</v>
      </c>
      <c r="F217" s="2" t="s">
        <v>1896</v>
      </c>
      <c r="G217" s="15" t="s">
        <v>1897</v>
      </c>
      <c r="H217" s="2" t="s">
        <v>1898</v>
      </c>
      <c r="I217" s="2" t="s">
        <v>130</v>
      </c>
      <c r="J217" s="2" t="s">
        <v>231</v>
      </c>
      <c r="K217" s="2" t="s">
        <v>121</v>
      </c>
      <c r="L217" s="2" t="s">
        <v>1899</v>
      </c>
      <c r="M217" s="2" t="str">
        <f>IF(TRIM(C217)="","Missing",IF(AND(LEN(TRIM(C217))=10,SUMPRODUCT(--(CODE(MID(TRIM(C217),{1,2,3,4,5,10},1))&gt;=65),--(CODE(MID(TRIM(C217),{1,2,3,4,5,10},1))&lt;=90))=6,ISNUMBER(--MID(TRIM(C217),6,4))),"Valid","Invalid"))</f>
        <v>Valid</v>
      </c>
      <c r="N217" s="2" t="str">
        <f t="shared" si="27"/>
        <v>Valid</v>
      </c>
      <c r="O217" s="2" t="str">
        <f t="shared" si="28"/>
        <v>Valid</v>
      </c>
      <c r="P217" s="2" t="str">
        <f t="shared" si="29"/>
        <v>Valid</v>
      </c>
      <c r="Q217" s="2" t="str">
        <f t="shared" si="30"/>
        <v>Valid</v>
      </c>
      <c r="R217" s="2" t="str">
        <f>IF(TRIM(H217)="","Missing",IF(AND(LEN(TRIM(H217))=11,SUMPRODUCT(--(CODE(MID(TRIM(H217),{1,2,3,4},1))&gt;=65),--(CODE(MID(TRIM(H217),{1,2,3,4},1))&lt;=90))=4,MID(TRIM(H217),5,1)="0"),"Valid","Invalid"))</f>
        <v>Valid</v>
      </c>
      <c r="S217" s="2" t="str">
        <f t="shared" si="31"/>
        <v>Valid</v>
      </c>
      <c r="T217" s="2" t="str">
        <f t="shared" si="32"/>
        <v>Invalid</v>
      </c>
      <c r="U217" s="2">
        <f t="shared" si="33"/>
        <v>1</v>
      </c>
      <c r="V217" s="2" t="str">
        <f t="shared" si="34"/>
        <v>918009788208</v>
      </c>
      <c r="W217" s="2" t="s">
        <v>1891</v>
      </c>
      <c r="X217" s="2" t="str">
        <f t="shared" si="35"/>
        <v>Unique</v>
      </c>
    </row>
    <row r="218" spans="1:24" x14ac:dyDescent="0.35">
      <c r="A218" s="2" t="s">
        <v>1900</v>
      </c>
      <c r="B218" s="2" t="s">
        <v>1901</v>
      </c>
      <c r="C218" s="2" t="s">
        <v>1902</v>
      </c>
      <c r="D218" s="2" t="s">
        <v>1903</v>
      </c>
      <c r="E218" s="2" t="s">
        <v>1904</v>
      </c>
      <c r="F218" s="2" t="s">
        <v>1905</v>
      </c>
      <c r="G218" s="15" t="s">
        <v>1906</v>
      </c>
      <c r="H218" s="2"/>
      <c r="I218" s="2" t="s">
        <v>130</v>
      </c>
      <c r="J218" s="2" t="s">
        <v>526</v>
      </c>
      <c r="K218" s="2" t="s">
        <v>121</v>
      </c>
      <c r="L218" s="2" t="s">
        <v>1907</v>
      </c>
      <c r="M218" s="2" t="str">
        <f>IF(TRIM(C218)="","Missing",IF(AND(LEN(TRIM(C218))=10,SUMPRODUCT(--(CODE(MID(TRIM(C218),{1,2,3,4,5,10},1))&gt;=65),--(CODE(MID(TRIM(C218),{1,2,3,4,5,10},1))&lt;=90))=6,ISNUMBER(--MID(TRIM(C218),6,4))),"Valid","Invalid"))</f>
        <v>Valid</v>
      </c>
      <c r="N218" s="2" t="str">
        <f t="shared" si="27"/>
        <v>Valid</v>
      </c>
      <c r="O218" s="2" t="str">
        <f t="shared" si="28"/>
        <v>Valid</v>
      </c>
      <c r="P218" s="2" t="str">
        <f t="shared" si="29"/>
        <v>Valid</v>
      </c>
      <c r="Q218" s="2" t="str">
        <f t="shared" si="30"/>
        <v>Valid</v>
      </c>
      <c r="R218" s="2" t="str">
        <f>IF(TRIM(H218)="","Missing",IF(AND(LEN(TRIM(H218))=11,SUMPRODUCT(--(CODE(MID(TRIM(H218),{1,2,3,4},1))&gt;=65),--(CODE(MID(TRIM(H218),{1,2,3,4},1))&lt;=90))=4,MID(TRIM(H218),5,1)="0"),"Valid","Invalid"))</f>
        <v>Missing</v>
      </c>
      <c r="S218" s="2" t="str">
        <f t="shared" si="31"/>
        <v>Valid</v>
      </c>
      <c r="T218" s="2" t="str">
        <f t="shared" si="32"/>
        <v>Invalid</v>
      </c>
      <c r="U218" s="2">
        <f t="shared" si="33"/>
        <v>2</v>
      </c>
      <c r="V218" s="2" t="str">
        <f t="shared" si="34"/>
        <v>916453194337</v>
      </c>
      <c r="W218" s="2" t="s">
        <v>1900</v>
      </c>
      <c r="X218" s="2" t="str">
        <f t="shared" si="35"/>
        <v>Unique</v>
      </c>
    </row>
    <row r="219" spans="1:24" x14ac:dyDescent="0.35">
      <c r="A219" s="2" t="s">
        <v>155</v>
      </c>
      <c r="B219" s="2" t="s">
        <v>1908</v>
      </c>
      <c r="C219" s="2" t="s">
        <v>1909</v>
      </c>
      <c r="D219" s="2" t="s">
        <v>147</v>
      </c>
      <c r="E219" s="2" t="s">
        <v>148</v>
      </c>
      <c r="F219" s="2" t="s">
        <v>1910</v>
      </c>
      <c r="G219" s="15" t="s">
        <v>150</v>
      </c>
      <c r="H219" s="2" t="s">
        <v>151</v>
      </c>
      <c r="I219" s="2" t="s">
        <v>130</v>
      </c>
      <c r="J219" s="2" t="s">
        <v>194</v>
      </c>
      <c r="K219" s="2" t="s">
        <v>121</v>
      </c>
      <c r="L219" s="2" t="s">
        <v>1911</v>
      </c>
      <c r="M219" s="2" t="str">
        <f>IF(TRIM(C219)="","Missing",IF(AND(LEN(TRIM(C219))=10,SUMPRODUCT(--(CODE(MID(TRIM(C219),{1,2,3,4,5,10},1))&gt;=65),--(CODE(MID(TRIM(C219),{1,2,3,4,5,10},1))&lt;=90))=6,ISNUMBER(--MID(TRIM(C219),6,4))),"Valid","Invalid"))</f>
        <v>Invalid</v>
      </c>
      <c r="N219" s="2" t="str">
        <f t="shared" si="27"/>
        <v>Valid</v>
      </c>
      <c r="O219" s="2" t="str">
        <f t="shared" si="28"/>
        <v>Valid</v>
      </c>
      <c r="P219" s="2" t="str">
        <f t="shared" si="29"/>
        <v>Valid</v>
      </c>
      <c r="Q219" s="2" t="str">
        <f t="shared" si="30"/>
        <v>Valid</v>
      </c>
      <c r="R219" s="2" t="str">
        <f>IF(TRIM(H219)="","Missing",IF(AND(LEN(TRIM(H219))=11,SUMPRODUCT(--(CODE(MID(TRIM(H219),{1,2,3,4},1))&gt;=65),--(CODE(MID(TRIM(H219),{1,2,3,4},1))&lt;=90))=4,MID(TRIM(H219),5,1)="0"),"Valid","Invalid"))</f>
        <v>Valid</v>
      </c>
      <c r="S219" s="2" t="str">
        <f t="shared" si="31"/>
        <v>Valid</v>
      </c>
      <c r="T219" s="2" t="str">
        <f t="shared" si="32"/>
        <v>Invalid</v>
      </c>
      <c r="U219" s="2">
        <f t="shared" si="33"/>
        <v>2</v>
      </c>
      <c r="V219" s="2" t="str">
        <f t="shared" si="34"/>
        <v>7954316526</v>
      </c>
      <c r="W219" s="2" t="s">
        <v>155</v>
      </c>
      <c r="X219" s="2" t="str">
        <f t="shared" si="35"/>
        <v>Duplicate</v>
      </c>
    </row>
    <row r="220" spans="1:24" x14ac:dyDescent="0.35">
      <c r="A220" s="2" t="s">
        <v>1912</v>
      </c>
      <c r="B220" s="2" t="s">
        <v>1913</v>
      </c>
      <c r="C220" s="2" t="s">
        <v>1914</v>
      </c>
      <c r="D220" s="2" t="s">
        <v>941</v>
      </c>
      <c r="E220" s="2" t="s">
        <v>1915</v>
      </c>
      <c r="F220" s="2" t="s">
        <v>1916</v>
      </c>
      <c r="G220" s="15" t="s">
        <v>944</v>
      </c>
      <c r="H220" s="2" t="s">
        <v>945</v>
      </c>
      <c r="I220" s="2" t="s">
        <v>130</v>
      </c>
      <c r="J220" s="2" t="s">
        <v>359</v>
      </c>
      <c r="K220" s="2" t="s">
        <v>121</v>
      </c>
      <c r="L220" s="2" t="s">
        <v>1917</v>
      </c>
      <c r="M220" s="2" t="str">
        <f>IF(TRIM(C220)="","Missing",IF(AND(LEN(TRIM(C220))=10,SUMPRODUCT(--(CODE(MID(TRIM(C220),{1,2,3,4,5,10},1))&gt;=65),--(CODE(MID(TRIM(C220),{1,2,3,4,5,10},1))&lt;=90))=6,ISNUMBER(--MID(TRIM(C220),6,4))),"Valid","Invalid"))</f>
        <v>Valid</v>
      </c>
      <c r="N220" s="2" t="str">
        <f t="shared" si="27"/>
        <v>Valid</v>
      </c>
      <c r="O220" s="2" t="str">
        <f t="shared" si="28"/>
        <v>Valid</v>
      </c>
      <c r="P220" s="2" t="str">
        <f t="shared" si="29"/>
        <v>Valid</v>
      </c>
      <c r="Q220" s="2" t="str">
        <f t="shared" si="30"/>
        <v>Valid</v>
      </c>
      <c r="R220" s="2" t="str">
        <f>IF(TRIM(H220)="","Missing",IF(AND(LEN(TRIM(H220))=11,SUMPRODUCT(--(CODE(MID(TRIM(H220),{1,2,3,4},1))&gt;=65),--(CODE(MID(TRIM(H220),{1,2,3,4},1))&lt;=90))=4,MID(TRIM(H220),5,1)="0"),"Valid","Invalid"))</f>
        <v>Valid</v>
      </c>
      <c r="S220" s="2" t="str">
        <f t="shared" si="31"/>
        <v>Valid</v>
      </c>
      <c r="T220" s="2" t="str">
        <f t="shared" si="32"/>
        <v>Valid</v>
      </c>
      <c r="U220" s="2">
        <f t="shared" si="33"/>
        <v>0</v>
      </c>
      <c r="V220" s="2" t="str">
        <f t="shared" si="34"/>
        <v>8888794705</v>
      </c>
      <c r="W220" s="2" t="s">
        <v>1912</v>
      </c>
      <c r="X220" s="2" t="str">
        <f t="shared" si="35"/>
        <v>Unique</v>
      </c>
    </row>
    <row r="221" spans="1:24" x14ac:dyDescent="0.35">
      <c r="A221" s="2" t="s">
        <v>1918</v>
      </c>
      <c r="B221" s="2" t="s">
        <v>1919</v>
      </c>
      <c r="C221" s="2" t="s">
        <v>1920</v>
      </c>
      <c r="D221" s="2" t="s">
        <v>1921</v>
      </c>
      <c r="E221" s="2" t="s">
        <v>1922</v>
      </c>
      <c r="F221" s="2" t="s">
        <v>1923</v>
      </c>
      <c r="G221" s="15" t="s">
        <v>1924</v>
      </c>
      <c r="H221" s="2" t="s">
        <v>1925</v>
      </c>
      <c r="I221" s="2" t="s">
        <v>130</v>
      </c>
      <c r="J221" s="2" t="s">
        <v>141</v>
      </c>
      <c r="K221" s="2" t="s">
        <v>121</v>
      </c>
      <c r="L221" s="2" t="s">
        <v>1926</v>
      </c>
      <c r="M221" s="2" t="str">
        <f>IF(TRIM(C221)="","Missing",IF(AND(LEN(TRIM(C221))=10,SUMPRODUCT(--(CODE(MID(TRIM(C221),{1,2,3,4,5,10},1))&gt;=65),--(CODE(MID(TRIM(C221),{1,2,3,4,5,10},1))&lt;=90))=6,ISNUMBER(--MID(TRIM(C221),6,4))),"Valid","Invalid"))</f>
        <v>Valid</v>
      </c>
      <c r="N221" s="2" t="str">
        <f t="shared" si="27"/>
        <v>Valid</v>
      </c>
      <c r="O221" s="2" t="str">
        <f t="shared" si="28"/>
        <v>Valid</v>
      </c>
      <c r="P221" s="2" t="str">
        <f t="shared" si="29"/>
        <v>Valid</v>
      </c>
      <c r="Q221" s="2" t="str">
        <f t="shared" si="30"/>
        <v>Valid</v>
      </c>
      <c r="R221" s="2" t="str">
        <f>IF(TRIM(H221)="","Missing",IF(AND(LEN(TRIM(H221))=11,SUMPRODUCT(--(CODE(MID(TRIM(H221),{1,2,3,4},1))&gt;=65),--(CODE(MID(TRIM(H221),{1,2,3,4},1))&lt;=90))=4,MID(TRIM(H221),5,1)="0"),"Valid","Invalid"))</f>
        <v>Valid</v>
      </c>
      <c r="S221" s="2" t="str">
        <f t="shared" si="31"/>
        <v>Valid</v>
      </c>
      <c r="T221" s="2" t="str">
        <f t="shared" si="32"/>
        <v>Valid</v>
      </c>
      <c r="U221" s="2">
        <f t="shared" si="33"/>
        <v>0</v>
      </c>
      <c r="V221" s="2" t="str">
        <f t="shared" si="34"/>
        <v>918596158657</v>
      </c>
      <c r="W221" s="2" t="s">
        <v>1918</v>
      </c>
      <c r="X221" s="2" t="str">
        <f t="shared" si="35"/>
        <v>Unique</v>
      </c>
    </row>
    <row r="222" spans="1:24" x14ac:dyDescent="0.35">
      <c r="A222" s="2" t="s">
        <v>847</v>
      </c>
      <c r="B222" s="2" t="s">
        <v>1927</v>
      </c>
      <c r="C222" s="2" t="s">
        <v>839</v>
      </c>
      <c r="D222" s="2" t="s">
        <v>840</v>
      </c>
      <c r="E222" s="2" t="s">
        <v>1928</v>
      </c>
      <c r="F222" s="2" t="s">
        <v>1929</v>
      </c>
      <c r="G222" s="15" t="s">
        <v>843</v>
      </c>
      <c r="H222" s="2" t="s">
        <v>844</v>
      </c>
      <c r="I222" s="2" t="s">
        <v>152</v>
      </c>
      <c r="J222" s="2" t="s">
        <v>141</v>
      </c>
      <c r="K222" s="2" t="s">
        <v>121</v>
      </c>
      <c r="L222" s="2" t="s">
        <v>1930</v>
      </c>
      <c r="M222" s="2" t="str">
        <f>IF(TRIM(C222)="","Missing",IF(AND(LEN(TRIM(C222))=10,SUMPRODUCT(--(CODE(MID(TRIM(C222),{1,2,3,4,5,10},1))&gt;=65),--(CODE(MID(TRIM(C222),{1,2,3,4,5,10},1))&lt;=90))=6,ISNUMBER(--MID(TRIM(C222),6,4))),"Valid","Invalid"))</f>
        <v>Valid</v>
      </c>
      <c r="N222" s="2" t="str">
        <f t="shared" si="27"/>
        <v>Valid</v>
      </c>
      <c r="O222" s="2" t="str">
        <f t="shared" si="28"/>
        <v>Valid</v>
      </c>
      <c r="P222" s="2" t="str">
        <f t="shared" si="29"/>
        <v>Valid</v>
      </c>
      <c r="Q222" s="2" t="str">
        <f t="shared" si="30"/>
        <v>Valid</v>
      </c>
      <c r="R222" s="2" t="str">
        <f>IF(TRIM(H222)="","Missing",IF(AND(LEN(TRIM(H222))=11,SUMPRODUCT(--(CODE(MID(TRIM(H222),{1,2,3,4},1))&gt;=65),--(CODE(MID(TRIM(H222),{1,2,3,4},1))&lt;=90))=4,MID(TRIM(H222),5,1)="0"),"Valid","Invalid"))</f>
        <v>Valid</v>
      </c>
      <c r="S222" s="2" t="str">
        <f t="shared" si="31"/>
        <v>Invalid</v>
      </c>
      <c r="T222" s="2" t="str">
        <f t="shared" si="32"/>
        <v>Valid</v>
      </c>
      <c r="U222" s="2">
        <f t="shared" si="33"/>
        <v>1</v>
      </c>
      <c r="V222" s="2" t="str">
        <f t="shared" si="34"/>
        <v>8652341389</v>
      </c>
      <c r="W222" s="2" t="s">
        <v>847</v>
      </c>
      <c r="X222" s="2" t="str">
        <f t="shared" si="35"/>
        <v>Duplicate</v>
      </c>
    </row>
    <row r="223" spans="1:24" x14ac:dyDescent="0.35">
      <c r="A223" s="2" t="s">
        <v>1931</v>
      </c>
      <c r="B223" s="2" t="s">
        <v>1932</v>
      </c>
      <c r="C223" s="2" t="s">
        <v>1933</v>
      </c>
      <c r="D223" s="2" t="s">
        <v>800</v>
      </c>
      <c r="E223" s="2" t="s">
        <v>801</v>
      </c>
      <c r="F223" s="2" t="s">
        <v>1934</v>
      </c>
      <c r="G223" s="15" t="s">
        <v>803</v>
      </c>
      <c r="H223" s="2" t="s">
        <v>804</v>
      </c>
      <c r="I223" s="2" t="s">
        <v>130</v>
      </c>
      <c r="J223" s="2" t="s">
        <v>231</v>
      </c>
      <c r="K223" s="2" t="s">
        <v>121</v>
      </c>
      <c r="L223" s="2" t="s">
        <v>1935</v>
      </c>
      <c r="M223" s="2" t="e">
        <f>IF(TRIM(C223)="","Missing",IF(AND(LEN(TRIM(C223))=10,SUMPRODUCT(--(CODE(MID(TRIM(C223),{1,2,3,4,5,10},1))&gt;=65),--(CODE(MID(TRIM(C223),{1,2,3,4,5,10},1))&lt;=90))=6,ISNUMBER(--MID(TRIM(C223),6,4))),"Valid","Invalid"))</f>
        <v>#VALUE!</v>
      </c>
      <c r="N223" s="2" t="str">
        <f t="shared" si="27"/>
        <v>PAN Mismatch</v>
      </c>
      <c r="O223" s="2" t="str">
        <f t="shared" si="28"/>
        <v>Valid</v>
      </c>
      <c r="P223" s="2" t="str">
        <f t="shared" si="29"/>
        <v>Valid</v>
      </c>
      <c r="Q223" s="2" t="str">
        <f t="shared" si="30"/>
        <v>Valid</v>
      </c>
      <c r="R223" s="2" t="str">
        <f>IF(TRIM(H223)="","Missing",IF(AND(LEN(TRIM(H223))=11,SUMPRODUCT(--(CODE(MID(TRIM(H223),{1,2,3,4},1))&gt;=65),--(CODE(MID(TRIM(H223),{1,2,3,4},1))&lt;=90))=4,MID(TRIM(H223),5,1)="0"),"Valid","Invalid"))</f>
        <v>Valid</v>
      </c>
      <c r="S223" s="2" t="str">
        <f t="shared" si="31"/>
        <v>Valid</v>
      </c>
      <c r="T223" s="2" t="str">
        <f t="shared" si="32"/>
        <v>Invalid</v>
      </c>
      <c r="U223" s="2">
        <f t="shared" si="33"/>
        <v>3</v>
      </c>
      <c r="V223" s="2" t="str">
        <f t="shared" si="34"/>
        <v>918733848421</v>
      </c>
      <c r="W223" s="2" t="s">
        <v>797</v>
      </c>
      <c r="X223" s="2" t="str">
        <f t="shared" si="35"/>
        <v>Duplicate</v>
      </c>
    </row>
    <row r="224" spans="1:24" x14ac:dyDescent="0.35">
      <c r="A224" s="2" t="s">
        <v>448</v>
      </c>
      <c r="B224" s="2" t="s">
        <v>1936</v>
      </c>
      <c r="C224" s="2" t="s">
        <v>442</v>
      </c>
      <c r="D224" s="2" t="s">
        <v>443</v>
      </c>
      <c r="E224" s="2" t="s">
        <v>1937</v>
      </c>
      <c r="F224" s="2" t="s">
        <v>1938</v>
      </c>
      <c r="G224" s="15" t="s">
        <v>1939</v>
      </c>
      <c r="H224" s="2" t="s">
        <v>446</v>
      </c>
      <c r="I224" s="2" t="s">
        <v>130</v>
      </c>
      <c r="J224" s="2" t="s">
        <v>141</v>
      </c>
      <c r="K224" s="2" t="s">
        <v>142</v>
      </c>
      <c r="L224" s="2" t="s">
        <v>614</v>
      </c>
      <c r="M224" s="2" t="str">
        <f>IF(TRIM(C224)="","Missing",IF(AND(LEN(TRIM(C224))=10,SUMPRODUCT(--(CODE(MID(TRIM(C224),{1,2,3,4,5,10},1))&gt;=65),--(CODE(MID(TRIM(C224),{1,2,3,4,5,10},1))&lt;=90))=6,ISNUMBER(--MID(TRIM(C224),6,4))),"Valid","Invalid"))</f>
        <v>Valid</v>
      </c>
      <c r="N224" s="2" t="str">
        <f t="shared" si="27"/>
        <v>Valid</v>
      </c>
      <c r="O224" s="2" t="str">
        <f t="shared" si="28"/>
        <v>Valid</v>
      </c>
      <c r="P224" s="2" t="str">
        <f t="shared" si="29"/>
        <v>Valid</v>
      </c>
      <c r="Q224" s="2" t="str">
        <f t="shared" si="30"/>
        <v>Valid</v>
      </c>
      <c r="R224" s="2" t="str">
        <f>IF(TRIM(H224)="","Missing",IF(AND(LEN(TRIM(H224))=11,SUMPRODUCT(--(CODE(MID(TRIM(H224),{1,2,3,4},1))&gt;=65),--(CODE(MID(TRIM(H224),{1,2,3,4},1))&lt;=90))=4,MID(TRIM(H224),5,1)="0"),"Valid","Invalid"))</f>
        <v>Valid</v>
      </c>
      <c r="S224" s="2" t="str">
        <f t="shared" si="31"/>
        <v>Valid</v>
      </c>
      <c r="T224" s="2" t="str">
        <f t="shared" si="32"/>
        <v>Valid</v>
      </c>
      <c r="U224" s="2">
        <f t="shared" si="33"/>
        <v>0</v>
      </c>
      <c r="V224" s="2" t="str">
        <f t="shared" si="34"/>
        <v>7421607337</v>
      </c>
      <c r="W224" s="2" t="s">
        <v>448</v>
      </c>
      <c r="X224" s="2" t="str">
        <f t="shared" si="35"/>
        <v>Duplicate</v>
      </c>
    </row>
    <row r="225" spans="1:24" x14ac:dyDescent="0.35">
      <c r="A225" s="2" t="s">
        <v>1940</v>
      </c>
      <c r="B225" s="2" t="s">
        <v>1941</v>
      </c>
      <c r="C225" s="2" t="s">
        <v>1942</v>
      </c>
      <c r="D225" s="2" t="s">
        <v>1943</v>
      </c>
      <c r="E225" s="2" t="s">
        <v>1944</v>
      </c>
      <c r="F225" s="2" t="s">
        <v>1945</v>
      </c>
      <c r="G225" s="15" t="s">
        <v>1946</v>
      </c>
      <c r="H225" s="2" t="s">
        <v>1947</v>
      </c>
      <c r="I225" s="2" t="s">
        <v>130</v>
      </c>
      <c r="J225" s="2" t="s">
        <v>289</v>
      </c>
      <c r="K225" s="2" t="s">
        <v>121</v>
      </c>
      <c r="L225" s="2" t="s">
        <v>370</v>
      </c>
      <c r="M225" s="2" t="str">
        <f>IF(TRIM(C225)="","Missing",IF(AND(LEN(TRIM(C225))=10,SUMPRODUCT(--(CODE(MID(TRIM(C225),{1,2,3,4,5,10},1))&gt;=65),--(CODE(MID(TRIM(C225),{1,2,3,4,5,10},1))&lt;=90))=6,ISNUMBER(--MID(TRIM(C225),6,4))),"Valid","Invalid"))</f>
        <v>Valid</v>
      </c>
      <c r="N225" s="2" t="str">
        <f t="shared" si="27"/>
        <v>Valid</v>
      </c>
      <c r="O225" s="2" t="str">
        <f t="shared" si="28"/>
        <v>Valid</v>
      </c>
      <c r="P225" s="2" t="str">
        <f t="shared" si="29"/>
        <v>Valid</v>
      </c>
      <c r="Q225" s="2" t="str">
        <f t="shared" si="30"/>
        <v>Valid</v>
      </c>
      <c r="R225" s="2" t="str">
        <f>IF(TRIM(H225)="","Missing",IF(AND(LEN(TRIM(H225))=11,SUMPRODUCT(--(CODE(MID(TRIM(H225),{1,2,3,4},1))&gt;=65),--(CODE(MID(TRIM(H225),{1,2,3,4},1))&lt;=90))=4,MID(TRIM(H225),5,1)="0"),"Valid","Invalid"))</f>
        <v>Valid</v>
      </c>
      <c r="S225" s="2" t="str">
        <f t="shared" si="31"/>
        <v>Valid</v>
      </c>
      <c r="T225" s="2" t="str">
        <f t="shared" si="32"/>
        <v>Invalid</v>
      </c>
      <c r="U225" s="2">
        <f t="shared" si="33"/>
        <v>1</v>
      </c>
      <c r="V225" s="2" t="str">
        <f t="shared" si="34"/>
        <v>917538758428</v>
      </c>
      <c r="W225" s="2" t="s">
        <v>1940</v>
      </c>
      <c r="X225" s="2" t="str">
        <f t="shared" si="35"/>
        <v>Unique</v>
      </c>
    </row>
    <row r="226" spans="1:24" x14ac:dyDescent="0.35">
      <c r="A226" s="2" t="s">
        <v>1948</v>
      </c>
      <c r="B226" s="2" t="s">
        <v>1949</v>
      </c>
      <c r="C226" s="2" t="s">
        <v>1950</v>
      </c>
      <c r="D226" s="2"/>
      <c r="E226" s="2" t="s">
        <v>1951</v>
      </c>
      <c r="F226" s="2" t="s">
        <v>1952</v>
      </c>
      <c r="G226" s="15" t="s">
        <v>1953</v>
      </c>
      <c r="H226" s="2" t="s">
        <v>1954</v>
      </c>
      <c r="I226" s="2" t="s">
        <v>130</v>
      </c>
      <c r="J226" s="2" t="s">
        <v>231</v>
      </c>
      <c r="K226" s="2" t="s">
        <v>121</v>
      </c>
      <c r="L226" s="2" t="s">
        <v>1955</v>
      </c>
      <c r="M226" s="2" t="str">
        <f>IF(TRIM(C226)="","Missing",IF(AND(LEN(TRIM(C226))=10,SUMPRODUCT(--(CODE(MID(TRIM(C226),{1,2,3,4,5,10},1))&gt;=65),--(CODE(MID(TRIM(C226),{1,2,3,4,5,10},1))&lt;=90))=6,ISNUMBER(--MID(TRIM(C226),6,4))),"Valid","Invalid"))</f>
        <v>Valid</v>
      </c>
      <c r="N226" s="2" t="str">
        <f t="shared" si="27"/>
        <v>Missing</v>
      </c>
      <c r="O226" s="2" t="str">
        <f t="shared" si="28"/>
        <v>Valid</v>
      </c>
      <c r="P226" s="2" t="str">
        <f t="shared" si="29"/>
        <v>Valid</v>
      </c>
      <c r="Q226" s="2" t="str">
        <f t="shared" si="30"/>
        <v>Valid</v>
      </c>
      <c r="R226" s="2" t="str">
        <f>IF(TRIM(H226)="","Missing",IF(AND(LEN(TRIM(H226))=11,SUMPRODUCT(--(CODE(MID(TRIM(H226),{1,2,3,4},1))&gt;=65),--(CODE(MID(TRIM(H226),{1,2,3,4},1))&lt;=90))=4,MID(TRIM(H226),5,1)="0"),"Valid","Invalid"))</f>
        <v>Valid</v>
      </c>
      <c r="S226" s="2" t="str">
        <f t="shared" si="31"/>
        <v>Valid</v>
      </c>
      <c r="T226" s="2" t="str">
        <f t="shared" si="32"/>
        <v>Invalid</v>
      </c>
      <c r="U226" s="2">
        <f t="shared" si="33"/>
        <v>2</v>
      </c>
      <c r="V226" s="2" t="str">
        <f t="shared" si="34"/>
        <v>918658804341</v>
      </c>
      <c r="W226" s="2" t="s">
        <v>1948</v>
      </c>
      <c r="X226" s="2" t="str">
        <f t="shared" si="35"/>
        <v>Unique</v>
      </c>
    </row>
    <row r="227" spans="1:24" x14ac:dyDescent="0.35">
      <c r="A227" s="2" t="s">
        <v>1956</v>
      </c>
      <c r="B227" s="2" t="s">
        <v>1957</v>
      </c>
      <c r="C227" s="2" t="s">
        <v>1958</v>
      </c>
      <c r="D227" s="2" t="s">
        <v>1959</v>
      </c>
      <c r="E227" s="2" t="s">
        <v>1960</v>
      </c>
      <c r="F227" s="2" t="s">
        <v>1961</v>
      </c>
      <c r="G227" s="15" t="s">
        <v>1962</v>
      </c>
      <c r="H227" s="2" t="s">
        <v>1963</v>
      </c>
      <c r="I227" s="2" t="s">
        <v>242</v>
      </c>
      <c r="J227" s="2" t="s">
        <v>141</v>
      </c>
      <c r="K227" s="2" t="s">
        <v>142</v>
      </c>
      <c r="L227" s="2" t="s">
        <v>1964</v>
      </c>
      <c r="M227" s="2" t="str">
        <f>IF(TRIM(C227)="","Missing",IF(AND(LEN(TRIM(C227))=10,SUMPRODUCT(--(CODE(MID(TRIM(C227),{1,2,3,4,5,10},1))&gt;=65),--(CODE(MID(TRIM(C227),{1,2,3,4,5,10},1))&lt;=90))=6,ISNUMBER(--MID(TRIM(C227),6,4))),"Valid","Invalid"))</f>
        <v>Valid</v>
      </c>
      <c r="N227" s="2" t="str">
        <f t="shared" si="27"/>
        <v>Valid</v>
      </c>
      <c r="O227" s="2" t="str">
        <f t="shared" si="28"/>
        <v>Valid</v>
      </c>
      <c r="P227" s="2" t="str">
        <f t="shared" si="29"/>
        <v>Valid</v>
      </c>
      <c r="Q227" s="2" t="str">
        <f t="shared" si="30"/>
        <v>Valid</v>
      </c>
      <c r="R227" s="2" t="str">
        <f>IF(TRIM(H227)="","Missing",IF(AND(LEN(TRIM(H227))=11,SUMPRODUCT(--(CODE(MID(TRIM(H227),{1,2,3,4},1))&gt;=65),--(CODE(MID(TRIM(H227),{1,2,3,4},1))&lt;=90))=4,MID(TRIM(H227),5,1)="0"),"Valid","Invalid"))</f>
        <v>Invalid</v>
      </c>
      <c r="S227" s="2" t="str">
        <f t="shared" si="31"/>
        <v>Invalid</v>
      </c>
      <c r="T227" s="2" t="str">
        <f t="shared" si="32"/>
        <v>Valid</v>
      </c>
      <c r="U227" s="2">
        <f t="shared" si="33"/>
        <v>2</v>
      </c>
      <c r="V227" s="2" t="str">
        <f t="shared" si="34"/>
        <v>918289755855</v>
      </c>
      <c r="W227" s="2" t="s">
        <v>1956</v>
      </c>
      <c r="X227" s="2" t="str">
        <f t="shared" si="35"/>
        <v>Unique</v>
      </c>
    </row>
    <row r="228" spans="1:24" x14ac:dyDescent="0.35">
      <c r="A228" s="2" t="s">
        <v>1965</v>
      </c>
      <c r="B228" s="2" t="s">
        <v>1966</v>
      </c>
      <c r="C228" s="2" t="s">
        <v>1967</v>
      </c>
      <c r="D228" s="2" t="s">
        <v>1968</v>
      </c>
      <c r="E228" s="2" t="s">
        <v>1969</v>
      </c>
      <c r="F228" s="2" t="s">
        <v>1970</v>
      </c>
      <c r="G228" s="15" t="s">
        <v>1971</v>
      </c>
      <c r="H228" s="2" t="s">
        <v>1972</v>
      </c>
      <c r="I228" s="2" t="s">
        <v>242</v>
      </c>
      <c r="J228" s="2" t="s">
        <v>563</v>
      </c>
      <c r="K228" s="2" t="s">
        <v>121</v>
      </c>
      <c r="L228" s="2" t="s">
        <v>1973</v>
      </c>
      <c r="M228" s="2" t="str">
        <f>IF(TRIM(C228)="","Missing",IF(AND(LEN(TRIM(C228))=10,SUMPRODUCT(--(CODE(MID(TRIM(C228),{1,2,3,4,5,10},1))&gt;=65),--(CODE(MID(TRIM(C228),{1,2,3,4,5,10},1))&lt;=90))=6,ISNUMBER(--MID(TRIM(C228),6,4))),"Valid","Invalid"))</f>
        <v>Valid</v>
      </c>
      <c r="N228" s="2" t="str">
        <f t="shared" si="27"/>
        <v>Valid</v>
      </c>
      <c r="O228" s="2" t="str">
        <f t="shared" si="28"/>
        <v>Valid</v>
      </c>
      <c r="P228" s="2" t="str">
        <f t="shared" si="29"/>
        <v>Valid</v>
      </c>
      <c r="Q228" s="2" t="str">
        <f t="shared" si="30"/>
        <v>Valid</v>
      </c>
      <c r="R228" s="2" t="str">
        <f>IF(TRIM(H228)="","Missing",IF(AND(LEN(TRIM(H228))=11,SUMPRODUCT(--(CODE(MID(TRIM(H228),{1,2,3,4},1))&gt;=65),--(CODE(MID(TRIM(H228),{1,2,3,4},1))&lt;=90))=4,MID(TRIM(H228),5,1)="0"),"Valid","Invalid"))</f>
        <v>Valid</v>
      </c>
      <c r="S228" s="2" t="str">
        <f t="shared" si="31"/>
        <v>Invalid</v>
      </c>
      <c r="T228" s="2" t="str">
        <f t="shared" si="32"/>
        <v>Invalid</v>
      </c>
      <c r="U228" s="2">
        <f t="shared" si="33"/>
        <v>2</v>
      </c>
      <c r="V228" s="2" t="str">
        <f t="shared" si="34"/>
        <v>918820700159</v>
      </c>
      <c r="W228" s="2" t="s">
        <v>1965</v>
      </c>
      <c r="X228" s="2" t="str">
        <f t="shared" si="35"/>
        <v>Unique</v>
      </c>
    </row>
    <row r="229" spans="1:24" x14ac:dyDescent="0.35">
      <c r="A229" s="2" t="s">
        <v>1974</v>
      </c>
      <c r="B229" s="2" t="s">
        <v>1975</v>
      </c>
      <c r="C229" s="2"/>
      <c r="D229" s="2" t="s">
        <v>1976</v>
      </c>
      <c r="E229" s="2" t="s">
        <v>1977</v>
      </c>
      <c r="F229" s="2" t="s">
        <v>1978</v>
      </c>
      <c r="G229" s="15" t="s">
        <v>1979</v>
      </c>
      <c r="H229" s="2" t="s">
        <v>1980</v>
      </c>
      <c r="I229" s="2" t="s">
        <v>130</v>
      </c>
      <c r="J229" s="2" t="s">
        <v>563</v>
      </c>
      <c r="K229" s="2" t="s">
        <v>121</v>
      </c>
      <c r="L229" s="2" t="s">
        <v>1981</v>
      </c>
      <c r="M229" s="2" t="str">
        <f>IF(TRIM(C229)="","Missing",IF(AND(LEN(TRIM(C229))=10,SUMPRODUCT(--(CODE(MID(TRIM(C229),{1,2,3,4,5,10},1))&gt;=65),--(CODE(MID(TRIM(C229),{1,2,3,4,5,10},1))&lt;=90))=6,ISNUMBER(--MID(TRIM(C229),6,4))),"Valid","Invalid"))</f>
        <v>Missing</v>
      </c>
      <c r="N229" s="2" t="str">
        <f t="shared" si="27"/>
        <v>PAN Mismatch</v>
      </c>
      <c r="O229" s="2" t="str">
        <f t="shared" si="28"/>
        <v>Valid</v>
      </c>
      <c r="P229" s="2" t="str">
        <f t="shared" si="29"/>
        <v>Valid</v>
      </c>
      <c r="Q229" s="2" t="str">
        <f t="shared" si="30"/>
        <v>Valid</v>
      </c>
      <c r="R229" s="2" t="str">
        <f>IF(TRIM(H229)="","Missing",IF(AND(LEN(TRIM(H229))=11,SUMPRODUCT(--(CODE(MID(TRIM(H229),{1,2,3,4},1))&gt;=65),--(CODE(MID(TRIM(H229),{1,2,3,4},1))&lt;=90))=4,MID(TRIM(H229),5,1)="0"),"Valid","Invalid"))</f>
        <v>Valid</v>
      </c>
      <c r="S229" s="2" t="str">
        <f t="shared" si="31"/>
        <v>Valid</v>
      </c>
      <c r="T229" s="2" t="str">
        <f t="shared" si="32"/>
        <v>Invalid</v>
      </c>
      <c r="U229" s="2">
        <f t="shared" si="33"/>
        <v>3</v>
      </c>
      <c r="V229" s="2" t="str">
        <f t="shared" si="34"/>
        <v>919991183842</v>
      </c>
      <c r="W229" s="2" t="s">
        <v>1974</v>
      </c>
      <c r="X229" s="2" t="str">
        <f t="shared" si="35"/>
        <v>Unique</v>
      </c>
    </row>
  </sheetData>
  <autoFilter ref="A1:X229" xr:uid="{00000000-0009-0000-0000-000004000000}"/>
  <conditionalFormatting sqref="M2:T229">
    <cfRule type="cellIs" dxfId="8" priority="2" operator="equal">
      <formula>"Valid"</formula>
    </cfRule>
    <cfRule type="cellIs" dxfId="7" priority="3" operator="notEqual">
      <formula>"Valid"</formula>
    </cfRule>
  </conditionalFormatting>
  <conditionalFormatting sqref="X2:X229">
    <cfRule type="cellIs" dxfId="6" priority="4" operator="equal">
      <formula>"Duplicate"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V208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10" customWidth="1"/>
    <col min="2" max="2" width="40" customWidth="1"/>
    <col min="3" max="3" width="13" customWidth="1"/>
    <col min="4" max="4" width="17" customWidth="1"/>
    <col min="5" max="5" width="34" customWidth="1"/>
    <col min="6" max="6" width="17" customWidth="1"/>
    <col min="7" max="7" width="18" customWidth="1"/>
    <col min="8" max="8" width="13" customWidth="1"/>
    <col min="9" max="9" width="9" customWidth="1"/>
    <col min="10" max="10" width="13" customWidth="1"/>
    <col min="11" max="11" width="10" customWidth="1"/>
    <col min="12" max="12" width="12" customWidth="1"/>
    <col min="13" max="13" width="11" customWidth="1"/>
    <col min="14" max="14" width="13" customWidth="1"/>
    <col min="15" max="18" width="10" customWidth="1"/>
    <col min="19" max="20" width="12" customWidth="1"/>
    <col min="21" max="21" width="10" customWidth="1"/>
    <col min="22" max="23" width="16" customWidth="1"/>
    <col min="24" max="24" width="12" customWidth="1"/>
  </cols>
  <sheetData>
    <row r="1" spans="1:22" ht="42" customHeight="1" x14ac:dyDescent="0.35">
      <c r="A1" s="1" t="s">
        <v>103</v>
      </c>
      <c r="B1" s="1" t="s">
        <v>104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73</v>
      </c>
      <c r="H1" s="1" t="s">
        <v>44</v>
      </c>
      <c r="I1" s="1" t="s">
        <v>46</v>
      </c>
      <c r="J1" s="1" t="s">
        <v>84</v>
      </c>
      <c r="K1" s="1" t="s">
        <v>105</v>
      </c>
      <c r="L1" s="1" t="s">
        <v>106</v>
      </c>
      <c r="M1" s="14" t="s">
        <v>35</v>
      </c>
      <c r="N1" s="14" t="s">
        <v>37</v>
      </c>
      <c r="O1" s="14" t="s">
        <v>39</v>
      </c>
      <c r="P1" s="14" t="s">
        <v>41</v>
      </c>
      <c r="Q1" s="14" t="s">
        <v>43</v>
      </c>
      <c r="R1" s="14" t="s">
        <v>45</v>
      </c>
      <c r="S1" s="14" t="s">
        <v>47</v>
      </c>
      <c r="T1" s="14" t="s">
        <v>49</v>
      </c>
      <c r="U1" s="14" t="s">
        <v>107</v>
      </c>
      <c r="V1" s="14" t="s">
        <v>108</v>
      </c>
    </row>
    <row r="2" spans="1:22" x14ac:dyDescent="0.35">
      <c r="A2" s="2" t="s">
        <v>1853</v>
      </c>
      <c r="B2" s="2" t="s">
        <v>1854</v>
      </c>
      <c r="C2" s="2" t="s">
        <v>1855</v>
      </c>
      <c r="D2" s="2"/>
      <c r="E2" s="2" t="s">
        <v>1856</v>
      </c>
      <c r="F2" s="2" t="s">
        <v>1982</v>
      </c>
      <c r="G2" s="15" t="s">
        <v>1858</v>
      </c>
      <c r="H2" s="2" t="s">
        <v>1859</v>
      </c>
      <c r="I2" s="2" t="s">
        <v>130</v>
      </c>
      <c r="J2" s="2" t="s">
        <v>164</v>
      </c>
      <c r="K2" s="2" t="s">
        <v>121</v>
      </c>
      <c r="L2" s="2" t="s">
        <v>1860</v>
      </c>
      <c r="M2" s="2" t="str">
        <f>IF(TRIM(C2)="","Missing",IF(AND(LEN(TRIM(C2))=10,SUMPRODUCT(--(CODE(MID(TRIM(C2),{1,2,3,4,5,10},1))&gt;=65),--(CODE(MID(TRIM(C2),{1,2,3,4,5,10},1))&lt;=90))=6,ISNUMBER(--MID(TRIM(C2),6,4))),"Valid","Invalid"))</f>
        <v>Valid</v>
      </c>
      <c r="N2" s="2" t="str">
        <f t="shared" ref="N2:N65" si="0">IF(TRIM(D2)="","Missing",IF(AND(LEN(TRIM(D2))=15,MID(TRIM(D2),14,1)="Z"),IF(AND(TRIM(C2)&lt;&gt;"",MID(TRIM(D2),3,10)=TRIM(C2)),"Valid","PAN Mismatch"),"Invalid"))</f>
        <v>Missing</v>
      </c>
      <c r="O2" s="2" t="str">
        <f t="shared" ref="O2:O65" si="1">IF(TRIM(E2)="","Missing",IF(AND(ISNUMBER(FIND("@",E2)),ISERROR(FIND(" ",TRIM(E2))),IFERROR(FIND(".",E2,FIND("@",E2)),0)&gt;0),"Valid","Invalid"))</f>
        <v>Valid</v>
      </c>
      <c r="P2" s="2" t="str">
        <f t="shared" ref="P2:P65" si="2">IF(TRIM(F2)="","Missing",IFERROR(IF(AND(ISNUMBER(--V2),OR(LEN(V2)=10,AND(LEN(V2)=12,LEFT(V2,2)="91")),VALUE(LEFT(RIGHT(V2,10),1))&gt;=6),"Valid","Invalid"),"Invalid"))</f>
        <v>Valid</v>
      </c>
      <c r="Q2" s="2" t="str">
        <f t="shared" ref="Q2:Q65" si="3">IF(TRIM(G2)="","Missing",IFERROR(IF(AND(ISNUMBER(--TRIM(G2)),LEN(TRIM(G2))&gt;=9,LEN(TRIM(G2))&lt;=18,ISERROR(FIND(".",G2))),"Valid","Invalid"),"Invalid"))</f>
        <v>Valid</v>
      </c>
      <c r="R2" s="2" t="str">
        <f>IF(TRIM(H2)="","Missing",IF(AND(LEN(TRIM(H2))=11,SUMPRODUCT(--(CODE(MID(TRIM(H2),{1,2,3,4},1))&gt;=65),--(CODE(MID(TRIM(H2),{1,2,3,4},1))&lt;=90))=4,MID(TRIM(H2),5,1)="0"),"Valid","Invalid"))</f>
        <v>Valid</v>
      </c>
      <c r="S2" s="2" t="str">
        <f t="shared" ref="S2:S65" si="4">IF(TRIM(I2)="","Missing",IF(EXACT(TRIM(I2),"India"),"Valid","Invalid"))</f>
        <v>Valid</v>
      </c>
      <c r="T2" s="2" t="str">
        <f t="shared" ref="T2:T65" si="5">IF(TRIM(J2)="","Missing",IF(OR(EXACT(TRIM(J2),"Net 15"),EXACT(TRIM(J2),"Net 30"),EXACT(TRIM(J2),"Net 45"),EXACT(TRIM(J2),"Net 60")),"Valid","Invalid"))</f>
        <v>Valid</v>
      </c>
      <c r="U2" s="2">
        <f t="shared" ref="U2:U65" si="6">COUNTIF(M2:T2,"&lt;&gt;Valid")</f>
        <v>1</v>
      </c>
      <c r="V2" s="2" t="str">
        <f t="shared" ref="V2:V65" si="7">SUBSTITUTE(SUBSTITUTE(SUBSTITUTE(F2," ",""),"-",""),"+","")</f>
        <v>917150983930</v>
      </c>
    </row>
    <row r="3" spans="1:22" x14ac:dyDescent="0.35">
      <c r="A3" s="2" t="s">
        <v>1036</v>
      </c>
      <c r="B3" s="2" t="s">
        <v>1037</v>
      </c>
      <c r="C3" s="2" t="s">
        <v>1038</v>
      </c>
      <c r="D3" s="2" t="s">
        <v>1039</v>
      </c>
      <c r="E3" s="2" t="s">
        <v>1040</v>
      </c>
      <c r="F3" s="2" t="s">
        <v>1983</v>
      </c>
      <c r="G3" s="15" t="s">
        <v>1042</v>
      </c>
      <c r="H3" s="2" t="s">
        <v>1984</v>
      </c>
      <c r="I3" s="2" t="s">
        <v>130</v>
      </c>
      <c r="J3" s="2" t="s">
        <v>164</v>
      </c>
      <c r="K3" s="2" t="s">
        <v>121</v>
      </c>
      <c r="L3" s="2" t="s">
        <v>1044</v>
      </c>
      <c r="M3" s="2" t="str">
        <f>IF(TRIM(C3)="","Missing",IF(AND(LEN(TRIM(C3))=10,SUMPRODUCT(--(CODE(MID(TRIM(C3),{1,2,3,4,5,10},1))&gt;=65),--(CODE(MID(TRIM(C3),{1,2,3,4,5,10},1))&lt;=90))=6,ISNUMBER(--MID(TRIM(C3),6,4))),"Valid","Invalid"))</f>
        <v>Valid</v>
      </c>
      <c r="N3" s="2" t="str">
        <f t="shared" si="0"/>
        <v>Valid</v>
      </c>
      <c r="O3" s="2" t="str">
        <f t="shared" si="1"/>
        <v>Valid</v>
      </c>
      <c r="P3" s="2" t="str">
        <f t="shared" si="2"/>
        <v>Valid</v>
      </c>
      <c r="Q3" s="2" t="str">
        <f t="shared" si="3"/>
        <v>Valid</v>
      </c>
      <c r="R3" s="2" t="str">
        <f>IF(TRIM(H3)="","Missing",IF(AND(LEN(TRIM(H3))=11,SUMPRODUCT(--(CODE(MID(TRIM(H3),{1,2,3,4},1))&gt;=65),--(CODE(MID(TRIM(H3),{1,2,3,4},1))&lt;=90))=4,MID(TRIM(H3),5,1)="0"),"Valid","Invalid"))</f>
        <v>Valid</v>
      </c>
      <c r="S3" s="2" t="str">
        <f t="shared" si="4"/>
        <v>Valid</v>
      </c>
      <c r="T3" s="2" t="str">
        <f t="shared" si="5"/>
        <v>Valid</v>
      </c>
      <c r="U3" s="2">
        <f t="shared" si="6"/>
        <v>0</v>
      </c>
      <c r="V3" s="2" t="str">
        <f t="shared" si="7"/>
        <v>917338726247</v>
      </c>
    </row>
    <row r="4" spans="1:22" x14ac:dyDescent="0.35">
      <c r="A4" s="2" t="s">
        <v>1891</v>
      </c>
      <c r="B4" s="2" t="s">
        <v>1892</v>
      </c>
      <c r="C4" s="2" t="s">
        <v>1893</v>
      </c>
      <c r="D4" s="2" t="s">
        <v>1894</v>
      </c>
      <c r="E4" s="2" t="s">
        <v>1895</v>
      </c>
      <c r="F4" s="2" t="s">
        <v>1985</v>
      </c>
      <c r="G4" s="15" t="s">
        <v>1897</v>
      </c>
      <c r="H4" s="2" t="s">
        <v>1898</v>
      </c>
      <c r="I4" s="2" t="s">
        <v>130</v>
      </c>
      <c r="J4" s="2" t="s">
        <v>141</v>
      </c>
      <c r="K4" s="2" t="s">
        <v>121</v>
      </c>
      <c r="L4" s="2" t="s">
        <v>1899</v>
      </c>
      <c r="M4" s="2" t="str">
        <f>IF(TRIM(C4)="","Missing",IF(AND(LEN(TRIM(C4))=10,SUMPRODUCT(--(CODE(MID(TRIM(C4),{1,2,3,4,5,10},1))&gt;=65),--(CODE(MID(TRIM(C4),{1,2,3,4,5,10},1))&lt;=90))=6,ISNUMBER(--MID(TRIM(C4),6,4))),"Valid","Invalid"))</f>
        <v>Valid</v>
      </c>
      <c r="N4" s="2" t="str">
        <f t="shared" si="0"/>
        <v>Valid</v>
      </c>
      <c r="O4" s="2" t="str">
        <f t="shared" si="1"/>
        <v>Valid</v>
      </c>
      <c r="P4" s="2" t="str">
        <f t="shared" si="2"/>
        <v>Valid</v>
      </c>
      <c r="Q4" s="2" t="str">
        <f t="shared" si="3"/>
        <v>Valid</v>
      </c>
      <c r="R4" s="2" t="str">
        <f>IF(TRIM(H4)="","Missing",IF(AND(LEN(TRIM(H4))=11,SUMPRODUCT(--(CODE(MID(TRIM(H4),{1,2,3,4},1))&gt;=65),--(CODE(MID(TRIM(H4),{1,2,3,4},1))&lt;=90))=4,MID(TRIM(H4),5,1)="0"),"Valid","Invalid"))</f>
        <v>Valid</v>
      </c>
      <c r="S4" s="2" t="str">
        <f t="shared" si="4"/>
        <v>Valid</v>
      </c>
      <c r="T4" s="2" t="str">
        <f t="shared" si="5"/>
        <v>Valid</v>
      </c>
      <c r="U4" s="2">
        <f t="shared" si="6"/>
        <v>0</v>
      </c>
      <c r="V4" s="2" t="str">
        <f t="shared" si="7"/>
        <v>918009788208</v>
      </c>
    </row>
    <row r="5" spans="1:22" x14ac:dyDescent="0.35">
      <c r="A5" s="2" t="s">
        <v>1974</v>
      </c>
      <c r="B5" s="2" t="s">
        <v>1975</v>
      </c>
      <c r="C5" s="2"/>
      <c r="D5" s="2" t="s">
        <v>1976</v>
      </c>
      <c r="E5" s="2" t="s">
        <v>1977</v>
      </c>
      <c r="F5" s="2" t="s">
        <v>1986</v>
      </c>
      <c r="G5" s="15" t="s">
        <v>1979</v>
      </c>
      <c r="H5" s="2" t="s">
        <v>1980</v>
      </c>
      <c r="I5" s="2" t="s">
        <v>130</v>
      </c>
      <c r="J5" s="2" t="s">
        <v>141</v>
      </c>
      <c r="K5" s="2" t="s">
        <v>121</v>
      </c>
      <c r="L5" s="2" t="s">
        <v>1981</v>
      </c>
      <c r="M5" s="2" t="str">
        <f>IF(TRIM(C5)="","Missing",IF(AND(LEN(TRIM(C5))=10,SUMPRODUCT(--(CODE(MID(TRIM(C5),{1,2,3,4,5,10},1))&gt;=65),--(CODE(MID(TRIM(C5),{1,2,3,4,5,10},1))&lt;=90))=6,ISNUMBER(--MID(TRIM(C5),6,4))),"Valid","Invalid"))</f>
        <v>Missing</v>
      </c>
      <c r="N5" s="2" t="str">
        <f t="shared" si="0"/>
        <v>PAN Mismatch</v>
      </c>
      <c r="O5" s="2" t="str">
        <f t="shared" si="1"/>
        <v>Valid</v>
      </c>
      <c r="P5" s="2" t="str">
        <f t="shared" si="2"/>
        <v>Valid</v>
      </c>
      <c r="Q5" s="2" t="str">
        <f t="shared" si="3"/>
        <v>Valid</v>
      </c>
      <c r="R5" s="2" t="str">
        <f>IF(TRIM(H5)="","Missing",IF(AND(LEN(TRIM(H5))=11,SUMPRODUCT(--(CODE(MID(TRIM(H5),{1,2,3,4},1))&gt;=65),--(CODE(MID(TRIM(H5),{1,2,3,4},1))&lt;=90))=4,MID(TRIM(H5),5,1)="0"),"Valid","Invalid"))</f>
        <v>Valid</v>
      </c>
      <c r="S5" s="2" t="str">
        <f t="shared" si="4"/>
        <v>Valid</v>
      </c>
      <c r="T5" s="2" t="str">
        <f t="shared" si="5"/>
        <v>Valid</v>
      </c>
      <c r="U5" s="2">
        <f t="shared" si="6"/>
        <v>2</v>
      </c>
      <c r="V5" s="2" t="str">
        <f t="shared" si="7"/>
        <v>919991183842</v>
      </c>
    </row>
    <row r="6" spans="1:22" x14ac:dyDescent="0.35">
      <c r="A6" s="2" t="s">
        <v>1806</v>
      </c>
      <c r="B6" s="2" t="s">
        <v>1807</v>
      </c>
      <c r="C6" s="2" t="s">
        <v>1808</v>
      </c>
      <c r="D6" s="2" t="s">
        <v>1809</v>
      </c>
      <c r="E6" s="2" t="s">
        <v>1810</v>
      </c>
      <c r="F6" s="2" t="s">
        <v>1987</v>
      </c>
      <c r="G6" s="15" t="s">
        <v>1812</v>
      </c>
      <c r="H6" s="2" t="s">
        <v>1813</v>
      </c>
      <c r="I6" s="2" t="s">
        <v>130</v>
      </c>
      <c r="J6" s="2" t="s">
        <v>359</v>
      </c>
      <c r="K6" s="2" t="s">
        <v>121</v>
      </c>
      <c r="L6" s="2" t="s">
        <v>1814</v>
      </c>
      <c r="M6" s="2" t="str">
        <f>IF(TRIM(C6)="","Missing",IF(AND(LEN(TRIM(C6))=10,SUMPRODUCT(--(CODE(MID(TRIM(C6),{1,2,3,4,5,10},1))&gt;=65),--(CODE(MID(TRIM(C6),{1,2,3,4,5,10},1))&lt;=90))=6,ISNUMBER(--MID(TRIM(C6),6,4))),"Valid","Invalid"))</f>
        <v>Valid</v>
      </c>
      <c r="N6" s="2" t="str">
        <f t="shared" si="0"/>
        <v>Valid</v>
      </c>
      <c r="O6" s="2" t="str">
        <f t="shared" si="1"/>
        <v>Valid</v>
      </c>
      <c r="P6" s="2" t="str">
        <f t="shared" si="2"/>
        <v>Valid</v>
      </c>
      <c r="Q6" s="2" t="str">
        <f t="shared" si="3"/>
        <v>Valid</v>
      </c>
      <c r="R6" s="2" t="str">
        <f>IF(TRIM(H6)="","Missing",IF(AND(LEN(TRIM(H6))=11,SUMPRODUCT(--(CODE(MID(TRIM(H6),{1,2,3,4},1))&gt;=65),--(CODE(MID(TRIM(H6),{1,2,3,4},1))&lt;=90))=4,MID(TRIM(H6),5,1)="0"),"Valid","Invalid"))</f>
        <v>Invalid</v>
      </c>
      <c r="S6" s="2" t="str">
        <f t="shared" si="4"/>
        <v>Valid</v>
      </c>
      <c r="T6" s="2" t="str">
        <f t="shared" si="5"/>
        <v>Valid</v>
      </c>
      <c r="U6" s="2">
        <f t="shared" si="6"/>
        <v>1</v>
      </c>
      <c r="V6" s="2" t="str">
        <f t="shared" si="7"/>
        <v>916052427868</v>
      </c>
    </row>
    <row r="7" spans="1:22" x14ac:dyDescent="0.35">
      <c r="A7" s="2" t="s">
        <v>448</v>
      </c>
      <c r="B7" s="2" t="s">
        <v>1936</v>
      </c>
      <c r="C7" s="2" t="s">
        <v>442</v>
      </c>
      <c r="D7" s="2" t="s">
        <v>443</v>
      </c>
      <c r="E7" s="2" t="s">
        <v>444</v>
      </c>
      <c r="F7" s="2" t="s">
        <v>1988</v>
      </c>
      <c r="G7" s="15" t="s">
        <v>1939</v>
      </c>
      <c r="H7" s="2" t="s">
        <v>446</v>
      </c>
      <c r="I7" s="2" t="s">
        <v>130</v>
      </c>
      <c r="J7" s="2" t="s">
        <v>141</v>
      </c>
      <c r="K7" s="2" t="s">
        <v>142</v>
      </c>
      <c r="L7" s="2" t="s">
        <v>614</v>
      </c>
      <c r="M7" s="2" t="str">
        <f>IF(TRIM(C7)="","Missing",IF(AND(LEN(TRIM(C7))=10,SUMPRODUCT(--(CODE(MID(TRIM(C7),{1,2,3,4,5,10},1))&gt;=65),--(CODE(MID(TRIM(C7),{1,2,3,4,5,10},1))&lt;=90))=6,ISNUMBER(--MID(TRIM(C7),6,4))),"Valid","Invalid"))</f>
        <v>Valid</v>
      </c>
      <c r="N7" s="2" t="str">
        <f t="shared" si="0"/>
        <v>Valid</v>
      </c>
      <c r="O7" s="2" t="str">
        <f t="shared" si="1"/>
        <v>Valid</v>
      </c>
      <c r="P7" s="2" t="str">
        <f t="shared" si="2"/>
        <v>Valid</v>
      </c>
      <c r="Q7" s="2" t="str">
        <f t="shared" si="3"/>
        <v>Valid</v>
      </c>
      <c r="R7" s="2" t="str">
        <f>IF(TRIM(H7)="","Missing",IF(AND(LEN(TRIM(H7))=11,SUMPRODUCT(--(CODE(MID(TRIM(H7),{1,2,3,4},1))&gt;=65),--(CODE(MID(TRIM(H7),{1,2,3,4},1))&lt;=90))=4,MID(TRIM(H7),5,1)="0"),"Valid","Invalid"))</f>
        <v>Valid</v>
      </c>
      <c r="S7" s="2" t="str">
        <f t="shared" si="4"/>
        <v>Valid</v>
      </c>
      <c r="T7" s="2" t="str">
        <f t="shared" si="5"/>
        <v>Valid</v>
      </c>
      <c r="U7" s="2">
        <f t="shared" si="6"/>
        <v>0</v>
      </c>
      <c r="V7" s="2" t="str">
        <f t="shared" si="7"/>
        <v>917421607337</v>
      </c>
    </row>
    <row r="8" spans="1:22" x14ac:dyDescent="0.35">
      <c r="A8" s="2" t="s">
        <v>978</v>
      </c>
      <c r="B8" s="2" t="s">
        <v>979</v>
      </c>
      <c r="C8" s="2" t="s">
        <v>980</v>
      </c>
      <c r="D8" s="2" t="s">
        <v>981</v>
      </c>
      <c r="E8" s="2" t="s">
        <v>982</v>
      </c>
      <c r="F8" s="2" t="s">
        <v>1989</v>
      </c>
      <c r="G8" s="15" t="s">
        <v>984</v>
      </c>
      <c r="H8" s="2"/>
      <c r="I8" s="2" t="s">
        <v>130</v>
      </c>
      <c r="J8" s="2" t="s">
        <v>141</v>
      </c>
      <c r="K8" s="2" t="s">
        <v>121</v>
      </c>
      <c r="L8" s="2" t="s">
        <v>985</v>
      </c>
      <c r="M8" s="2" t="str">
        <f>IF(TRIM(C8)="","Missing",IF(AND(LEN(TRIM(C8))=10,SUMPRODUCT(--(CODE(MID(TRIM(C8),{1,2,3,4,5,10},1))&gt;=65),--(CODE(MID(TRIM(C8),{1,2,3,4,5,10},1))&lt;=90))=6,ISNUMBER(--MID(TRIM(C8),6,4))),"Valid","Invalid"))</f>
        <v>Valid</v>
      </c>
      <c r="N8" s="2" t="str">
        <f t="shared" si="0"/>
        <v>Valid</v>
      </c>
      <c r="O8" s="2" t="str">
        <f t="shared" si="1"/>
        <v>Valid</v>
      </c>
      <c r="P8" s="2" t="str">
        <f t="shared" si="2"/>
        <v>Valid</v>
      </c>
      <c r="Q8" s="2" t="str">
        <f t="shared" si="3"/>
        <v>Valid</v>
      </c>
      <c r="R8" s="2" t="str">
        <f>IF(TRIM(H8)="","Missing",IF(AND(LEN(TRIM(H8))=11,SUMPRODUCT(--(CODE(MID(TRIM(H8),{1,2,3,4},1))&gt;=65),--(CODE(MID(TRIM(H8),{1,2,3,4},1))&lt;=90))=4,MID(TRIM(H8),5,1)="0"),"Valid","Invalid"))</f>
        <v>Missing</v>
      </c>
      <c r="S8" s="2" t="str">
        <f t="shared" si="4"/>
        <v>Valid</v>
      </c>
      <c r="T8" s="2" t="str">
        <f t="shared" si="5"/>
        <v>Valid</v>
      </c>
      <c r="U8" s="2">
        <f t="shared" si="6"/>
        <v>1</v>
      </c>
      <c r="V8" s="2" t="str">
        <f t="shared" si="7"/>
        <v>916608835615</v>
      </c>
    </row>
    <row r="9" spans="1:22" x14ac:dyDescent="0.35">
      <c r="A9" s="2" t="s">
        <v>1453</v>
      </c>
      <c r="B9" s="2" t="s">
        <v>1454</v>
      </c>
      <c r="C9" s="2" t="s">
        <v>1455</v>
      </c>
      <c r="D9" s="2" t="s">
        <v>1456</v>
      </c>
      <c r="E9" s="2" t="s">
        <v>1457</v>
      </c>
      <c r="F9" s="2" t="s">
        <v>1990</v>
      </c>
      <c r="G9" s="15" t="s">
        <v>1459</v>
      </c>
      <c r="H9" s="2" t="s">
        <v>1460</v>
      </c>
      <c r="I9" s="2" t="s">
        <v>130</v>
      </c>
      <c r="J9" s="2" t="s">
        <v>174</v>
      </c>
      <c r="K9" s="2" t="s">
        <v>121</v>
      </c>
      <c r="L9" s="2" t="s">
        <v>1461</v>
      </c>
      <c r="M9" s="2" t="str">
        <f>IF(TRIM(C9)="","Missing",IF(AND(LEN(TRIM(C9))=10,SUMPRODUCT(--(CODE(MID(TRIM(C9),{1,2,3,4,5,10},1))&gt;=65),--(CODE(MID(TRIM(C9),{1,2,3,4,5,10},1))&lt;=90))=6,ISNUMBER(--MID(TRIM(C9),6,4))),"Valid","Invalid"))</f>
        <v>Valid</v>
      </c>
      <c r="N9" s="2" t="str">
        <f t="shared" si="0"/>
        <v>Valid</v>
      </c>
      <c r="O9" s="2" t="str">
        <f t="shared" si="1"/>
        <v>Valid</v>
      </c>
      <c r="P9" s="2" t="str">
        <f t="shared" si="2"/>
        <v>Valid</v>
      </c>
      <c r="Q9" s="2" t="str">
        <f t="shared" si="3"/>
        <v>Valid</v>
      </c>
      <c r="R9" s="2" t="str">
        <f>IF(TRIM(H9)="","Missing",IF(AND(LEN(TRIM(H9))=11,SUMPRODUCT(--(CODE(MID(TRIM(H9),{1,2,3,4},1))&gt;=65),--(CODE(MID(TRIM(H9),{1,2,3,4},1))&lt;=90))=4,MID(TRIM(H9),5,1)="0"),"Valid","Invalid"))</f>
        <v>Valid</v>
      </c>
      <c r="S9" s="2" t="str">
        <f t="shared" si="4"/>
        <v>Valid</v>
      </c>
      <c r="T9" s="2" t="str">
        <f t="shared" si="5"/>
        <v>Valid</v>
      </c>
      <c r="U9" s="2">
        <f t="shared" si="6"/>
        <v>0</v>
      </c>
      <c r="V9" s="2" t="str">
        <f t="shared" si="7"/>
        <v>917148951343</v>
      </c>
    </row>
    <row r="10" spans="1:22" x14ac:dyDescent="0.35">
      <c r="A10" s="2" t="s">
        <v>1061</v>
      </c>
      <c r="B10" s="2" t="s">
        <v>1062</v>
      </c>
      <c r="C10" s="2" t="s">
        <v>1063</v>
      </c>
      <c r="D10" s="2" t="s">
        <v>1064</v>
      </c>
      <c r="E10" s="2" t="s">
        <v>1065</v>
      </c>
      <c r="F10" s="2" t="s">
        <v>1991</v>
      </c>
      <c r="G10" s="15" t="s">
        <v>1067</v>
      </c>
      <c r="H10" s="2" t="s">
        <v>1068</v>
      </c>
      <c r="I10" s="2" t="s">
        <v>130</v>
      </c>
      <c r="J10" s="2" t="s">
        <v>174</v>
      </c>
      <c r="K10" s="2" t="s">
        <v>142</v>
      </c>
      <c r="L10" s="2" t="s">
        <v>1069</v>
      </c>
      <c r="M10" s="2" t="str">
        <f>IF(TRIM(C10)="","Missing",IF(AND(LEN(TRIM(C10))=10,SUMPRODUCT(--(CODE(MID(TRIM(C10),{1,2,3,4,5,10},1))&gt;=65),--(CODE(MID(TRIM(C10),{1,2,3,4,5,10},1))&lt;=90))=6,ISNUMBER(--MID(TRIM(C10),6,4))),"Valid","Invalid"))</f>
        <v>Valid</v>
      </c>
      <c r="N10" s="2" t="str">
        <f t="shared" si="0"/>
        <v>Valid</v>
      </c>
      <c r="O10" s="2" t="str">
        <f t="shared" si="1"/>
        <v>Valid</v>
      </c>
      <c r="P10" s="2" t="str">
        <f t="shared" si="2"/>
        <v>Valid</v>
      </c>
      <c r="Q10" s="2" t="str">
        <f t="shared" si="3"/>
        <v>Valid</v>
      </c>
      <c r="R10" s="2" t="str">
        <f>IF(TRIM(H10)="","Missing",IF(AND(LEN(TRIM(H10))=11,SUMPRODUCT(--(CODE(MID(TRIM(H10),{1,2,3,4},1))&gt;=65),--(CODE(MID(TRIM(H10),{1,2,3,4},1))&lt;=90))=4,MID(TRIM(H10),5,1)="0"),"Valid","Invalid"))</f>
        <v>Valid</v>
      </c>
      <c r="S10" s="2" t="str">
        <f t="shared" si="4"/>
        <v>Valid</v>
      </c>
      <c r="T10" s="2" t="str">
        <f t="shared" si="5"/>
        <v>Valid</v>
      </c>
      <c r="U10" s="2">
        <f t="shared" si="6"/>
        <v>0</v>
      </c>
      <c r="V10" s="2" t="str">
        <f t="shared" si="7"/>
        <v>919986872774</v>
      </c>
    </row>
    <row r="11" spans="1:22" x14ac:dyDescent="0.35">
      <c r="A11" s="2" t="s">
        <v>281</v>
      </c>
      <c r="B11" s="2" t="s">
        <v>282</v>
      </c>
      <c r="C11" s="2" t="s">
        <v>283</v>
      </c>
      <c r="D11" s="2" t="s">
        <v>284</v>
      </c>
      <c r="E11" s="2" t="s">
        <v>285</v>
      </c>
      <c r="F11" s="2" t="s">
        <v>1992</v>
      </c>
      <c r="G11" s="15" t="s">
        <v>287</v>
      </c>
      <c r="H11" s="2" t="s">
        <v>288</v>
      </c>
      <c r="I11" s="2" t="s">
        <v>130</v>
      </c>
      <c r="J11" s="2" t="s">
        <v>164</v>
      </c>
      <c r="K11" s="2" t="s">
        <v>121</v>
      </c>
      <c r="L11" s="2" t="s">
        <v>290</v>
      </c>
      <c r="M11" s="2" t="str">
        <f>IF(TRIM(C11)="","Missing",IF(AND(LEN(TRIM(C11))=10,SUMPRODUCT(--(CODE(MID(TRIM(C11),{1,2,3,4,5,10},1))&gt;=65),--(CODE(MID(TRIM(C11),{1,2,3,4,5,10},1))&lt;=90))=6,ISNUMBER(--MID(TRIM(C11),6,4))),"Valid","Invalid"))</f>
        <v>Valid</v>
      </c>
      <c r="N11" s="2" t="str">
        <f t="shared" si="0"/>
        <v>Valid</v>
      </c>
      <c r="O11" s="2" t="str">
        <f t="shared" si="1"/>
        <v>Valid</v>
      </c>
      <c r="P11" s="2" t="str">
        <f t="shared" si="2"/>
        <v>Valid</v>
      </c>
      <c r="Q11" s="2" t="str">
        <f t="shared" si="3"/>
        <v>Valid</v>
      </c>
      <c r="R11" s="2" t="str">
        <f>IF(TRIM(H11)="","Missing",IF(AND(LEN(TRIM(H11))=11,SUMPRODUCT(--(CODE(MID(TRIM(H11),{1,2,3,4},1))&gt;=65),--(CODE(MID(TRIM(H11),{1,2,3,4},1))&lt;=90))=4,MID(TRIM(H11),5,1)="0"),"Valid","Invalid"))</f>
        <v>Valid</v>
      </c>
      <c r="S11" s="2" t="str">
        <f t="shared" si="4"/>
        <v>Valid</v>
      </c>
      <c r="T11" s="2" t="str">
        <f t="shared" si="5"/>
        <v>Valid</v>
      </c>
      <c r="U11" s="2">
        <f t="shared" si="6"/>
        <v>0</v>
      </c>
      <c r="V11" s="2" t="str">
        <f t="shared" si="7"/>
        <v>919054668893</v>
      </c>
    </row>
    <row r="12" spans="1:22" x14ac:dyDescent="0.35">
      <c r="A12" s="2" t="s">
        <v>1264</v>
      </c>
      <c r="B12" s="2" t="s">
        <v>1265</v>
      </c>
      <c r="C12" s="2" t="s">
        <v>1266</v>
      </c>
      <c r="D12" s="2" t="s">
        <v>1267</v>
      </c>
      <c r="E12" s="2" t="s">
        <v>1268</v>
      </c>
      <c r="F12" s="2" t="s">
        <v>1993</v>
      </c>
      <c r="G12" s="15" t="s">
        <v>1270</v>
      </c>
      <c r="H12" s="2" t="s">
        <v>1271</v>
      </c>
      <c r="I12" s="2" t="s">
        <v>130</v>
      </c>
      <c r="J12" s="2" t="s">
        <v>359</v>
      </c>
      <c r="K12" s="2" t="s">
        <v>121</v>
      </c>
      <c r="L12" s="2" t="s">
        <v>1272</v>
      </c>
      <c r="M12" s="2" t="str">
        <f>IF(TRIM(C12)="","Missing",IF(AND(LEN(TRIM(C12))=10,SUMPRODUCT(--(CODE(MID(TRIM(C12),{1,2,3,4,5,10},1))&gt;=65),--(CODE(MID(TRIM(C12),{1,2,3,4,5,10},1))&lt;=90))=6,ISNUMBER(--MID(TRIM(C12),6,4))),"Valid","Invalid"))</f>
        <v>Valid</v>
      </c>
      <c r="N12" s="2" t="str">
        <f t="shared" si="0"/>
        <v>Valid</v>
      </c>
      <c r="O12" s="2" t="str">
        <f t="shared" si="1"/>
        <v>Valid</v>
      </c>
      <c r="P12" s="2" t="str">
        <f t="shared" si="2"/>
        <v>Valid</v>
      </c>
      <c r="Q12" s="2" t="str">
        <f t="shared" si="3"/>
        <v>Valid</v>
      </c>
      <c r="R12" s="2" t="str">
        <f>IF(TRIM(H12)="","Missing",IF(AND(LEN(TRIM(H12))=11,SUMPRODUCT(--(CODE(MID(TRIM(H12),{1,2,3,4},1))&gt;=65),--(CODE(MID(TRIM(H12),{1,2,3,4},1))&lt;=90))=4,MID(TRIM(H12),5,1)="0"),"Valid","Invalid"))</f>
        <v>Valid</v>
      </c>
      <c r="S12" s="2" t="str">
        <f t="shared" si="4"/>
        <v>Valid</v>
      </c>
      <c r="T12" s="2" t="str">
        <f t="shared" si="5"/>
        <v>Valid</v>
      </c>
      <c r="U12" s="2">
        <f t="shared" si="6"/>
        <v>0</v>
      </c>
      <c r="V12" s="2" t="str">
        <f t="shared" si="7"/>
        <v>916708053100</v>
      </c>
    </row>
    <row r="13" spans="1:22" x14ac:dyDescent="0.35">
      <c r="A13" s="2" t="s">
        <v>1815</v>
      </c>
      <c r="B13" s="2" t="s">
        <v>1816</v>
      </c>
      <c r="C13" s="2" t="s">
        <v>1817</v>
      </c>
      <c r="D13" s="2" t="s">
        <v>1818</v>
      </c>
      <c r="E13" s="2" t="s">
        <v>1819</v>
      </c>
      <c r="F13" s="2" t="s">
        <v>1994</v>
      </c>
      <c r="G13" s="15" t="s">
        <v>1821</v>
      </c>
      <c r="H13" s="2" t="s">
        <v>1822</v>
      </c>
      <c r="I13" s="2" t="s">
        <v>130</v>
      </c>
      <c r="J13" s="2" t="s">
        <v>174</v>
      </c>
      <c r="K13" s="2" t="s">
        <v>121</v>
      </c>
      <c r="L13" s="2" t="s">
        <v>1823</v>
      </c>
      <c r="M13" s="2" t="str">
        <f>IF(TRIM(C13)="","Missing",IF(AND(LEN(TRIM(C13))=10,SUMPRODUCT(--(CODE(MID(TRIM(C13),{1,2,3,4,5,10},1))&gt;=65),--(CODE(MID(TRIM(C13),{1,2,3,4,5,10},1))&lt;=90))=6,ISNUMBER(--MID(TRIM(C13),6,4))),"Valid","Invalid"))</f>
        <v>Valid</v>
      </c>
      <c r="N13" s="2" t="str">
        <f t="shared" si="0"/>
        <v>Valid</v>
      </c>
      <c r="O13" s="2" t="str">
        <f t="shared" si="1"/>
        <v>Valid</v>
      </c>
      <c r="P13" s="2" t="str">
        <f t="shared" si="2"/>
        <v>Valid</v>
      </c>
      <c r="Q13" s="2" t="str">
        <f t="shared" si="3"/>
        <v>Valid</v>
      </c>
      <c r="R13" s="2" t="str">
        <f>IF(TRIM(H13)="","Missing",IF(AND(LEN(TRIM(H13))=11,SUMPRODUCT(--(CODE(MID(TRIM(H13),{1,2,3,4},1))&gt;=65),--(CODE(MID(TRIM(H13),{1,2,3,4},1))&lt;=90))=4,MID(TRIM(H13),5,1)="0"),"Valid","Invalid"))</f>
        <v>Valid</v>
      </c>
      <c r="S13" s="2" t="str">
        <f t="shared" si="4"/>
        <v>Valid</v>
      </c>
      <c r="T13" s="2" t="str">
        <f t="shared" si="5"/>
        <v>Valid</v>
      </c>
      <c r="U13" s="2">
        <f t="shared" si="6"/>
        <v>0</v>
      </c>
      <c r="V13" s="2" t="str">
        <f t="shared" si="7"/>
        <v>916586518506</v>
      </c>
    </row>
    <row r="14" spans="1:22" x14ac:dyDescent="0.35">
      <c r="A14" s="2" t="s">
        <v>715</v>
      </c>
      <c r="B14" s="2" t="s">
        <v>716</v>
      </c>
      <c r="C14" s="2" t="s">
        <v>717</v>
      </c>
      <c r="D14" s="2" t="s">
        <v>718</v>
      </c>
      <c r="E14" s="2"/>
      <c r="F14" s="2"/>
      <c r="G14" s="15" t="s">
        <v>719</v>
      </c>
      <c r="H14" s="2" t="s">
        <v>720</v>
      </c>
      <c r="I14" s="2" t="s">
        <v>130</v>
      </c>
      <c r="J14" s="2" t="s">
        <v>141</v>
      </c>
      <c r="K14" s="2" t="s">
        <v>121</v>
      </c>
      <c r="L14" s="2" t="s">
        <v>721</v>
      </c>
      <c r="M14" s="2" t="str">
        <f>IF(TRIM(C14)="","Missing",IF(AND(LEN(TRIM(C14))=10,SUMPRODUCT(--(CODE(MID(TRIM(C14),{1,2,3,4,5,10},1))&gt;=65),--(CODE(MID(TRIM(C14),{1,2,3,4,5,10},1))&lt;=90))=6,ISNUMBER(--MID(TRIM(C14),6,4))),"Valid","Invalid"))</f>
        <v>Valid</v>
      </c>
      <c r="N14" s="2" t="str">
        <f t="shared" si="0"/>
        <v>Valid</v>
      </c>
      <c r="O14" s="2" t="str">
        <f t="shared" si="1"/>
        <v>Missing</v>
      </c>
      <c r="P14" s="2" t="str">
        <f t="shared" si="2"/>
        <v>Missing</v>
      </c>
      <c r="Q14" s="2" t="str">
        <f t="shared" si="3"/>
        <v>Valid</v>
      </c>
      <c r="R14" s="2" t="str">
        <f>IF(TRIM(H14)="","Missing",IF(AND(LEN(TRIM(H14))=11,SUMPRODUCT(--(CODE(MID(TRIM(H14),{1,2,3,4},1))&gt;=65),--(CODE(MID(TRIM(H14),{1,2,3,4},1))&lt;=90))=4,MID(TRIM(H14),5,1)="0"),"Valid","Invalid"))</f>
        <v>Valid</v>
      </c>
      <c r="S14" s="2" t="str">
        <f t="shared" si="4"/>
        <v>Valid</v>
      </c>
      <c r="T14" s="2" t="str">
        <f t="shared" si="5"/>
        <v>Valid</v>
      </c>
      <c r="U14" s="2">
        <f t="shared" si="6"/>
        <v>2</v>
      </c>
      <c r="V14" s="2" t="str">
        <f t="shared" si="7"/>
        <v/>
      </c>
    </row>
    <row r="15" spans="1:22" x14ac:dyDescent="0.35">
      <c r="A15" s="2" t="s">
        <v>379</v>
      </c>
      <c r="B15" s="2" t="s">
        <v>380</v>
      </c>
      <c r="C15" s="2" t="s">
        <v>381</v>
      </c>
      <c r="D15" s="2" t="s">
        <v>382</v>
      </c>
      <c r="E15" s="2"/>
      <c r="F15" s="2" t="s">
        <v>1995</v>
      </c>
      <c r="G15" s="15" t="s">
        <v>384</v>
      </c>
      <c r="H15" s="2" t="s">
        <v>385</v>
      </c>
      <c r="I15" s="2" t="s">
        <v>130</v>
      </c>
      <c r="J15" s="2" t="s">
        <v>164</v>
      </c>
      <c r="K15" s="2" t="s">
        <v>121</v>
      </c>
      <c r="L15" s="2" t="s">
        <v>386</v>
      </c>
      <c r="M15" s="2" t="str">
        <f>IF(TRIM(C15)="","Missing",IF(AND(LEN(TRIM(C15))=10,SUMPRODUCT(--(CODE(MID(TRIM(C15),{1,2,3,4,5,10},1))&gt;=65),--(CODE(MID(TRIM(C15),{1,2,3,4,5,10},1))&lt;=90))=6,ISNUMBER(--MID(TRIM(C15),6,4))),"Valid","Invalid"))</f>
        <v>Valid</v>
      </c>
      <c r="N15" s="2" t="str">
        <f t="shared" si="0"/>
        <v>Valid</v>
      </c>
      <c r="O15" s="2" t="str">
        <f t="shared" si="1"/>
        <v>Missing</v>
      </c>
      <c r="P15" s="2" t="str">
        <f t="shared" si="2"/>
        <v>Valid</v>
      </c>
      <c r="Q15" s="2" t="str">
        <f t="shared" si="3"/>
        <v>Valid</v>
      </c>
      <c r="R15" s="2" t="str">
        <f>IF(TRIM(H15)="","Missing",IF(AND(LEN(TRIM(H15))=11,SUMPRODUCT(--(CODE(MID(TRIM(H15),{1,2,3,4},1))&gt;=65),--(CODE(MID(TRIM(H15),{1,2,3,4},1))&lt;=90))=4,MID(TRIM(H15),5,1)="0"),"Valid","Invalid"))</f>
        <v>Valid</v>
      </c>
      <c r="S15" s="2" t="str">
        <f t="shared" si="4"/>
        <v>Valid</v>
      </c>
      <c r="T15" s="2" t="str">
        <f t="shared" si="5"/>
        <v>Valid</v>
      </c>
      <c r="U15" s="2">
        <f t="shared" si="6"/>
        <v>1</v>
      </c>
      <c r="V15" s="2" t="str">
        <f t="shared" si="7"/>
        <v>917749894134</v>
      </c>
    </row>
    <row r="16" spans="1:22" x14ac:dyDescent="0.35">
      <c r="A16" s="2" t="s">
        <v>396</v>
      </c>
      <c r="B16" s="2" t="s">
        <v>397</v>
      </c>
      <c r="C16" s="2" t="s">
        <v>1996</v>
      </c>
      <c r="D16" s="2" t="s">
        <v>399</v>
      </c>
      <c r="E16" s="2" t="s">
        <v>400</v>
      </c>
      <c r="F16" s="2" t="s">
        <v>1997</v>
      </c>
      <c r="G16" s="15" t="s">
        <v>402</v>
      </c>
      <c r="H16" s="2" t="s">
        <v>403</v>
      </c>
      <c r="I16" s="2" t="s">
        <v>130</v>
      </c>
      <c r="J16" s="2" t="s">
        <v>174</v>
      </c>
      <c r="K16" s="2" t="s">
        <v>121</v>
      </c>
      <c r="L16" s="2" t="s">
        <v>404</v>
      </c>
      <c r="M16" s="2" t="str">
        <f>IF(TRIM(C16)="","Missing",IF(AND(LEN(TRIM(C16))=10,SUMPRODUCT(--(CODE(MID(TRIM(C16),{1,2,3,4,5,10},1))&gt;=65),--(CODE(MID(TRIM(C16),{1,2,3,4,5,10},1))&lt;=90))=6,ISNUMBER(--MID(TRIM(C16),6,4))),"Valid","Invalid"))</f>
        <v>Valid</v>
      </c>
      <c r="N16" s="2" t="str">
        <f t="shared" si="0"/>
        <v>Valid</v>
      </c>
      <c r="O16" s="2" t="str">
        <f t="shared" si="1"/>
        <v>Valid</v>
      </c>
      <c r="P16" s="2" t="str">
        <f t="shared" si="2"/>
        <v>Valid</v>
      </c>
      <c r="Q16" s="2" t="str">
        <f t="shared" si="3"/>
        <v>Valid</v>
      </c>
      <c r="R16" s="2" t="str">
        <f>IF(TRIM(H16)="","Missing",IF(AND(LEN(TRIM(H16))=11,SUMPRODUCT(--(CODE(MID(TRIM(H16),{1,2,3,4},1))&gt;=65),--(CODE(MID(TRIM(H16),{1,2,3,4},1))&lt;=90))=4,MID(TRIM(H16),5,1)="0"),"Valid","Invalid"))</f>
        <v>Valid</v>
      </c>
      <c r="S16" s="2" t="str">
        <f t="shared" si="4"/>
        <v>Valid</v>
      </c>
      <c r="T16" s="2" t="str">
        <f t="shared" si="5"/>
        <v>Valid</v>
      </c>
      <c r="U16" s="2">
        <f t="shared" si="6"/>
        <v>0</v>
      </c>
      <c r="V16" s="2" t="str">
        <f t="shared" si="7"/>
        <v>917941318699</v>
      </c>
    </row>
    <row r="17" spans="1:22" x14ac:dyDescent="0.35">
      <c r="A17" s="2" t="s">
        <v>986</v>
      </c>
      <c r="B17" s="2" t="s">
        <v>987</v>
      </c>
      <c r="C17" s="2" t="s">
        <v>988</v>
      </c>
      <c r="D17" s="2" t="s">
        <v>989</v>
      </c>
      <c r="E17" s="2" t="s">
        <v>990</v>
      </c>
      <c r="F17" s="2" t="s">
        <v>1998</v>
      </c>
      <c r="G17" s="15" t="s">
        <v>992</v>
      </c>
      <c r="H17" s="2"/>
      <c r="I17" s="2" t="s">
        <v>130</v>
      </c>
      <c r="J17" s="2" t="s">
        <v>359</v>
      </c>
      <c r="K17" s="2" t="s">
        <v>121</v>
      </c>
      <c r="L17" s="2" t="s">
        <v>993</v>
      </c>
      <c r="M17" s="2" t="str">
        <f>IF(TRIM(C17)="","Missing",IF(AND(LEN(TRIM(C17))=10,SUMPRODUCT(--(CODE(MID(TRIM(C17),{1,2,3,4,5,10},1))&gt;=65),--(CODE(MID(TRIM(C17),{1,2,3,4,5,10},1))&lt;=90))=6,ISNUMBER(--MID(TRIM(C17),6,4))),"Valid","Invalid"))</f>
        <v>Valid</v>
      </c>
      <c r="N17" s="2" t="str">
        <f t="shared" si="0"/>
        <v>Invalid</v>
      </c>
      <c r="O17" s="2" t="str">
        <f t="shared" si="1"/>
        <v>Valid</v>
      </c>
      <c r="P17" s="2" t="str">
        <f t="shared" si="2"/>
        <v>Valid</v>
      </c>
      <c r="Q17" s="2" t="str">
        <f t="shared" si="3"/>
        <v>Valid</v>
      </c>
      <c r="R17" s="2" t="str">
        <f>IF(TRIM(H17)="","Missing",IF(AND(LEN(TRIM(H17))=11,SUMPRODUCT(--(CODE(MID(TRIM(H17),{1,2,3,4},1))&gt;=65),--(CODE(MID(TRIM(H17),{1,2,3,4},1))&lt;=90))=4,MID(TRIM(H17),5,1)="0"),"Valid","Invalid"))</f>
        <v>Missing</v>
      </c>
      <c r="S17" s="2" t="str">
        <f t="shared" si="4"/>
        <v>Valid</v>
      </c>
      <c r="T17" s="2" t="str">
        <f t="shared" si="5"/>
        <v>Valid</v>
      </c>
      <c r="U17" s="2">
        <f t="shared" si="6"/>
        <v>2</v>
      </c>
      <c r="V17" s="2" t="str">
        <f t="shared" si="7"/>
        <v>916349361832</v>
      </c>
    </row>
    <row r="18" spans="1:22" x14ac:dyDescent="0.35">
      <c r="A18" s="2" t="s">
        <v>598</v>
      </c>
      <c r="B18" s="2" t="s">
        <v>599</v>
      </c>
      <c r="C18" s="2" t="s">
        <v>600</v>
      </c>
      <c r="D18" s="2"/>
      <c r="E18" s="2" t="s">
        <v>601</v>
      </c>
      <c r="F18" s="2" t="s">
        <v>1999</v>
      </c>
      <c r="G18" s="15" t="s">
        <v>603</v>
      </c>
      <c r="H18" s="2" t="s">
        <v>604</v>
      </c>
      <c r="I18" s="2" t="s">
        <v>130</v>
      </c>
      <c r="J18" s="2" t="s">
        <v>359</v>
      </c>
      <c r="K18" s="2" t="s">
        <v>121</v>
      </c>
      <c r="L18" s="2" t="s">
        <v>605</v>
      </c>
      <c r="M18" s="2" t="str">
        <f>IF(TRIM(C18)="","Missing",IF(AND(LEN(TRIM(C18))=10,SUMPRODUCT(--(CODE(MID(TRIM(C18),{1,2,3,4,5,10},1))&gt;=65),--(CODE(MID(TRIM(C18),{1,2,3,4,5,10},1))&lt;=90))=6,ISNUMBER(--MID(TRIM(C18),6,4))),"Valid","Invalid"))</f>
        <v>Valid</v>
      </c>
      <c r="N18" s="2" t="str">
        <f t="shared" si="0"/>
        <v>Missing</v>
      </c>
      <c r="O18" s="2" t="str">
        <f t="shared" si="1"/>
        <v>Valid</v>
      </c>
      <c r="P18" s="2" t="str">
        <f t="shared" si="2"/>
        <v>Valid</v>
      </c>
      <c r="Q18" s="2" t="str">
        <f t="shared" si="3"/>
        <v>Valid</v>
      </c>
      <c r="R18" s="2" t="str">
        <f>IF(TRIM(H18)="","Missing",IF(AND(LEN(TRIM(H18))=11,SUMPRODUCT(--(CODE(MID(TRIM(H18),{1,2,3,4},1))&gt;=65),--(CODE(MID(TRIM(H18),{1,2,3,4},1))&lt;=90))=4,MID(TRIM(H18),5,1)="0"),"Valid","Invalid"))</f>
        <v>Valid</v>
      </c>
      <c r="S18" s="2" t="str">
        <f t="shared" si="4"/>
        <v>Valid</v>
      </c>
      <c r="T18" s="2" t="str">
        <f t="shared" si="5"/>
        <v>Valid</v>
      </c>
      <c r="U18" s="2">
        <f t="shared" si="6"/>
        <v>1</v>
      </c>
      <c r="V18" s="2" t="str">
        <f t="shared" si="7"/>
        <v>917787429671</v>
      </c>
    </row>
    <row r="19" spans="1:22" x14ac:dyDescent="0.35">
      <c r="A19" s="2" t="s">
        <v>896</v>
      </c>
      <c r="B19" s="2" t="s">
        <v>897</v>
      </c>
      <c r="C19" s="2" t="s">
        <v>898</v>
      </c>
      <c r="D19" s="2" t="s">
        <v>899</v>
      </c>
      <c r="E19" s="2"/>
      <c r="F19" s="2" t="s">
        <v>2000</v>
      </c>
      <c r="G19" s="15" t="s">
        <v>901</v>
      </c>
      <c r="H19" s="2" t="s">
        <v>902</v>
      </c>
      <c r="I19" s="2" t="s">
        <v>130</v>
      </c>
      <c r="J19" s="2" t="s">
        <v>164</v>
      </c>
      <c r="K19" s="2" t="s">
        <v>121</v>
      </c>
      <c r="L19" s="2" t="s">
        <v>903</v>
      </c>
      <c r="M19" s="2" t="str">
        <f>IF(TRIM(C19)="","Missing",IF(AND(LEN(TRIM(C19))=10,SUMPRODUCT(--(CODE(MID(TRIM(C19),{1,2,3,4,5,10},1))&gt;=65),--(CODE(MID(TRIM(C19),{1,2,3,4,5,10},1))&lt;=90))=6,ISNUMBER(--MID(TRIM(C19),6,4))),"Valid","Invalid"))</f>
        <v>Valid</v>
      </c>
      <c r="N19" s="2" t="str">
        <f t="shared" si="0"/>
        <v>PAN Mismatch</v>
      </c>
      <c r="O19" s="2" t="str">
        <f t="shared" si="1"/>
        <v>Missing</v>
      </c>
      <c r="P19" s="2" t="str">
        <f t="shared" si="2"/>
        <v>Valid</v>
      </c>
      <c r="Q19" s="2" t="str">
        <f t="shared" si="3"/>
        <v>Valid</v>
      </c>
      <c r="R19" s="2" t="str">
        <f>IF(TRIM(H19)="","Missing",IF(AND(LEN(TRIM(H19))=11,SUMPRODUCT(--(CODE(MID(TRIM(H19),{1,2,3,4},1))&gt;=65),--(CODE(MID(TRIM(H19),{1,2,3,4},1))&lt;=90))=4,MID(TRIM(H19),5,1)="0"),"Valid","Invalid"))</f>
        <v>Valid</v>
      </c>
      <c r="S19" s="2" t="str">
        <f t="shared" si="4"/>
        <v>Valid</v>
      </c>
      <c r="T19" s="2" t="str">
        <f t="shared" si="5"/>
        <v>Valid</v>
      </c>
      <c r="U19" s="2">
        <f t="shared" si="6"/>
        <v>2</v>
      </c>
      <c r="V19" s="2" t="str">
        <f t="shared" si="7"/>
        <v>918824771093</v>
      </c>
    </row>
    <row r="20" spans="1:22" x14ac:dyDescent="0.35">
      <c r="A20" s="2" t="s">
        <v>1167</v>
      </c>
      <c r="B20" s="2" t="s">
        <v>1168</v>
      </c>
      <c r="C20" s="2"/>
      <c r="D20" s="2"/>
      <c r="E20" s="2"/>
      <c r="F20" s="2" t="s">
        <v>2001</v>
      </c>
      <c r="G20" s="15" t="s">
        <v>1170</v>
      </c>
      <c r="H20" s="2" t="s">
        <v>2002</v>
      </c>
      <c r="I20" s="2" t="s">
        <v>130</v>
      </c>
      <c r="J20" s="2" t="s">
        <v>174</v>
      </c>
      <c r="K20" s="2" t="s">
        <v>121</v>
      </c>
      <c r="L20" s="2" t="s">
        <v>1172</v>
      </c>
      <c r="M20" s="2" t="str">
        <f>IF(TRIM(C20)="","Missing",IF(AND(LEN(TRIM(C20))=10,SUMPRODUCT(--(CODE(MID(TRIM(C20),{1,2,3,4,5,10},1))&gt;=65),--(CODE(MID(TRIM(C20),{1,2,3,4,5,10},1))&lt;=90))=6,ISNUMBER(--MID(TRIM(C20),6,4))),"Valid","Invalid"))</f>
        <v>Missing</v>
      </c>
      <c r="N20" s="2" t="str">
        <f t="shared" si="0"/>
        <v>Missing</v>
      </c>
      <c r="O20" s="2" t="str">
        <f t="shared" si="1"/>
        <v>Missing</v>
      </c>
      <c r="P20" s="2" t="str">
        <f t="shared" si="2"/>
        <v>Valid</v>
      </c>
      <c r="Q20" s="2" t="str">
        <f t="shared" si="3"/>
        <v>Valid</v>
      </c>
      <c r="R20" s="2" t="str">
        <f>IF(TRIM(H20)="","Missing",IF(AND(LEN(TRIM(H20))=11,SUMPRODUCT(--(CODE(MID(TRIM(H20),{1,2,3,4},1))&gt;=65),--(CODE(MID(TRIM(H20),{1,2,3,4},1))&lt;=90))=4,MID(TRIM(H20),5,1)="0"),"Valid","Invalid"))</f>
        <v>Valid</v>
      </c>
      <c r="S20" s="2" t="str">
        <f t="shared" si="4"/>
        <v>Valid</v>
      </c>
      <c r="T20" s="2" t="str">
        <f t="shared" si="5"/>
        <v>Valid</v>
      </c>
      <c r="U20" s="2">
        <f t="shared" si="6"/>
        <v>3</v>
      </c>
      <c r="V20" s="2" t="str">
        <f t="shared" si="7"/>
        <v>916449972787</v>
      </c>
    </row>
    <row r="21" spans="1:22" x14ac:dyDescent="0.35">
      <c r="A21" s="2" t="s">
        <v>1918</v>
      </c>
      <c r="B21" s="2" t="s">
        <v>1919</v>
      </c>
      <c r="C21" s="2" t="s">
        <v>1920</v>
      </c>
      <c r="D21" s="2" t="s">
        <v>1921</v>
      </c>
      <c r="E21" s="2" t="s">
        <v>2003</v>
      </c>
      <c r="F21" s="2" t="s">
        <v>2004</v>
      </c>
      <c r="G21" s="15" t="s">
        <v>1924</v>
      </c>
      <c r="H21" s="2" t="s">
        <v>1925</v>
      </c>
      <c r="I21" s="2" t="s">
        <v>130</v>
      </c>
      <c r="J21" s="2" t="s">
        <v>141</v>
      </c>
      <c r="K21" s="2" t="s">
        <v>121</v>
      </c>
      <c r="L21" s="2" t="s">
        <v>1926</v>
      </c>
      <c r="M21" s="2" t="str">
        <f>IF(TRIM(C21)="","Missing",IF(AND(LEN(TRIM(C21))=10,SUMPRODUCT(--(CODE(MID(TRIM(C21),{1,2,3,4,5,10},1))&gt;=65),--(CODE(MID(TRIM(C21),{1,2,3,4,5,10},1))&lt;=90))=6,ISNUMBER(--MID(TRIM(C21),6,4))),"Valid","Invalid"))</f>
        <v>Valid</v>
      </c>
      <c r="N21" s="2" t="str">
        <f t="shared" si="0"/>
        <v>Valid</v>
      </c>
      <c r="O21" s="2" t="str">
        <f t="shared" si="1"/>
        <v>Valid</v>
      </c>
      <c r="P21" s="2" t="str">
        <f t="shared" si="2"/>
        <v>Valid</v>
      </c>
      <c r="Q21" s="2" t="str">
        <f t="shared" si="3"/>
        <v>Valid</v>
      </c>
      <c r="R21" s="2" t="str">
        <f>IF(TRIM(H21)="","Missing",IF(AND(LEN(TRIM(H21))=11,SUMPRODUCT(--(CODE(MID(TRIM(H21),{1,2,3,4},1))&gt;=65),--(CODE(MID(TRIM(H21),{1,2,3,4},1))&lt;=90))=4,MID(TRIM(H21),5,1)="0"),"Valid","Invalid"))</f>
        <v>Valid</v>
      </c>
      <c r="S21" s="2" t="str">
        <f t="shared" si="4"/>
        <v>Valid</v>
      </c>
      <c r="T21" s="2" t="str">
        <f t="shared" si="5"/>
        <v>Valid</v>
      </c>
      <c r="U21" s="2">
        <f t="shared" si="6"/>
        <v>0</v>
      </c>
      <c r="V21" s="2" t="str">
        <f t="shared" si="7"/>
        <v>918596158657</v>
      </c>
    </row>
    <row r="22" spans="1:22" x14ac:dyDescent="0.35">
      <c r="A22" s="2" t="s">
        <v>1095</v>
      </c>
      <c r="B22" s="2" t="s">
        <v>1096</v>
      </c>
      <c r="C22" s="2" t="s">
        <v>1097</v>
      </c>
      <c r="D22" s="2" t="s">
        <v>1098</v>
      </c>
      <c r="E22" s="2" t="s">
        <v>1099</v>
      </c>
      <c r="F22" s="2" t="s">
        <v>2005</v>
      </c>
      <c r="G22" s="15" t="s">
        <v>1101</v>
      </c>
      <c r="H22" s="2" t="s">
        <v>1102</v>
      </c>
      <c r="I22" s="2" t="s">
        <v>130</v>
      </c>
      <c r="J22" s="2" t="s">
        <v>141</v>
      </c>
      <c r="K22" s="2" t="s">
        <v>121</v>
      </c>
      <c r="L22" s="2" t="s">
        <v>773</v>
      </c>
      <c r="M22" s="2" t="str">
        <f>IF(TRIM(C22)="","Missing",IF(AND(LEN(TRIM(C22))=10,SUMPRODUCT(--(CODE(MID(TRIM(C22),{1,2,3,4,5,10},1))&gt;=65),--(CODE(MID(TRIM(C22),{1,2,3,4,5,10},1))&lt;=90))=6,ISNUMBER(--MID(TRIM(C22),6,4))),"Valid","Invalid"))</f>
        <v>Valid</v>
      </c>
      <c r="N22" s="2" t="str">
        <f t="shared" si="0"/>
        <v>Valid</v>
      </c>
      <c r="O22" s="2" t="str">
        <f t="shared" si="1"/>
        <v>Valid</v>
      </c>
      <c r="P22" s="2" t="str">
        <f t="shared" si="2"/>
        <v>Valid</v>
      </c>
      <c r="Q22" s="2" t="str">
        <f t="shared" si="3"/>
        <v>Valid</v>
      </c>
      <c r="R22" s="2" t="str">
        <f>IF(TRIM(H22)="","Missing",IF(AND(LEN(TRIM(H22))=11,SUMPRODUCT(--(CODE(MID(TRIM(H22),{1,2,3,4},1))&gt;=65),--(CODE(MID(TRIM(H22),{1,2,3,4},1))&lt;=90))=4,MID(TRIM(H22),5,1)="0"),"Valid","Invalid"))</f>
        <v>Valid</v>
      </c>
      <c r="S22" s="2" t="str">
        <f t="shared" si="4"/>
        <v>Valid</v>
      </c>
      <c r="T22" s="2" t="str">
        <f t="shared" si="5"/>
        <v>Valid</v>
      </c>
      <c r="U22" s="2">
        <f t="shared" si="6"/>
        <v>0</v>
      </c>
      <c r="V22" s="2" t="str">
        <f t="shared" si="7"/>
        <v>919923747407</v>
      </c>
    </row>
    <row r="23" spans="1:22" x14ac:dyDescent="0.35">
      <c r="A23" s="2" t="s">
        <v>206</v>
      </c>
      <c r="B23" s="2" t="s">
        <v>207</v>
      </c>
      <c r="C23" s="2" t="s">
        <v>208</v>
      </c>
      <c r="D23" s="2" t="s">
        <v>209</v>
      </c>
      <c r="E23" s="2" t="s">
        <v>210</v>
      </c>
      <c r="F23" s="2" t="s">
        <v>2006</v>
      </c>
      <c r="G23" s="15" t="s">
        <v>212</v>
      </c>
      <c r="H23" s="2" t="s">
        <v>2007</v>
      </c>
      <c r="I23" s="2" t="s">
        <v>130</v>
      </c>
      <c r="J23" s="2" t="s">
        <v>141</v>
      </c>
      <c r="K23" s="2" t="s">
        <v>121</v>
      </c>
      <c r="L23" s="2" t="s">
        <v>214</v>
      </c>
      <c r="M23" s="2" t="str">
        <f>IF(TRIM(C23)="","Missing",IF(AND(LEN(TRIM(C23))=10,SUMPRODUCT(--(CODE(MID(TRIM(C23),{1,2,3,4,5,10},1))&gt;=65),--(CODE(MID(TRIM(C23),{1,2,3,4,5,10},1))&lt;=90))=6,ISNUMBER(--MID(TRIM(C23),6,4))),"Valid","Invalid"))</f>
        <v>Valid</v>
      </c>
      <c r="N23" s="2" t="str">
        <f t="shared" si="0"/>
        <v>Valid</v>
      </c>
      <c r="O23" s="2" t="str">
        <f t="shared" si="1"/>
        <v>Invalid</v>
      </c>
      <c r="P23" s="2" t="str">
        <f t="shared" si="2"/>
        <v>Valid</v>
      </c>
      <c r="Q23" s="2" t="str">
        <f t="shared" si="3"/>
        <v>Valid</v>
      </c>
      <c r="R23" s="2" t="str">
        <f>IF(TRIM(H23)="","Missing",IF(AND(LEN(TRIM(H23))=11,SUMPRODUCT(--(CODE(MID(TRIM(H23),{1,2,3,4},1))&gt;=65),--(CODE(MID(TRIM(H23),{1,2,3,4},1))&lt;=90))=4,MID(TRIM(H23),5,1)="0"),"Valid","Invalid"))</f>
        <v>Valid</v>
      </c>
      <c r="S23" s="2" t="str">
        <f t="shared" si="4"/>
        <v>Valid</v>
      </c>
      <c r="T23" s="2" t="str">
        <f t="shared" si="5"/>
        <v>Valid</v>
      </c>
      <c r="U23" s="2">
        <f t="shared" si="6"/>
        <v>1</v>
      </c>
      <c r="V23" s="2" t="str">
        <f t="shared" si="7"/>
        <v>918339421047</v>
      </c>
    </row>
    <row r="24" spans="1:22" x14ac:dyDescent="0.35">
      <c r="A24" s="2" t="s">
        <v>1404</v>
      </c>
      <c r="B24" s="2" t="s">
        <v>1405</v>
      </c>
      <c r="C24" s="2" t="s">
        <v>1406</v>
      </c>
      <c r="D24" s="2" t="s">
        <v>1407</v>
      </c>
      <c r="E24" s="2" t="s">
        <v>1408</v>
      </c>
      <c r="F24" s="2" t="s">
        <v>2008</v>
      </c>
      <c r="G24" s="15" t="s">
        <v>1410</v>
      </c>
      <c r="H24" s="2" t="s">
        <v>1411</v>
      </c>
      <c r="I24" s="2" t="s">
        <v>130</v>
      </c>
      <c r="J24" s="2" t="s">
        <v>174</v>
      </c>
      <c r="K24" s="2" t="s">
        <v>121</v>
      </c>
      <c r="L24" s="2" t="s">
        <v>1412</v>
      </c>
      <c r="M24" s="2" t="str">
        <f>IF(TRIM(C24)="","Missing",IF(AND(LEN(TRIM(C24))=10,SUMPRODUCT(--(CODE(MID(TRIM(C24),{1,2,3,4,5,10},1))&gt;=65),--(CODE(MID(TRIM(C24),{1,2,3,4,5,10},1))&lt;=90))=6,ISNUMBER(--MID(TRIM(C24),6,4))),"Valid","Invalid"))</f>
        <v>Valid</v>
      </c>
      <c r="N24" s="2" t="str">
        <f t="shared" si="0"/>
        <v>Valid</v>
      </c>
      <c r="O24" s="2" t="str">
        <f t="shared" si="1"/>
        <v>Valid</v>
      </c>
      <c r="P24" s="2" t="str">
        <f t="shared" si="2"/>
        <v>Valid</v>
      </c>
      <c r="Q24" s="2" t="str">
        <f t="shared" si="3"/>
        <v>Valid</v>
      </c>
      <c r="R24" s="2" t="str">
        <f>IF(TRIM(H24)="","Missing",IF(AND(LEN(TRIM(H24))=11,SUMPRODUCT(--(CODE(MID(TRIM(H24),{1,2,3,4},1))&gt;=65),--(CODE(MID(TRIM(H24),{1,2,3,4},1))&lt;=90))=4,MID(TRIM(H24),5,1)="0"),"Valid","Invalid"))</f>
        <v>Valid</v>
      </c>
      <c r="S24" s="2" t="str">
        <f t="shared" si="4"/>
        <v>Valid</v>
      </c>
      <c r="T24" s="2" t="str">
        <f t="shared" si="5"/>
        <v>Valid</v>
      </c>
      <c r="U24" s="2">
        <f t="shared" si="6"/>
        <v>0</v>
      </c>
      <c r="V24" s="2" t="str">
        <f t="shared" si="7"/>
        <v>918817549651</v>
      </c>
    </row>
    <row r="25" spans="1:22" x14ac:dyDescent="0.35">
      <c r="A25" s="2" t="s">
        <v>316</v>
      </c>
      <c r="B25" s="2" t="s">
        <v>317</v>
      </c>
      <c r="C25" s="2" t="s">
        <v>318</v>
      </c>
      <c r="D25" s="2" t="s">
        <v>319</v>
      </c>
      <c r="E25" s="2" t="s">
        <v>320</v>
      </c>
      <c r="F25" s="2" t="s">
        <v>2009</v>
      </c>
      <c r="G25" s="15" t="s">
        <v>322</v>
      </c>
      <c r="H25" s="2" t="s">
        <v>323</v>
      </c>
      <c r="I25" s="2" t="s">
        <v>130</v>
      </c>
      <c r="J25" s="2" t="s">
        <v>174</v>
      </c>
      <c r="K25" s="2" t="s">
        <v>121</v>
      </c>
      <c r="L25" s="2" t="s">
        <v>324</v>
      </c>
      <c r="M25" s="2" t="str">
        <f>IF(TRIM(C25)="","Missing",IF(AND(LEN(TRIM(C25))=10,SUMPRODUCT(--(CODE(MID(TRIM(C25),{1,2,3,4,5,10},1))&gt;=65),--(CODE(MID(TRIM(C25),{1,2,3,4,5,10},1))&lt;=90))=6,ISNUMBER(--MID(TRIM(C25),6,4))),"Valid","Invalid"))</f>
        <v>Valid</v>
      </c>
      <c r="N25" s="2" t="str">
        <f t="shared" si="0"/>
        <v>Valid</v>
      </c>
      <c r="O25" s="2" t="str">
        <f t="shared" si="1"/>
        <v>Valid</v>
      </c>
      <c r="P25" s="2" t="str">
        <f t="shared" si="2"/>
        <v>Valid</v>
      </c>
      <c r="Q25" s="2" t="str">
        <f t="shared" si="3"/>
        <v>Valid</v>
      </c>
      <c r="R25" s="2" t="str">
        <f>IF(TRIM(H25)="","Missing",IF(AND(LEN(TRIM(H25))=11,SUMPRODUCT(--(CODE(MID(TRIM(H25),{1,2,3,4},1))&gt;=65),--(CODE(MID(TRIM(H25),{1,2,3,4},1))&lt;=90))=4,MID(TRIM(H25),5,1)="0"),"Valid","Invalid"))</f>
        <v>Valid</v>
      </c>
      <c r="S25" s="2" t="str">
        <f t="shared" si="4"/>
        <v>Valid</v>
      </c>
      <c r="T25" s="2" t="str">
        <f t="shared" si="5"/>
        <v>Valid</v>
      </c>
      <c r="U25" s="2">
        <f t="shared" si="6"/>
        <v>0</v>
      </c>
      <c r="V25" s="2" t="str">
        <f t="shared" si="7"/>
        <v>919405377351</v>
      </c>
    </row>
    <row r="26" spans="1:22" x14ac:dyDescent="0.35">
      <c r="A26" s="2" t="s">
        <v>1723</v>
      </c>
      <c r="B26" s="2" t="s">
        <v>1724</v>
      </c>
      <c r="C26" s="2" t="s">
        <v>1725</v>
      </c>
      <c r="D26" s="2" t="s">
        <v>1726</v>
      </c>
      <c r="E26" s="2" t="s">
        <v>1727</v>
      </c>
      <c r="F26" s="2" t="s">
        <v>2010</v>
      </c>
      <c r="G26" s="15" t="s">
        <v>1729</v>
      </c>
      <c r="H26" s="2" t="s">
        <v>1730</v>
      </c>
      <c r="I26" s="2" t="s">
        <v>130</v>
      </c>
      <c r="J26" s="2" t="s">
        <v>359</v>
      </c>
      <c r="K26" s="2" t="s">
        <v>142</v>
      </c>
      <c r="L26" s="2" t="s">
        <v>1731</v>
      </c>
      <c r="M26" s="2" t="str">
        <f>IF(TRIM(C26)="","Missing",IF(AND(LEN(TRIM(C26))=10,SUMPRODUCT(--(CODE(MID(TRIM(C26),{1,2,3,4,5,10},1))&gt;=65),--(CODE(MID(TRIM(C26),{1,2,3,4,5,10},1))&lt;=90))=6,ISNUMBER(--MID(TRIM(C26),6,4))),"Valid","Invalid"))</f>
        <v>Valid</v>
      </c>
      <c r="N26" s="2" t="str">
        <f t="shared" si="0"/>
        <v>Valid</v>
      </c>
      <c r="O26" s="2" t="str">
        <f t="shared" si="1"/>
        <v>Valid</v>
      </c>
      <c r="P26" s="2" t="str">
        <f t="shared" si="2"/>
        <v>Valid</v>
      </c>
      <c r="Q26" s="2" t="str">
        <f t="shared" si="3"/>
        <v>Valid</v>
      </c>
      <c r="R26" s="2" t="str">
        <f>IF(TRIM(H26)="","Missing",IF(AND(LEN(TRIM(H26))=11,SUMPRODUCT(--(CODE(MID(TRIM(H26),{1,2,3,4},1))&gt;=65),--(CODE(MID(TRIM(H26),{1,2,3,4},1))&lt;=90))=4,MID(TRIM(H26),5,1)="0"),"Valid","Invalid"))</f>
        <v>Valid</v>
      </c>
      <c r="S26" s="2" t="str">
        <f t="shared" si="4"/>
        <v>Valid</v>
      </c>
      <c r="T26" s="2" t="str">
        <f t="shared" si="5"/>
        <v>Valid</v>
      </c>
      <c r="U26" s="2">
        <f t="shared" si="6"/>
        <v>0</v>
      </c>
      <c r="V26" s="2" t="str">
        <f t="shared" si="7"/>
        <v>916020539502</v>
      </c>
    </row>
    <row r="27" spans="1:22" x14ac:dyDescent="0.35">
      <c r="A27" s="2" t="s">
        <v>582</v>
      </c>
      <c r="B27" s="2" t="s">
        <v>583</v>
      </c>
      <c r="C27" s="2"/>
      <c r="D27" s="2" t="s">
        <v>584</v>
      </c>
      <c r="E27" s="2" t="s">
        <v>585</v>
      </c>
      <c r="F27" s="2" t="s">
        <v>2011</v>
      </c>
      <c r="G27" s="15" t="s">
        <v>587</v>
      </c>
      <c r="H27" s="2"/>
      <c r="I27" s="2" t="s">
        <v>130</v>
      </c>
      <c r="J27" s="2" t="s">
        <v>359</v>
      </c>
      <c r="K27" s="2" t="s">
        <v>121</v>
      </c>
      <c r="L27" s="2" t="s">
        <v>588</v>
      </c>
      <c r="M27" s="2" t="str">
        <f>IF(TRIM(C27)="","Missing",IF(AND(LEN(TRIM(C27))=10,SUMPRODUCT(--(CODE(MID(TRIM(C27),{1,2,3,4,5,10},1))&gt;=65),--(CODE(MID(TRIM(C27),{1,2,3,4,5,10},1))&lt;=90))=6,ISNUMBER(--MID(TRIM(C27),6,4))),"Valid","Invalid"))</f>
        <v>Missing</v>
      </c>
      <c r="N27" s="2" t="str">
        <f t="shared" si="0"/>
        <v>PAN Mismatch</v>
      </c>
      <c r="O27" s="2" t="str">
        <f t="shared" si="1"/>
        <v>Valid</v>
      </c>
      <c r="P27" s="2" t="str">
        <f t="shared" si="2"/>
        <v>Valid</v>
      </c>
      <c r="Q27" s="2" t="str">
        <f t="shared" si="3"/>
        <v>Valid</v>
      </c>
      <c r="R27" s="2" t="str">
        <f>IF(TRIM(H27)="","Missing",IF(AND(LEN(TRIM(H27))=11,SUMPRODUCT(--(CODE(MID(TRIM(H27),{1,2,3,4},1))&gt;=65),--(CODE(MID(TRIM(H27),{1,2,3,4},1))&lt;=90))=4,MID(TRIM(H27),5,1)="0"),"Valid","Invalid"))</f>
        <v>Missing</v>
      </c>
      <c r="S27" s="2" t="str">
        <f t="shared" si="4"/>
        <v>Valid</v>
      </c>
      <c r="T27" s="2" t="str">
        <f t="shared" si="5"/>
        <v>Valid</v>
      </c>
      <c r="U27" s="2">
        <f t="shared" si="6"/>
        <v>3</v>
      </c>
      <c r="V27" s="2" t="str">
        <f t="shared" si="7"/>
        <v>916656049451</v>
      </c>
    </row>
    <row r="28" spans="1:22" x14ac:dyDescent="0.35">
      <c r="A28" s="2" t="s">
        <v>1378</v>
      </c>
      <c r="B28" s="2" t="s">
        <v>1379</v>
      </c>
      <c r="C28" s="2" t="s">
        <v>1380</v>
      </c>
      <c r="D28" s="2" t="s">
        <v>1381</v>
      </c>
      <c r="E28" s="2" t="s">
        <v>2012</v>
      </c>
      <c r="F28" s="2" t="s">
        <v>2013</v>
      </c>
      <c r="G28" s="15" t="s">
        <v>1384</v>
      </c>
      <c r="H28" s="2"/>
      <c r="I28" s="2" t="s">
        <v>130</v>
      </c>
      <c r="J28" s="2" t="s">
        <v>164</v>
      </c>
      <c r="K28" s="2" t="s">
        <v>121</v>
      </c>
      <c r="L28" s="2" t="s">
        <v>1385</v>
      </c>
      <c r="M28" s="2" t="str">
        <f>IF(TRIM(C28)="","Missing",IF(AND(LEN(TRIM(C28))=10,SUMPRODUCT(--(CODE(MID(TRIM(C28),{1,2,3,4,5,10},1))&gt;=65),--(CODE(MID(TRIM(C28),{1,2,3,4,5,10},1))&lt;=90))=6,ISNUMBER(--MID(TRIM(C28),6,4))),"Valid","Invalid"))</f>
        <v>Valid</v>
      </c>
      <c r="N28" s="2" t="str">
        <f t="shared" si="0"/>
        <v>Valid</v>
      </c>
      <c r="O28" s="2" t="str">
        <f t="shared" si="1"/>
        <v>Valid</v>
      </c>
      <c r="P28" s="2" t="str">
        <f t="shared" si="2"/>
        <v>Valid</v>
      </c>
      <c r="Q28" s="2" t="str">
        <f t="shared" si="3"/>
        <v>Valid</v>
      </c>
      <c r="R28" s="2" t="str">
        <f>IF(TRIM(H28)="","Missing",IF(AND(LEN(TRIM(H28))=11,SUMPRODUCT(--(CODE(MID(TRIM(H28),{1,2,3,4},1))&gt;=65),--(CODE(MID(TRIM(H28),{1,2,3,4},1))&lt;=90))=4,MID(TRIM(H28),5,1)="0"),"Valid","Invalid"))</f>
        <v>Missing</v>
      </c>
      <c r="S28" s="2" t="str">
        <f t="shared" si="4"/>
        <v>Valid</v>
      </c>
      <c r="T28" s="2" t="str">
        <f t="shared" si="5"/>
        <v>Valid</v>
      </c>
      <c r="U28" s="2">
        <f t="shared" si="6"/>
        <v>1</v>
      </c>
      <c r="V28" s="2" t="str">
        <f t="shared" si="7"/>
        <v>917667525459</v>
      </c>
    </row>
    <row r="29" spans="1:22" x14ac:dyDescent="0.35">
      <c r="A29" s="2" t="s">
        <v>500</v>
      </c>
      <c r="B29" s="2" t="s">
        <v>501</v>
      </c>
      <c r="C29" s="2" t="s">
        <v>502</v>
      </c>
      <c r="D29" s="2" t="s">
        <v>503</v>
      </c>
      <c r="E29" s="2" t="s">
        <v>2014</v>
      </c>
      <c r="F29" s="2" t="s">
        <v>2015</v>
      </c>
      <c r="G29" s="15" t="s">
        <v>506</v>
      </c>
      <c r="H29" s="2" t="s">
        <v>507</v>
      </c>
      <c r="I29" s="2" t="s">
        <v>130</v>
      </c>
      <c r="J29" s="2" t="s">
        <v>141</v>
      </c>
      <c r="K29" s="2" t="s">
        <v>121</v>
      </c>
      <c r="L29" s="2" t="s">
        <v>508</v>
      </c>
      <c r="M29" s="2" t="str">
        <f>IF(TRIM(C29)="","Missing",IF(AND(LEN(TRIM(C29))=10,SUMPRODUCT(--(CODE(MID(TRIM(C29),{1,2,3,4,5,10},1))&gt;=65),--(CODE(MID(TRIM(C29),{1,2,3,4,5,10},1))&lt;=90))=6,ISNUMBER(--MID(TRIM(C29),6,4))),"Valid","Invalid"))</f>
        <v>Valid</v>
      </c>
      <c r="N29" s="2" t="str">
        <f t="shared" si="0"/>
        <v>Valid</v>
      </c>
      <c r="O29" s="2" t="str">
        <f t="shared" si="1"/>
        <v>Valid</v>
      </c>
      <c r="P29" s="2" t="str">
        <f t="shared" si="2"/>
        <v>Valid</v>
      </c>
      <c r="Q29" s="2" t="str">
        <f t="shared" si="3"/>
        <v>Valid</v>
      </c>
      <c r="R29" s="2" t="str">
        <f>IF(TRIM(H29)="","Missing",IF(AND(LEN(TRIM(H29))=11,SUMPRODUCT(--(CODE(MID(TRIM(H29),{1,2,3,4},1))&gt;=65),--(CODE(MID(TRIM(H29),{1,2,3,4},1))&lt;=90))=4,MID(TRIM(H29),5,1)="0"),"Valid","Invalid"))</f>
        <v>Valid</v>
      </c>
      <c r="S29" s="2" t="str">
        <f t="shared" si="4"/>
        <v>Valid</v>
      </c>
      <c r="T29" s="2" t="str">
        <f t="shared" si="5"/>
        <v>Valid</v>
      </c>
      <c r="U29" s="2">
        <f t="shared" si="6"/>
        <v>0</v>
      </c>
      <c r="V29" s="2" t="str">
        <f t="shared" si="7"/>
        <v>919453521818</v>
      </c>
    </row>
    <row r="30" spans="1:22" x14ac:dyDescent="0.35">
      <c r="A30" s="2" t="s">
        <v>371</v>
      </c>
      <c r="B30" s="2" t="s">
        <v>372</v>
      </c>
      <c r="C30" s="2"/>
      <c r="D30" s="2" t="s">
        <v>373</v>
      </c>
      <c r="E30" s="2" t="s">
        <v>374</v>
      </c>
      <c r="F30" s="2" t="s">
        <v>2016</v>
      </c>
      <c r="G30" s="15" t="s">
        <v>376</v>
      </c>
      <c r="H30" s="2" t="s">
        <v>377</v>
      </c>
      <c r="I30" s="2" t="s">
        <v>130</v>
      </c>
      <c r="J30" s="2" t="s">
        <v>164</v>
      </c>
      <c r="K30" s="2" t="s">
        <v>121</v>
      </c>
      <c r="L30" s="2" t="s">
        <v>378</v>
      </c>
      <c r="M30" s="2" t="str">
        <f>IF(TRIM(C30)="","Missing",IF(AND(LEN(TRIM(C30))=10,SUMPRODUCT(--(CODE(MID(TRIM(C30),{1,2,3,4,5,10},1))&gt;=65),--(CODE(MID(TRIM(C30),{1,2,3,4,5,10},1))&lt;=90))=6,ISNUMBER(--MID(TRIM(C30),6,4))),"Valid","Invalid"))</f>
        <v>Missing</v>
      </c>
      <c r="N30" s="2" t="str">
        <f t="shared" si="0"/>
        <v>PAN Mismatch</v>
      </c>
      <c r="O30" s="2" t="str">
        <f t="shared" si="1"/>
        <v>Valid</v>
      </c>
      <c r="P30" s="2" t="str">
        <f t="shared" si="2"/>
        <v>Valid</v>
      </c>
      <c r="Q30" s="2" t="str">
        <f t="shared" si="3"/>
        <v>Valid</v>
      </c>
      <c r="R30" s="2" t="str">
        <f>IF(TRIM(H30)="","Missing",IF(AND(LEN(TRIM(H30))=11,SUMPRODUCT(--(CODE(MID(TRIM(H30),{1,2,3,4},1))&gt;=65),--(CODE(MID(TRIM(H30),{1,2,3,4},1))&lt;=90))=4,MID(TRIM(H30),5,1)="0"),"Valid","Invalid"))</f>
        <v>Invalid</v>
      </c>
      <c r="S30" s="2" t="str">
        <f t="shared" si="4"/>
        <v>Valid</v>
      </c>
      <c r="T30" s="2" t="str">
        <f t="shared" si="5"/>
        <v>Valid</v>
      </c>
      <c r="U30" s="2">
        <f t="shared" si="6"/>
        <v>3</v>
      </c>
      <c r="V30" s="2" t="str">
        <f t="shared" si="7"/>
        <v>918770054119</v>
      </c>
    </row>
    <row r="31" spans="1:22" x14ac:dyDescent="0.35">
      <c r="A31" s="2" t="s">
        <v>1239</v>
      </c>
      <c r="B31" s="2" t="s">
        <v>1240</v>
      </c>
      <c r="C31" s="2" t="s">
        <v>2017</v>
      </c>
      <c r="D31" s="2" t="s">
        <v>1242</v>
      </c>
      <c r="E31" s="2" t="s">
        <v>1243</v>
      </c>
      <c r="F31" s="2" t="s">
        <v>2018</v>
      </c>
      <c r="G31" s="15" t="s">
        <v>1245</v>
      </c>
      <c r="H31" s="2" t="s">
        <v>1246</v>
      </c>
      <c r="I31" s="2" t="s">
        <v>130</v>
      </c>
      <c r="J31" s="2" t="s">
        <v>359</v>
      </c>
      <c r="K31" s="2" t="s">
        <v>121</v>
      </c>
      <c r="L31" s="2" t="s">
        <v>1247</v>
      </c>
      <c r="M31" s="2" t="str">
        <f>IF(TRIM(C31)="","Missing",IF(AND(LEN(TRIM(C31))=10,SUMPRODUCT(--(CODE(MID(TRIM(C31),{1,2,3,4,5,10},1))&gt;=65),--(CODE(MID(TRIM(C31),{1,2,3,4,5,10},1))&lt;=90))=6,ISNUMBER(--MID(TRIM(C31),6,4))),"Valid","Invalid"))</f>
        <v>Valid</v>
      </c>
      <c r="N31" s="2" t="str">
        <f t="shared" si="0"/>
        <v>Valid</v>
      </c>
      <c r="O31" s="2" t="str">
        <f t="shared" si="1"/>
        <v>Valid</v>
      </c>
      <c r="P31" s="2" t="str">
        <f t="shared" si="2"/>
        <v>Valid</v>
      </c>
      <c r="Q31" s="2" t="str">
        <f t="shared" si="3"/>
        <v>Valid</v>
      </c>
      <c r="R31" s="2" t="str">
        <f>IF(TRIM(H31)="","Missing",IF(AND(LEN(TRIM(H31))=11,SUMPRODUCT(--(CODE(MID(TRIM(H31),{1,2,3,4},1))&gt;=65),--(CODE(MID(TRIM(H31),{1,2,3,4},1))&lt;=90))=4,MID(TRIM(H31),5,1)="0"),"Valid","Invalid"))</f>
        <v>Valid</v>
      </c>
      <c r="S31" s="2" t="str">
        <f t="shared" si="4"/>
        <v>Valid</v>
      </c>
      <c r="T31" s="2" t="str">
        <f t="shared" si="5"/>
        <v>Valid</v>
      </c>
      <c r="U31" s="2">
        <f t="shared" si="6"/>
        <v>0</v>
      </c>
      <c r="V31" s="2" t="str">
        <f t="shared" si="7"/>
        <v>916518644925</v>
      </c>
    </row>
    <row r="32" spans="1:22" x14ac:dyDescent="0.35">
      <c r="A32" s="2" t="s">
        <v>904</v>
      </c>
      <c r="B32" s="2" t="s">
        <v>905</v>
      </c>
      <c r="C32" s="2" t="s">
        <v>906</v>
      </c>
      <c r="D32" s="2" t="s">
        <v>907</v>
      </c>
      <c r="E32" s="2" t="s">
        <v>908</v>
      </c>
      <c r="F32" s="2" t="s">
        <v>2019</v>
      </c>
      <c r="G32" s="15" t="s">
        <v>910</v>
      </c>
      <c r="H32" s="2" t="s">
        <v>911</v>
      </c>
      <c r="I32" s="2" t="s">
        <v>130</v>
      </c>
      <c r="J32" s="2" t="s">
        <v>164</v>
      </c>
      <c r="K32" s="2" t="s">
        <v>121</v>
      </c>
      <c r="L32" s="2" t="s">
        <v>912</v>
      </c>
      <c r="M32" s="2" t="str">
        <f>IF(TRIM(C32)="","Missing",IF(AND(LEN(TRIM(C32))=10,SUMPRODUCT(--(CODE(MID(TRIM(C32),{1,2,3,4,5,10},1))&gt;=65),--(CODE(MID(TRIM(C32),{1,2,3,4,5,10},1))&lt;=90))=6,ISNUMBER(--MID(TRIM(C32),6,4))),"Valid","Invalid"))</f>
        <v>Valid</v>
      </c>
      <c r="N32" s="2" t="str">
        <f t="shared" si="0"/>
        <v>Valid</v>
      </c>
      <c r="O32" s="2" t="str">
        <f t="shared" si="1"/>
        <v>Valid</v>
      </c>
      <c r="P32" s="2" t="str">
        <f t="shared" si="2"/>
        <v>Valid</v>
      </c>
      <c r="Q32" s="2" t="str">
        <f t="shared" si="3"/>
        <v>Valid</v>
      </c>
      <c r="R32" s="2" t="str">
        <f>IF(TRIM(H32)="","Missing",IF(AND(LEN(TRIM(H32))=11,SUMPRODUCT(--(CODE(MID(TRIM(H32),{1,2,3,4},1))&gt;=65),--(CODE(MID(TRIM(H32),{1,2,3,4},1))&lt;=90))=4,MID(TRIM(H32),5,1)="0"),"Valid","Invalid"))</f>
        <v>Valid</v>
      </c>
      <c r="S32" s="2" t="str">
        <f t="shared" si="4"/>
        <v>Valid</v>
      </c>
      <c r="T32" s="2" t="str">
        <f t="shared" si="5"/>
        <v>Valid</v>
      </c>
      <c r="U32" s="2">
        <f t="shared" si="6"/>
        <v>0</v>
      </c>
      <c r="V32" s="2" t="str">
        <f t="shared" si="7"/>
        <v>918929622292</v>
      </c>
    </row>
    <row r="33" spans="1:22" x14ac:dyDescent="0.35">
      <c r="A33" s="2" t="s">
        <v>708</v>
      </c>
      <c r="B33" s="2" t="s">
        <v>709</v>
      </c>
      <c r="C33" s="2" t="s">
        <v>710</v>
      </c>
      <c r="D33" s="2" t="s">
        <v>711</v>
      </c>
      <c r="E33" s="2" t="s">
        <v>712</v>
      </c>
      <c r="F33" s="2" t="s">
        <v>2020</v>
      </c>
      <c r="G33" s="15" t="s">
        <v>714</v>
      </c>
      <c r="H33" s="2"/>
      <c r="I33" s="2" t="s">
        <v>130</v>
      </c>
      <c r="J33" s="2" t="s">
        <v>174</v>
      </c>
      <c r="K33" s="2" t="s">
        <v>121</v>
      </c>
      <c r="L33" s="2" t="s">
        <v>545</v>
      </c>
      <c r="M33" s="2" t="str">
        <f>IF(TRIM(C33)="","Missing",IF(AND(LEN(TRIM(C33))=10,SUMPRODUCT(--(CODE(MID(TRIM(C33),{1,2,3,4,5,10},1))&gt;=65),--(CODE(MID(TRIM(C33),{1,2,3,4,5,10},1))&lt;=90))=6,ISNUMBER(--MID(TRIM(C33),6,4))),"Valid","Invalid"))</f>
        <v>Valid</v>
      </c>
      <c r="N33" s="2" t="str">
        <f t="shared" si="0"/>
        <v>Valid</v>
      </c>
      <c r="O33" s="2" t="str">
        <f t="shared" si="1"/>
        <v>Valid</v>
      </c>
      <c r="P33" s="2" t="str">
        <f t="shared" si="2"/>
        <v>Valid</v>
      </c>
      <c r="Q33" s="2" t="str">
        <f t="shared" si="3"/>
        <v>Valid</v>
      </c>
      <c r="R33" s="2" t="str">
        <f>IF(TRIM(H33)="","Missing",IF(AND(LEN(TRIM(H33))=11,SUMPRODUCT(--(CODE(MID(TRIM(H33),{1,2,3,4},1))&gt;=65),--(CODE(MID(TRIM(H33),{1,2,3,4},1))&lt;=90))=4,MID(TRIM(H33),5,1)="0"),"Valid","Invalid"))</f>
        <v>Missing</v>
      </c>
      <c r="S33" s="2" t="str">
        <f t="shared" si="4"/>
        <v>Valid</v>
      </c>
      <c r="T33" s="2" t="str">
        <f t="shared" si="5"/>
        <v>Valid</v>
      </c>
      <c r="U33" s="2">
        <f t="shared" si="6"/>
        <v>1</v>
      </c>
      <c r="V33" s="2" t="str">
        <f t="shared" si="7"/>
        <v>918124782613</v>
      </c>
    </row>
    <row r="34" spans="1:22" x14ac:dyDescent="0.35">
      <c r="A34" s="2" t="s">
        <v>828</v>
      </c>
      <c r="B34" s="2" t="s">
        <v>829</v>
      </c>
      <c r="C34" s="2" t="s">
        <v>830</v>
      </c>
      <c r="D34" s="2" t="s">
        <v>831</v>
      </c>
      <c r="E34" s="2" t="s">
        <v>2021</v>
      </c>
      <c r="F34" s="2" t="s">
        <v>2022</v>
      </c>
      <c r="G34" s="15" t="s">
        <v>834</v>
      </c>
      <c r="H34" s="2" t="s">
        <v>835</v>
      </c>
      <c r="I34" s="2" t="s">
        <v>130</v>
      </c>
      <c r="J34" s="2" t="s">
        <v>359</v>
      </c>
      <c r="K34" s="2" t="s">
        <v>121</v>
      </c>
      <c r="L34" s="2" t="s">
        <v>836</v>
      </c>
      <c r="M34" s="2" t="str">
        <f>IF(TRIM(C34)="","Missing",IF(AND(LEN(TRIM(C34))=10,SUMPRODUCT(--(CODE(MID(TRIM(C34),{1,2,3,4,5,10},1))&gt;=65),--(CODE(MID(TRIM(C34),{1,2,3,4,5,10},1))&lt;=90))=6,ISNUMBER(--MID(TRIM(C34),6,4))),"Valid","Invalid"))</f>
        <v>Valid</v>
      </c>
      <c r="N34" s="2" t="str">
        <f t="shared" si="0"/>
        <v>Valid</v>
      </c>
      <c r="O34" s="2" t="str">
        <f t="shared" si="1"/>
        <v>Valid</v>
      </c>
      <c r="P34" s="2" t="str">
        <f t="shared" si="2"/>
        <v>Valid</v>
      </c>
      <c r="Q34" s="2" t="str">
        <f t="shared" si="3"/>
        <v>Valid</v>
      </c>
      <c r="R34" s="2" t="str">
        <f>IF(TRIM(H34)="","Missing",IF(AND(LEN(TRIM(H34))=11,SUMPRODUCT(--(CODE(MID(TRIM(H34),{1,2,3,4},1))&gt;=65),--(CODE(MID(TRIM(H34),{1,2,3,4},1))&lt;=90))=4,MID(TRIM(H34),5,1)="0"),"Valid","Invalid"))</f>
        <v>Valid</v>
      </c>
      <c r="S34" s="2" t="str">
        <f t="shared" si="4"/>
        <v>Valid</v>
      </c>
      <c r="T34" s="2" t="str">
        <f t="shared" si="5"/>
        <v>Valid</v>
      </c>
      <c r="U34" s="2">
        <f t="shared" si="6"/>
        <v>0</v>
      </c>
      <c r="V34" s="2" t="str">
        <f t="shared" si="7"/>
        <v>916434103697</v>
      </c>
    </row>
    <row r="35" spans="1:22" x14ac:dyDescent="0.35">
      <c r="A35" s="2" t="s">
        <v>574</v>
      </c>
      <c r="B35" s="2" t="s">
        <v>575</v>
      </c>
      <c r="C35" s="2" t="s">
        <v>576</v>
      </c>
      <c r="D35" s="2" t="s">
        <v>577</v>
      </c>
      <c r="E35" s="2" t="s">
        <v>578</v>
      </c>
      <c r="F35" s="2" t="s">
        <v>2023</v>
      </c>
      <c r="G35" s="15" t="s">
        <v>580</v>
      </c>
      <c r="H35" s="2"/>
      <c r="I35" s="2" t="s">
        <v>130</v>
      </c>
      <c r="J35" s="2" t="s">
        <v>164</v>
      </c>
      <c r="K35" s="2" t="s">
        <v>121</v>
      </c>
      <c r="L35" s="2" t="s">
        <v>581</v>
      </c>
      <c r="M35" s="2" t="str">
        <f>IF(TRIM(C35)="","Missing",IF(AND(LEN(TRIM(C35))=10,SUMPRODUCT(--(CODE(MID(TRIM(C35),{1,2,3,4,5,10},1))&gt;=65),--(CODE(MID(TRIM(C35),{1,2,3,4,5,10},1))&lt;=90))=6,ISNUMBER(--MID(TRIM(C35),6,4))),"Valid","Invalid"))</f>
        <v>Valid</v>
      </c>
      <c r="N35" s="2" t="str">
        <f t="shared" si="0"/>
        <v>Valid</v>
      </c>
      <c r="O35" s="2" t="str">
        <f t="shared" si="1"/>
        <v>Valid</v>
      </c>
      <c r="P35" s="2" t="str">
        <f t="shared" si="2"/>
        <v>Valid</v>
      </c>
      <c r="Q35" s="2" t="str">
        <f t="shared" si="3"/>
        <v>Valid</v>
      </c>
      <c r="R35" s="2" t="str">
        <f>IF(TRIM(H35)="","Missing",IF(AND(LEN(TRIM(H35))=11,SUMPRODUCT(--(CODE(MID(TRIM(H35),{1,2,3,4},1))&gt;=65),--(CODE(MID(TRIM(H35),{1,2,3,4},1))&lt;=90))=4,MID(TRIM(H35),5,1)="0"),"Valid","Invalid"))</f>
        <v>Missing</v>
      </c>
      <c r="S35" s="2" t="str">
        <f t="shared" si="4"/>
        <v>Valid</v>
      </c>
      <c r="T35" s="2" t="str">
        <f t="shared" si="5"/>
        <v>Valid</v>
      </c>
      <c r="U35" s="2">
        <f t="shared" si="6"/>
        <v>1</v>
      </c>
      <c r="V35" s="2" t="str">
        <f t="shared" si="7"/>
        <v>918051531952</v>
      </c>
    </row>
    <row r="36" spans="1:22" x14ac:dyDescent="0.35">
      <c r="A36" s="2" t="s">
        <v>1479</v>
      </c>
      <c r="B36" s="2" t="s">
        <v>1480</v>
      </c>
      <c r="C36" s="2" t="s">
        <v>1481</v>
      </c>
      <c r="D36" s="2" t="s">
        <v>1482</v>
      </c>
      <c r="E36" s="2" t="s">
        <v>1483</v>
      </c>
      <c r="F36" s="2" t="s">
        <v>2024</v>
      </c>
      <c r="G36" s="15" t="s">
        <v>1485</v>
      </c>
      <c r="H36" s="2" t="s">
        <v>1486</v>
      </c>
      <c r="I36" s="2" t="s">
        <v>130</v>
      </c>
      <c r="J36" s="2" t="s">
        <v>164</v>
      </c>
      <c r="K36" s="2" t="s">
        <v>142</v>
      </c>
      <c r="L36" s="2" t="s">
        <v>1487</v>
      </c>
      <c r="M36" s="2" t="str">
        <f>IF(TRIM(C36)="","Missing",IF(AND(LEN(TRIM(C36))=10,SUMPRODUCT(--(CODE(MID(TRIM(C36),{1,2,3,4,5,10},1))&gt;=65),--(CODE(MID(TRIM(C36),{1,2,3,4,5,10},1))&lt;=90))=6,ISNUMBER(--MID(TRIM(C36),6,4))),"Valid","Invalid"))</f>
        <v>Valid</v>
      </c>
      <c r="N36" s="2" t="str">
        <f t="shared" si="0"/>
        <v>Valid</v>
      </c>
      <c r="O36" s="2" t="str">
        <f t="shared" si="1"/>
        <v>Valid</v>
      </c>
      <c r="P36" s="2" t="str">
        <f t="shared" si="2"/>
        <v>Valid</v>
      </c>
      <c r="Q36" s="2" t="str">
        <f t="shared" si="3"/>
        <v>Valid</v>
      </c>
      <c r="R36" s="2" t="str">
        <f>IF(TRIM(H36)="","Missing",IF(AND(LEN(TRIM(H36))=11,SUMPRODUCT(--(CODE(MID(TRIM(H36),{1,2,3,4},1))&gt;=65),--(CODE(MID(TRIM(H36),{1,2,3,4},1))&lt;=90))=4,MID(TRIM(H36),5,1)="0"),"Valid","Invalid"))</f>
        <v>Valid</v>
      </c>
      <c r="S36" s="2" t="str">
        <f t="shared" si="4"/>
        <v>Valid</v>
      </c>
      <c r="T36" s="2" t="str">
        <f t="shared" si="5"/>
        <v>Valid</v>
      </c>
      <c r="U36" s="2">
        <f t="shared" si="6"/>
        <v>0</v>
      </c>
      <c r="V36" s="2" t="str">
        <f t="shared" si="7"/>
        <v>918667652775</v>
      </c>
    </row>
    <row r="37" spans="1:22" x14ac:dyDescent="0.35">
      <c r="A37" s="2" t="s">
        <v>1732</v>
      </c>
      <c r="B37" s="2" t="s">
        <v>1733</v>
      </c>
      <c r="C37" s="2" t="s">
        <v>1734</v>
      </c>
      <c r="D37" s="2" t="s">
        <v>1735</v>
      </c>
      <c r="E37" s="2" t="s">
        <v>2025</v>
      </c>
      <c r="F37" s="2" t="s">
        <v>2026</v>
      </c>
      <c r="G37" s="15" t="s">
        <v>1738</v>
      </c>
      <c r="H37" s="2" t="s">
        <v>1739</v>
      </c>
      <c r="I37" s="2" t="s">
        <v>130</v>
      </c>
      <c r="J37" s="2" t="s">
        <v>164</v>
      </c>
      <c r="K37" s="2" t="s">
        <v>121</v>
      </c>
      <c r="L37" s="2" t="s">
        <v>1740</v>
      </c>
      <c r="M37" s="2" t="str">
        <f>IF(TRIM(C37)="","Missing",IF(AND(LEN(TRIM(C37))=10,SUMPRODUCT(--(CODE(MID(TRIM(C37),{1,2,3,4,5,10},1))&gt;=65),--(CODE(MID(TRIM(C37),{1,2,3,4,5,10},1))&lt;=90))=6,ISNUMBER(--MID(TRIM(C37),6,4))),"Valid","Invalid"))</f>
        <v>Valid</v>
      </c>
      <c r="N37" s="2" t="str">
        <f t="shared" si="0"/>
        <v>Valid</v>
      </c>
      <c r="O37" s="2" t="str">
        <f t="shared" si="1"/>
        <v>Valid</v>
      </c>
      <c r="P37" s="2" t="str">
        <f t="shared" si="2"/>
        <v>Valid</v>
      </c>
      <c r="Q37" s="2" t="str">
        <f t="shared" si="3"/>
        <v>Valid</v>
      </c>
      <c r="R37" s="2" t="str">
        <f>IF(TRIM(H37)="","Missing",IF(AND(LEN(TRIM(H37))=11,SUMPRODUCT(--(CODE(MID(TRIM(H37),{1,2,3,4},1))&gt;=65),--(CODE(MID(TRIM(H37),{1,2,3,4},1))&lt;=90))=4,MID(TRIM(H37),5,1)="0"),"Valid","Invalid"))</f>
        <v>Valid</v>
      </c>
      <c r="S37" s="2" t="str">
        <f t="shared" si="4"/>
        <v>Valid</v>
      </c>
      <c r="T37" s="2" t="str">
        <f t="shared" si="5"/>
        <v>Valid</v>
      </c>
      <c r="U37" s="2">
        <f t="shared" si="6"/>
        <v>0</v>
      </c>
      <c r="V37" s="2" t="str">
        <f t="shared" si="7"/>
        <v>917970213556</v>
      </c>
    </row>
    <row r="38" spans="1:22" x14ac:dyDescent="0.35">
      <c r="A38" s="2" t="s">
        <v>1086</v>
      </c>
      <c r="B38" s="2" t="s">
        <v>2027</v>
      </c>
      <c r="C38" s="2" t="s">
        <v>1088</v>
      </c>
      <c r="D38" s="2" t="s">
        <v>1089</v>
      </c>
      <c r="E38" s="2" t="s">
        <v>1090</v>
      </c>
      <c r="F38" s="2" t="s">
        <v>1091</v>
      </c>
      <c r="G38" s="15" t="s">
        <v>1092</v>
      </c>
      <c r="H38" s="2" t="s">
        <v>1093</v>
      </c>
      <c r="I38" s="2" t="s">
        <v>130</v>
      </c>
      <c r="J38" s="2" t="s">
        <v>359</v>
      </c>
      <c r="K38" s="2" t="s">
        <v>142</v>
      </c>
      <c r="L38" s="2" t="s">
        <v>1094</v>
      </c>
      <c r="M38" s="2" t="str">
        <f>IF(TRIM(C38)="","Missing",IF(AND(LEN(TRIM(C38))=10,SUMPRODUCT(--(CODE(MID(TRIM(C38),{1,2,3,4,5,10},1))&gt;=65),--(CODE(MID(TRIM(C38),{1,2,3,4,5,10},1))&lt;=90))=6,ISNUMBER(--MID(TRIM(C38),6,4))),"Valid","Invalid"))</f>
        <v>Valid</v>
      </c>
      <c r="N38" s="2" t="str">
        <f t="shared" si="0"/>
        <v>Valid</v>
      </c>
      <c r="O38" s="2" t="str">
        <f t="shared" si="1"/>
        <v>Valid</v>
      </c>
      <c r="P38" s="2" t="str">
        <f t="shared" si="2"/>
        <v>Invalid</v>
      </c>
      <c r="Q38" s="2" t="str">
        <f t="shared" si="3"/>
        <v>Valid</v>
      </c>
      <c r="R38" s="2" t="str">
        <f>IF(TRIM(H38)="","Missing",IF(AND(LEN(TRIM(H38))=11,SUMPRODUCT(--(CODE(MID(TRIM(H38),{1,2,3,4},1))&gt;=65),--(CODE(MID(TRIM(H38),{1,2,3,4},1))&lt;=90))=4,MID(TRIM(H38),5,1)="0"),"Valid","Invalid"))</f>
        <v>Valid</v>
      </c>
      <c r="S38" s="2" t="str">
        <f t="shared" si="4"/>
        <v>Valid</v>
      </c>
      <c r="T38" s="2" t="str">
        <f t="shared" si="5"/>
        <v>Valid</v>
      </c>
      <c r="U38" s="2">
        <f t="shared" si="6"/>
        <v>1</v>
      </c>
      <c r="V38" s="2" t="str">
        <f t="shared" si="7"/>
        <v>717271551</v>
      </c>
    </row>
    <row r="39" spans="1:22" x14ac:dyDescent="0.35">
      <c r="A39" s="2" t="s">
        <v>960</v>
      </c>
      <c r="B39" s="2" t="s">
        <v>961</v>
      </c>
      <c r="C39" s="2" t="s">
        <v>962</v>
      </c>
      <c r="D39" s="2" t="s">
        <v>963</v>
      </c>
      <c r="E39" s="2" t="s">
        <v>964</v>
      </c>
      <c r="F39" s="2" t="s">
        <v>2028</v>
      </c>
      <c r="G39" s="15" t="s">
        <v>966</v>
      </c>
      <c r="H39" s="2" t="s">
        <v>967</v>
      </c>
      <c r="I39" s="2" t="s">
        <v>130</v>
      </c>
      <c r="J39" s="2" t="s">
        <v>359</v>
      </c>
      <c r="K39" s="2" t="s">
        <v>121</v>
      </c>
      <c r="L39" s="2" t="s">
        <v>968</v>
      </c>
      <c r="M39" s="2" t="str">
        <f>IF(TRIM(C39)="","Missing",IF(AND(LEN(TRIM(C39))=10,SUMPRODUCT(--(CODE(MID(TRIM(C39),{1,2,3,4,5,10},1))&gt;=65),--(CODE(MID(TRIM(C39),{1,2,3,4,5,10},1))&lt;=90))=6,ISNUMBER(--MID(TRIM(C39),6,4))),"Valid","Invalid"))</f>
        <v>Valid</v>
      </c>
      <c r="N39" s="2" t="str">
        <f t="shared" si="0"/>
        <v>Valid</v>
      </c>
      <c r="O39" s="2" t="str">
        <f t="shared" si="1"/>
        <v>Valid</v>
      </c>
      <c r="P39" s="2" t="str">
        <f t="shared" si="2"/>
        <v>Valid</v>
      </c>
      <c r="Q39" s="2" t="str">
        <f t="shared" si="3"/>
        <v>Valid</v>
      </c>
      <c r="R39" s="2" t="str">
        <f>IF(TRIM(H39)="","Missing",IF(AND(LEN(TRIM(H39))=11,SUMPRODUCT(--(CODE(MID(TRIM(H39),{1,2,3,4},1))&gt;=65),--(CODE(MID(TRIM(H39),{1,2,3,4},1))&lt;=90))=4,MID(TRIM(H39),5,1)="0"),"Valid","Invalid"))</f>
        <v>Valid</v>
      </c>
      <c r="S39" s="2" t="str">
        <f t="shared" si="4"/>
        <v>Valid</v>
      </c>
      <c r="T39" s="2" t="str">
        <f t="shared" si="5"/>
        <v>Valid</v>
      </c>
      <c r="U39" s="2">
        <f t="shared" si="6"/>
        <v>0</v>
      </c>
      <c r="V39" s="2" t="str">
        <f t="shared" si="7"/>
        <v>919852892268</v>
      </c>
    </row>
    <row r="40" spans="1:22" x14ac:dyDescent="0.35">
      <c r="A40" s="2" t="s">
        <v>509</v>
      </c>
      <c r="B40" s="2" t="s">
        <v>510</v>
      </c>
      <c r="C40" s="2" t="s">
        <v>511</v>
      </c>
      <c r="D40" s="2" t="s">
        <v>512</v>
      </c>
      <c r="E40" s="2" t="s">
        <v>513</v>
      </c>
      <c r="F40" s="2" t="s">
        <v>2029</v>
      </c>
      <c r="G40" s="15" t="s">
        <v>515</v>
      </c>
      <c r="H40" s="2" t="s">
        <v>516</v>
      </c>
      <c r="I40" s="2" t="s">
        <v>130</v>
      </c>
      <c r="J40" s="2" t="s">
        <v>164</v>
      </c>
      <c r="K40" s="2" t="s">
        <v>121</v>
      </c>
      <c r="L40" s="2" t="s">
        <v>517</v>
      </c>
      <c r="M40" s="2" t="str">
        <f>IF(TRIM(C40)="","Missing",IF(AND(LEN(TRIM(C40))=10,SUMPRODUCT(--(CODE(MID(TRIM(C40),{1,2,3,4,5,10},1))&gt;=65),--(CODE(MID(TRIM(C40),{1,2,3,4,5,10},1))&lt;=90))=6,ISNUMBER(--MID(TRIM(C40),6,4))),"Valid","Invalid"))</f>
        <v>Valid</v>
      </c>
      <c r="N40" s="2" t="str">
        <f t="shared" si="0"/>
        <v>Valid</v>
      </c>
      <c r="O40" s="2" t="str">
        <f t="shared" si="1"/>
        <v>Valid</v>
      </c>
      <c r="P40" s="2" t="str">
        <f t="shared" si="2"/>
        <v>Valid</v>
      </c>
      <c r="Q40" s="2" t="str">
        <f t="shared" si="3"/>
        <v>Valid</v>
      </c>
      <c r="R40" s="2" t="str">
        <f>IF(TRIM(H40)="","Missing",IF(AND(LEN(TRIM(H40))=11,SUMPRODUCT(--(CODE(MID(TRIM(H40),{1,2,3,4},1))&gt;=65),--(CODE(MID(TRIM(H40),{1,2,3,4},1))&lt;=90))=4,MID(TRIM(H40),5,1)="0"),"Valid","Invalid"))</f>
        <v>Invalid</v>
      </c>
      <c r="S40" s="2" t="str">
        <f t="shared" si="4"/>
        <v>Valid</v>
      </c>
      <c r="T40" s="2" t="str">
        <f t="shared" si="5"/>
        <v>Valid</v>
      </c>
      <c r="U40" s="2">
        <f t="shared" si="6"/>
        <v>1</v>
      </c>
      <c r="V40" s="2" t="str">
        <f t="shared" si="7"/>
        <v>916943969078</v>
      </c>
    </row>
    <row r="41" spans="1:22" x14ac:dyDescent="0.35">
      <c r="A41" s="2" t="s">
        <v>361</v>
      </c>
      <c r="B41" s="2" t="s">
        <v>362</v>
      </c>
      <c r="C41" s="2" t="s">
        <v>363</v>
      </c>
      <c r="D41" s="2" t="s">
        <v>364</v>
      </c>
      <c r="E41" s="2" t="s">
        <v>365</v>
      </c>
      <c r="F41" s="2" t="s">
        <v>2030</v>
      </c>
      <c r="G41" s="15" t="s">
        <v>367</v>
      </c>
      <c r="H41" s="2" t="s">
        <v>368</v>
      </c>
      <c r="I41" s="2" t="s">
        <v>130</v>
      </c>
      <c r="J41" s="2" t="s">
        <v>164</v>
      </c>
      <c r="K41" s="2" t="s">
        <v>121</v>
      </c>
      <c r="L41" s="2" t="s">
        <v>370</v>
      </c>
      <c r="M41" s="2" t="str">
        <f>IF(TRIM(C41)="","Missing",IF(AND(LEN(TRIM(C41))=10,SUMPRODUCT(--(CODE(MID(TRIM(C41),{1,2,3,4,5,10},1))&gt;=65),--(CODE(MID(TRIM(C41),{1,2,3,4,5,10},1))&lt;=90))=6,ISNUMBER(--MID(TRIM(C41),6,4))),"Valid","Invalid"))</f>
        <v>Valid</v>
      </c>
      <c r="N41" s="2" t="str">
        <f t="shared" si="0"/>
        <v>Valid</v>
      </c>
      <c r="O41" s="2" t="str">
        <f t="shared" si="1"/>
        <v>Valid</v>
      </c>
      <c r="P41" s="2" t="str">
        <f t="shared" si="2"/>
        <v>Valid</v>
      </c>
      <c r="Q41" s="2" t="str">
        <f t="shared" si="3"/>
        <v>Valid</v>
      </c>
      <c r="R41" s="2" t="str">
        <f>IF(TRIM(H41)="","Missing",IF(AND(LEN(TRIM(H41))=11,SUMPRODUCT(--(CODE(MID(TRIM(H41),{1,2,3,4},1))&gt;=65),--(CODE(MID(TRIM(H41),{1,2,3,4},1))&lt;=90))=4,MID(TRIM(H41),5,1)="0"),"Valid","Invalid"))</f>
        <v>Valid</v>
      </c>
      <c r="S41" s="2" t="str">
        <f t="shared" si="4"/>
        <v>Valid</v>
      </c>
      <c r="T41" s="2" t="str">
        <f t="shared" si="5"/>
        <v>Valid</v>
      </c>
      <c r="U41" s="2">
        <f t="shared" si="6"/>
        <v>0</v>
      </c>
      <c r="V41" s="2" t="str">
        <f t="shared" si="7"/>
        <v>916469632595</v>
      </c>
    </row>
    <row r="42" spans="1:22" x14ac:dyDescent="0.35">
      <c r="A42" s="2" t="s">
        <v>1749</v>
      </c>
      <c r="B42" s="2" t="s">
        <v>1750</v>
      </c>
      <c r="C42" s="2" t="s">
        <v>1751</v>
      </c>
      <c r="D42" s="2" t="s">
        <v>1752</v>
      </c>
      <c r="E42" s="2" t="s">
        <v>1753</v>
      </c>
      <c r="F42" s="2" t="s">
        <v>2031</v>
      </c>
      <c r="G42" s="15" t="s">
        <v>1755</v>
      </c>
      <c r="H42" s="2" t="s">
        <v>1756</v>
      </c>
      <c r="I42" s="2" t="s">
        <v>130</v>
      </c>
      <c r="J42" s="2" t="s">
        <v>174</v>
      </c>
      <c r="K42" s="2" t="s">
        <v>121</v>
      </c>
      <c r="L42" s="2" t="s">
        <v>1757</v>
      </c>
      <c r="M42" s="2" t="str">
        <f>IF(TRIM(C42)="","Missing",IF(AND(LEN(TRIM(C42))=10,SUMPRODUCT(--(CODE(MID(TRIM(C42),{1,2,3,4,5,10},1))&gt;=65),--(CODE(MID(TRIM(C42),{1,2,3,4,5,10},1))&lt;=90))=6,ISNUMBER(--MID(TRIM(C42),6,4))),"Valid","Invalid"))</f>
        <v>Valid</v>
      </c>
      <c r="N42" s="2" t="str">
        <f t="shared" si="0"/>
        <v>Valid</v>
      </c>
      <c r="O42" s="2" t="str">
        <f t="shared" si="1"/>
        <v>Valid</v>
      </c>
      <c r="P42" s="2" t="str">
        <f t="shared" si="2"/>
        <v>Valid</v>
      </c>
      <c r="Q42" s="2" t="str">
        <f t="shared" si="3"/>
        <v>Valid</v>
      </c>
      <c r="R42" s="2" t="str">
        <f>IF(TRIM(H42)="","Missing",IF(AND(LEN(TRIM(H42))=11,SUMPRODUCT(--(CODE(MID(TRIM(H42),{1,2,3,4},1))&gt;=65),--(CODE(MID(TRIM(H42),{1,2,3,4},1))&lt;=90))=4,MID(TRIM(H42),5,1)="0"),"Valid","Invalid"))</f>
        <v>Valid</v>
      </c>
      <c r="S42" s="2" t="str">
        <f t="shared" si="4"/>
        <v>Valid</v>
      </c>
      <c r="T42" s="2" t="str">
        <f t="shared" si="5"/>
        <v>Valid</v>
      </c>
      <c r="U42" s="2">
        <f t="shared" si="6"/>
        <v>0</v>
      </c>
      <c r="V42" s="2" t="str">
        <f t="shared" si="7"/>
        <v>919098358416</v>
      </c>
    </row>
    <row r="43" spans="1:22" x14ac:dyDescent="0.35">
      <c r="A43" s="2" t="s">
        <v>1912</v>
      </c>
      <c r="B43" s="2" t="s">
        <v>1913</v>
      </c>
      <c r="C43" s="2" t="s">
        <v>1914</v>
      </c>
      <c r="D43" s="2" t="s">
        <v>941</v>
      </c>
      <c r="E43" s="2" t="s">
        <v>942</v>
      </c>
      <c r="F43" s="2" t="s">
        <v>2032</v>
      </c>
      <c r="G43" s="15" t="s">
        <v>944</v>
      </c>
      <c r="H43" s="2" t="s">
        <v>945</v>
      </c>
      <c r="I43" s="2" t="s">
        <v>130</v>
      </c>
      <c r="J43" s="2" t="s">
        <v>359</v>
      </c>
      <c r="K43" s="2" t="s">
        <v>121</v>
      </c>
      <c r="L43" s="2" t="s">
        <v>1917</v>
      </c>
      <c r="M43" s="2" t="str">
        <f>IF(TRIM(C43)="","Missing",IF(AND(LEN(TRIM(C43))=10,SUMPRODUCT(--(CODE(MID(TRIM(C43),{1,2,3,4,5,10},1))&gt;=65),--(CODE(MID(TRIM(C43),{1,2,3,4,5,10},1))&lt;=90))=6,ISNUMBER(--MID(TRIM(C43),6,4))),"Valid","Invalid"))</f>
        <v>Valid</v>
      </c>
      <c r="N43" s="2" t="str">
        <f t="shared" si="0"/>
        <v>Valid</v>
      </c>
      <c r="O43" s="2" t="str">
        <f t="shared" si="1"/>
        <v>Valid</v>
      </c>
      <c r="P43" s="2" t="str">
        <f t="shared" si="2"/>
        <v>Valid</v>
      </c>
      <c r="Q43" s="2" t="str">
        <f t="shared" si="3"/>
        <v>Valid</v>
      </c>
      <c r="R43" s="2" t="str">
        <f>IF(TRIM(H43)="","Missing",IF(AND(LEN(TRIM(H43))=11,SUMPRODUCT(--(CODE(MID(TRIM(H43),{1,2,3,4},1))&gt;=65),--(CODE(MID(TRIM(H43),{1,2,3,4},1))&lt;=90))=4,MID(TRIM(H43),5,1)="0"),"Valid","Invalid"))</f>
        <v>Valid</v>
      </c>
      <c r="S43" s="2" t="str">
        <f t="shared" si="4"/>
        <v>Valid</v>
      </c>
      <c r="T43" s="2" t="str">
        <f t="shared" si="5"/>
        <v>Valid</v>
      </c>
      <c r="U43" s="2">
        <f t="shared" si="6"/>
        <v>0</v>
      </c>
      <c r="V43" s="2" t="str">
        <f t="shared" si="7"/>
        <v>918888794705</v>
      </c>
    </row>
    <row r="44" spans="1:22" x14ac:dyDescent="0.35">
      <c r="A44" s="2" t="s">
        <v>1341</v>
      </c>
      <c r="B44" s="2" t="s">
        <v>1342</v>
      </c>
      <c r="C44" s="2"/>
      <c r="D44" s="2"/>
      <c r="E44" s="2" t="s">
        <v>1343</v>
      </c>
      <c r="F44" s="2" t="s">
        <v>2033</v>
      </c>
      <c r="G44" s="15" t="s">
        <v>1345</v>
      </c>
      <c r="H44" s="2" t="s">
        <v>1346</v>
      </c>
      <c r="I44" s="2" t="s">
        <v>130</v>
      </c>
      <c r="J44" s="2" t="s">
        <v>141</v>
      </c>
      <c r="K44" s="2" t="s">
        <v>121</v>
      </c>
      <c r="L44" s="2" t="s">
        <v>581</v>
      </c>
      <c r="M44" s="2" t="str">
        <f>IF(TRIM(C44)="","Missing",IF(AND(LEN(TRIM(C44))=10,SUMPRODUCT(--(CODE(MID(TRIM(C44),{1,2,3,4,5,10},1))&gt;=65),--(CODE(MID(TRIM(C44),{1,2,3,4,5,10},1))&lt;=90))=6,ISNUMBER(--MID(TRIM(C44),6,4))),"Valid","Invalid"))</f>
        <v>Missing</v>
      </c>
      <c r="N44" s="2" t="str">
        <f t="shared" si="0"/>
        <v>Missing</v>
      </c>
      <c r="O44" s="2" t="str">
        <f t="shared" si="1"/>
        <v>Valid</v>
      </c>
      <c r="P44" s="2" t="str">
        <f t="shared" si="2"/>
        <v>Valid</v>
      </c>
      <c r="Q44" s="2" t="str">
        <f t="shared" si="3"/>
        <v>Valid</v>
      </c>
      <c r="R44" s="2" t="str">
        <f>IF(TRIM(H44)="","Missing",IF(AND(LEN(TRIM(H44))=11,SUMPRODUCT(--(CODE(MID(TRIM(H44),{1,2,3,4},1))&gt;=65),--(CODE(MID(TRIM(H44),{1,2,3,4},1))&lt;=90))=4,MID(TRIM(H44),5,1)="0"),"Valid","Invalid"))</f>
        <v>Valid</v>
      </c>
      <c r="S44" s="2" t="str">
        <f t="shared" si="4"/>
        <v>Valid</v>
      </c>
      <c r="T44" s="2" t="str">
        <f t="shared" si="5"/>
        <v>Valid</v>
      </c>
      <c r="U44" s="2">
        <f t="shared" si="6"/>
        <v>2</v>
      </c>
      <c r="V44" s="2" t="str">
        <f t="shared" si="7"/>
        <v>917838578652</v>
      </c>
    </row>
    <row r="45" spans="1:22" x14ac:dyDescent="0.35">
      <c r="A45" s="2" t="s">
        <v>166</v>
      </c>
      <c r="B45" s="2" t="s">
        <v>167</v>
      </c>
      <c r="C45" s="2" t="s">
        <v>168</v>
      </c>
      <c r="D45" s="2" t="s">
        <v>169</v>
      </c>
      <c r="E45" s="2" t="s">
        <v>170</v>
      </c>
      <c r="F45" s="2" t="s">
        <v>2034</v>
      </c>
      <c r="G45" s="15" t="s">
        <v>172</v>
      </c>
      <c r="H45" s="2" t="s">
        <v>173</v>
      </c>
      <c r="I45" s="2" t="s">
        <v>130</v>
      </c>
      <c r="J45" s="2" t="s">
        <v>174</v>
      </c>
      <c r="K45" s="2" t="s">
        <v>121</v>
      </c>
      <c r="L45" s="2" t="s">
        <v>175</v>
      </c>
      <c r="M45" s="2" t="str">
        <f>IF(TRIM(C45)="","Missing",IF(AND(LEN(TRIM(C45))=10,SUMPRODUCT(--(CODE(MID(TRIM(C45),{1,2,3,4,5,10},1))&gt;=65),--(CODE(MID(TRIM(C45),{1,2,3,4,5,10},1))&lt;=90))=6,ISNUMBER(--MID(TRIM(C45),6,4))),"Valid","Invalid"))</f>
        <v>Valid</v>
      </c>
      <c r="N45" s="2" t="str">
        <f t="shared" si="0"/>
        <v>Valid</v>
      </c>
      <c r="O45" s="2" t="str">
        <f t="shared" si="1"/>
        <v>Valid</v>
      </c>
      <c r="P45" s="2" t="str">
        <f t="shared" si="2"/>
        <v>Valid</v>
      </c>
      <c r="Q45" s="2" t="str">
        <f t="shared" si="3"/>
        <v>Valid</v>
      </c>
      <c r="R45" s="2" t="str">
        <f>IF(TRIM(H45)="","Missing",IF(AND(LEN(TRIM(H45))=11,SUMPRODUCT(--(CODE(MID(TRIM(H45),{1,2,3,4},1))&gt;=65),--(CODE(MID(TRIM(H45),{1,2,3,4},1))&lt;=90))=4,MID(TRIM(H45),5,1)="0"),"Valid","Invalid"))</f>
        <v>Valid</v>
      </c>
      <c r="S45" s="2" t="str">
        <f t="shared" si="4"/>
        <v>Valid</v>
      </c>
      <c r="T45" s="2" t="str">
        <f t="shared" si="5"/>
        <v>Valid</v>
      </c>
      <c r="U45" s="2">
        <f t="shared" si="6"/>
        <v>0</v>
      </c>
      <c r="V45" s="2" t="str">
        <f t="shared" si="7"/>
        <v>919724004991</v>
      </c>
    </row>
    <row r="46" spans="1:22" x14ac:dyDescent="0.35">
      <c r="A46" s="2" t="s">
        <v>528</v>
      </c>
      <c r="B46" s="2" t="s">
        <v>529</v>
      </c>
      <c r="C46" s="2" t="s">
        <v>2035</v>
      </c>
      <c r="D46" s="2" t="s">
        <v>531</v>
      </c>
      <c r="E46" s="2" t="s">
        <v>532</v>
      </c>
      <c r="F46" s="2" t="s">
        <v>2036</v>
      </c>
      <c r="G46" s="15" t="s">
        <v>534</v>
      </c>
      <c r="H46" s="2" t="s">
        <v>535</v>
      </c>
      <c r="I46" s="2" t="s">
        <v>130</v>
      </c>
      <c r="J46" s="2" t="s">
        <v>141</v>
      </c>
      <c r="K46" s="2" t="s">
        <v>121</v>
      </c>
      <c r="L46" s="2" t="s">
        <v>536</v>
      </c>
      <c r="M46" s="2" t="str">
        <f>IF(TRIM(C46)="","Missing",IF(AND(LEN(TRIM(C46))=10,SUMPRODUCT(--(CODE(MID(TRIM(C46),{1,2,3,4,5,10},1))&gt;=65),--(CODE(MID(TRIM(C46),{1,2,3,4,5,10},1))&lt;=90))=6,ISNUMBER(--MID(TRIM(C46),6,4))),"Valid","Invalid"))</f>
        <v>Valid</v>
      </c>
      <c r="N46" s="2" t="str">
        <f t="shared" si="0"/>
        <v>Invalid</v>
      </c>
      <c r="O46" s="2" t="str">
        <f t="shared" si="1"/>
        <v>Invalid</v>
      </c>
      <c r="P46" s="2" t="str">
        <f t="shared" si="2"/>
        <v>Valid</v>
      </c>
      <c r="Q46" s="2" t="str">
        <f t="shared" si="3"/>
        <v>Valid</v>
      </c>
      <c r="R46" s="2" t="str">
        <f>IF(TRIM(H46)="","Missing",IF(AND(LEN(TRIM(H46))=11,SUMPRODUCT(--(CODE(MID(TRIM(H46),{1,2,3,4},1))&gt;=65),--(CODE(MID(TRIM(H46),{1,2,3,4},1))&lt;=90))=4,MID(TRIM(H46),5,1)="0"),"Valid","Invalid"))</f>
        <v>Valid</v>
      </c>
      <c r="S46" s="2" t="str">
        <f t="shared" si="4"/>
        <v>Valid</v>
      </c>
      <c r="T46" s="2" t="str">
        <f t="shared" si="5"/>
        <v>Valid</v>
      </c>
      <c r="U46" s="2">
        <f t="shared" si="6"/>
        <v>2</v>
      </c>
      <c r="V46" s="2" t="str">
        <f t="shared" si="7"/>
        <v>918637454990</v>
      </c>
    </row>
    <row r="47" spans="1:22" x14ac:dyDescent="0.35">
      <c r="A47" s="2" t="s">
        <v>1273</v>
      </c>
      <c r="B47" s="2" t="s">
        <v>1274</v>
      </c>
      <c r="C47" s="2"/>
      <c r="D47" s="2" t="s">
        <v>1275</v>
      </c>
      <c r="E47" s="2" t="s">
        <v>1276</v>
      </c>
      <c r="F47" s="2" t="s">
        <v>2037</v>
      </c>
      <c r="G47" s="15" t="s">
        <v>1278</v>
      </c>
      <c r="H47" s="2"/>
      <c r="I47" s="2" t="s">
        <v>130</v>
      </c>
      <c r="J47" s="2" t="s">
        <v>164</v>
      </c>
      <c r="K47" s="2" t="s">
        <v>121</v>
      </c>
      <c r="L47" s="2" t="s">
        <v>1279</v>
      </c>
      <c r="M47" s="2" t="str">
        <f>IF(TRIM(C47)="","Missing",IF(AND(LEN(TRIM(C47))=10,SUMPRODUCT(--(CODE(MID(TRIM(C47),{1,2,3,4,5,10},1))&gt;=65),--(CODE(MID(TRIM(C47),{1,2,3,4,5,10},1))&lt;=90))=6,ISNUMBER(--MID(TRIM(C47),6,4))),"Valid","Invalid"))</f>
        <v>Missing</v>
      </c>
      <c r="N47" s="2" t="str">
        <f t="shared" si="0"/>
        <v>PAN Mismatch</v>
      </c>
      <c r="O47" s="2" t="str">
        <f t="shared" si="1"/>
        <v>Valid</v>
      </c>
      <c r="P47" s="2" t="str">
        <f t="shared" si="2"/>
        <v>Valid</v>
      </c>
      <c r="Q47" s="2" t="str">
        <f t="shared" si="3"/>
        <v>Valid</v>
      </c>
      <c r="R47" s="2" t="str">
        <f>IF(TRIM(H47)="","Missing",IF(AND(LEN(TRIM(H47))=11,SUMPRODUCT(--(CODE(MID(TRIM(H47),{1,2,3,4},1))&gt;=65),--(CODE(MID(TRIM(H47),{1,2,3,4},1))&lt;=90))=4,MID(TRIM(H47),5,1)="0"),"Valid","Invalid"))</f>
        <v>Missing</v>
      </c>
      <c r="S47" s="2" t="str">
        <f t="shared" si="4"/>
        <v>Valid</v>
      </c>
      <c r="T47" s="2" t="str">
        <f t="shared" si="5"/>
        <v>Valid</v>
      </c>
      <c r="U47" s="2">
        <f t="shared" si="6"/>
        <v>3</v>
      </c>
      <c r="V47" s="2" t="str">
        <f t="shared" si="7"/>
        <v>916910883982</v>
      </c>
    </row>
    <row r="48" spans="1:22" x14ac:dyDescent="0.35">
      <c r="A48" s="2" t="s">
        <v>1395</v>
      </c>
      <c r="B48" s="2" t="s">
        <v>1396</v>
      </c>
      <c r="C48" s="2" t="s">
        <v>1397</v>
      </c>
      <c r="D48" s="2" t="s">
        <v>1398</v>
      </c>
      <c r="E48" s="2" t="s">
        <v>1399</v>
      </c>
      <c r="F48" s="2" t="s">
        <v>2038</v>
      </c>
      <c r="G48" s="15" t="s">
        <v>1401</v>
      </c>
      <c r="H48" s="2" t="s">
        <v>1402</v>
      </c>
      <c r="I48" s="2" t="s">
        <v>130</v>
      </c>
      <c r="J48" s="2" t="s">
        <v>164</v>
      </c>
      <c r="K48" s="2" t="s">
        <v>121</v>
      </c>
      <c r="L48" s="2" t="s">
        <v>1403</v>
      </c>
      <c r="M48" s="2" t="str">
        <f>IF(TRIM(C48)="","Missing",IF(AND(LEN(TRIM(C48))=10,SUMPRODUCT(--(CODE(MID(TRIM(C48),{1,2,3,4,5,10},1))&gt;=65),--(CODE(MID(TRIM(C48),{1,2,3,4,5,10},1))&lt;=90))=6,ISNUMBER(--MID(TRIM(C48),6,4))),"Valid","Invalid"))</f>
        <v>Valid</v>
      </c>
      <c r="N48" s="2" t="str">
        <f t="shared" si="0"/>
        <v>Valid</v>
      </c>
      <c r="O48" s="2" t="str">
        <f t="shared" si="1"/>
        <v>Valid</v>
      </c>
      <c r="P48" s="2" t="str">
        <f t="shared" si="2"/>
        <v>Valid</v>
      </c>
      <c r="Q48" s="2" t="str">
        <f t="shared" si="3"/>
        <v>Valid</v>
      </c>
      <c r="R48" s="2" t="str">
        <f>IF(TRIM(H48)="","Missing",IF(AND(LEN(TRIM(H48))=11,SUMPRODUCT(--(CODE(MID(TRIM(H48),{1,2,3,4},1))&gt;=65),--(CODE(MID(TRIM(H48),{1,2,3,4},1))&lt;=90))=4,MID(TRIM(H48),5,1)="0"),"Valid","Invalid"))</f>
        <v>Valid</v>
      </c>
      <c r="S48" s="2" t="str">
        <f t="shared" si="4"/>
        <v>Valid</v>
      </c>
      <c r="T48" s="2" t="str">
        <f t="shared" si="5"/>
        <v>Valid</v>
      </c>
      <c r="U48" s="2">
        <f t="shared" si="6"/>
        <v>0</v>
      </c>
      <c r="V48" s="2" t="str">
        <f t="shared" si="7"/>
        <v>916170462265</v>
      </c>
    </row>
    <row r="49" spans="1:22" x14ac:dyDescent="0.35">
      <c r="A49" s="2" t="s">
        <v>722</v>
      </c>
      <c r="B49" s="2" t="s">
        <v>723</v>
      </c>
      <c r="C49" s="2" t="s">
        <v>724</v>
      </c>
      <c r="D49" s="2"/>
      <c r="E49" s="2" t="s">
        <v>2039</v>
      </c>
      <c r="F49" s="2" t="s">
        <v>2040</v>
      </c>
      <c r="G49" s="15" t="s">
        <v>727</v>
      </c>
      <c r="H49" s="2" t="s">
        <v>728</v>
      </c>
      <c r="I49" s="2" t="s">
        <v>130</v>
      </c>
      <c r="J49" s="2" t="s">
        <v>359</v>
      </c>
      <c r="K49" s="2" t="s">
        <v>121</v>
      </c>
      <c r="L49" s="2" t="s">
        <v>729</v>
      </c>
      <c r="M49" s="2" t="str">
        <f>IF(TRIM(C49)="","Missing",IF(AND(LEN(TRIM(C49))=10,SUMPRODUCT(--(CODE(MID(TRIM(C49),{1,2,3,4,5,10},1))&gt;=65),--(CODE(MID(TRIM(C49),{1,2,3,4,5,10},1))&lt;=90))=6,ISNUMBER(--MID(TRIM(C49),6,4))),"Valid","Invalid"))</f>
        <v>Valid</v>
      </c>
      <c r="N49" s="2" t="str">
        <f t="shared" si="0"/>
        <v>Missing</v>
      </c>
      <c r="O49" s="2" t="str">
        <f t="shared" si="1"/>
        <v>Valid</v>
      </c>
      <c r="P49" s="2" t="str">
        <f t="shared" si="2"/>
        <v>Valid</v>
      </c>
      <c r="Q49" s="2" t="str">
        <f t="shared" si="3"/>
        <v>Valid</v>
      </c>
      <c r="R49" s="2" t="str">
        <f>IF(TRIM(H49)="","Missing",IF(AND(LEN(TRIM(H49))=11,SUMPRODUCT(--(CODE(MID(TRIM(H49),{1,2,3,4},1))&gt;=65),--(CODE(MID(TRIM(H49),{1,2,3,4},1))&lt;=90))=4,MID(TRIM(H49),5,1)="0"),"Valid","Invalid"))</f>
        <v>Valid</v>
      </c>
      <c r="S49" s="2" t="str">
        <f t="shared" si="4"/>
        <v>Valid</v>
      </c>
      <c r="T49" s="2" t="str">
        <f t="shared" si="5"/>
        <v>Valid</v>
      </c>
      <c r="U49" s="2">
        <f t="shared" si="6"/>
        <v>1</v>
      </c>
      <c r="V49" s="2" t="str">
        <f t="shared" si="7"/>
        <v>919246287334</v>
      </c>
    </row>
    <row r="50" spans="1:22" x14ac:dyDescent="0.35">
      <c r="A50" s="2" t="s">
        <v>1413</v>
      </c>
      <c r="B50" s="2" t="s">
        <v>1414</v>
      </c>
      <c r="C50" s="2" t="s">
        <v>1415</v>
      </c>
      <c r="D50" s="2" t="s">
        <v>1416</v>
      </c>
      <c r="E50" s="2" t="s">
        <v>1417</v>
      </c>
      <c r="F50" s="2" t="s">
        <v>2041</v>
      </c>
      <c r="G50" s="15" t="s">
        <v>1419</v>
      </c>
      <c r="H50" s="2" t="s">
        <v>1420</v>
      </c>
      <c r="I50" s="2" t="s">
        <v>130</v>
      </c>
      <c r="J50" s="2" t="s">
        <v>174</v>
      </c>
      <c r="K50" s="2" t="s">
        <v>121</v>
      </c>
      <c r="L50" s="2" t="s">
        <v>1421</v>
      </c>
      <c r="M50" s="2" t="str">
        <f>IF(TRIM(C50)="","Missing",IF(AND(LEN(TRIM(C50))=10,SUMPRODUCT(--(CODE(MID(TRIM(C50),{1,2,3,4,5,10},1))&gt;=65),--(CODE(MID(TRIM(C50),{1,2,3,4,5,10},1))&lt;=90))=6,ISNUMBER(--MID(TRIM(C50),6,4))),"Valid","Invalid"))</f>
        <v>Valid</v>
      </c>
      <c r="N50" s="2" t="str">
        <f t="shared" si="0"/>
        <v>Valid</v>
      </c>
      <c r="O50" s="2" t="str">
        <f t="shared" si="1"/>
        <v>Valid</v>
      </c>
      <c r="P50" s="2" t="str">
        <f t="shared" si="2"/>
        <v>Valid</v>
      </c>
      <c r="Q50" s="2" t="str">
        <f t="shared" si="3"/>
        <v>Valid</v>
      </c>
      <c r="R50" s="2" t="str">
        <f>IF(TRIM(H50)="","Missing",IF(AND(LEN(TRIM(H50))=11,SUMPRODUCT(--(CODE(MID(TRIM(H50),{1,2,3,4},1))&gt;=65),--(CODE(MID(TRIM(H50),{1,2,3,4},1))&lt;=90))=4,MID(TRIM(H50),5,1)="0"),"Valid","Invalid"))</f>
        <v>Valid</v>
      </c>
      <c r="S50" s="2" t="str">
        <f t="shared" si="4"/>
        <v>Valid</v>
      </c>
      <c r="T50" s="2" t="str">
        <f t="shared" si="5"/>
        <v>Valid</v>
      </c>
      <c r="U50" s="2">
        <f t="shared" si="6"/>
        <v>0</v>
      </c>
      <c r="V50" s="2" t="str">
        <f t="shared" si="7"/>
        <v>916331739363</v>
      </c>
    </row>
    <row r="51" spans="1:22" x14ac:dyDescent="0.35">
      <c r="A51" s="2" t="s">
        <v>133</v>
      </c>
      <c r="B51" s="2" t="s">
        <v>134</v>
      </c>
      <c r="C51" s="2" t="s">
        <v>135</v>
      </c>
      <c r="D51" s="2" t="s">
        <v>136</v>
      </c>
      <c r="E51" s="2" t="s">
        <v>137</v>
      </c>
      <c r="F51" s="2" t="s">
        <v>2042</v>
      </c>
      <c r="G51" s="15" t="s">
        <v>139</v>
      </c>
      <c r="H51" s="2" t="s">
        <v>140</v>
      </c>
      <c r="I51" s="2" t="s">
        <v>130</v>
      </c>
      <c r="J51" s="2" t="s">
        <v>141</v>
      </c>
      <c r="K51" s="2" t="s">
        <v>142</v>
      </c>
      <c r="L51" s="2" t="s">
        <v>143</v>
      </c>
      <c r="M51" s="2" t="str">
        <f>IF(TRIM(C51)="","Missing",IF(AND(LEN(TRIM(C51))=10,SUMPRODUCT(--(CODE(MID(TRIM(C51),{1,2,3,4,5,10},1))&gt;=65),--(CODE(MID(TRIM(C51),{1,2,3,4,5,10},1))&lt;=90))=6,ISNUMBER(--MID(TRIM(C51),6,4))),"Valid","Invalid"))</f>
        <v>Valid</v>
      </c>
      <c r="N51" s="2" t="str">
        <f t="shared" si="0"/>
        <v>Valid</v>
      </c>
      <c r="O51" s="2" t="str">
        <f t="shared" si="1"/>
        <v>Valid</v>
      </c>
      <c r="P51" s="2" t="str">
        <f t="shared" si="2"/>
        <v>Valid</v>
      </c>
      <c r="Q51" s="2" t="str">
        <f t="shared" si="3"/>
        <v>Valid</v>
      </c>
      <c r="R51" s="2" t="str">
        <f>IF(TRIM(H51)="","Missing",IF(AND(LEN(TRIM(H51))=11,SUMPRODUCT(--(CODE(MID(TRIM(H51),{1,2,3,4},1))&gt;=65),--(CODE(MID(TRIM(H51),{1,2,3,4},1))&lt;=90))=4,MID(TRIM(H51),5,1)="0"),"Valid","Invalid"))</f>
        <v>Valid</v>
      </c>
      <c r="S51" s="2" t="str">
        <f t="shared" si="4"/>
        <v>Valid</v>
      </c>
      <c r="T51" s="2" t="str">
        <f t="shared" si="5"/>
        <v>Valid</v>
      </c>
      <c r="U51" s="2">
        <f t="shared" si="6"/>
        <v>0</v>
      </c>
      <c r="V51" s="2" t="str">
        <f t="shared" si="7"/>
        <v>919854777252</v>
      </c>
    </row>
    <row r="52" spans="1:22" x14ac:dyDescent="0.35">
      <c r="A52" s="2" t="s">
        <v>730</v>
      </c>
      <c r="B52" s="2" t="s">
        <v>731</v>
      </c>
      <c r="C52" s="2" t="s">
        <v>732</v>
      </c>
      <c r="D52" s="2" t="s">
        <v>733</v>
      </c>
      <c r="E52" s="2" t="s">
        <v>734</v>
      </c>
      <c r="F52" s="2" t="s">
        <v>2043</v>
      </c>
      <c r="G52" s="15" t="s">
        <v>736</v>
      </c>
      <c r="H52" s="2" t="s">
        <v>737</v>
      </c>
      <c r="I52" s="2" t="s">
        <v>130</v>
      </c>
      <c r="J52" s="2" t="s">
        <v>359</v>
      </c>
      <c r="K52" s="2" t="s">
        <v>121</v>
      </c>
      <c r="L52" s="2" t="s">
        <v>738</v>
      </c>
      <c r="M52" s="2" t="str">
        <f>IF(TRIM(C52)="","Missing",IF(AND(LEN(TRIM(C52))=10,SUMPRODUCT(--(CODE(MID(TRIM(C52),{1,2,3,4,5,10},1))&gt;=65),--(CODE(MID(TRIM(C52),{1,2,3,4,5,10},1))&lt;=90))=6,ISNUMBER(--MID(TRIM(C52),6,4))),"Valid","Invalid"))</f>
        <v>Valid</v>
      </c>
      <c r="N52" s="2" t="str">
        <f t="shared" si="0"/>
        <v>Valid</v>
      </c>
      <c r="O52" s="2" t="str">
        <f t="shared" si="1"/>
        <v>Valid</v>
      </c>
      <c r="P52" s="2" t="str">
        <f t="shared" si="2"/>
        <v>Valid</v>
      </c>
      <c r="Q52" s="2" t="str">
        <f t="shared" si="3"/>
        <v>Valid</v>
      </c>
      <c r="R52" s="2" t="str">
        <f>IF(TRIM(H52)="","Missing",IF(AND(LEN(TRIM(H52))=11,SUMPRODUCT(--(CODE(MID(TRIM(H52),{1,2,3,4},1))&gt;=65),--(CODE(MID(TRIM(H52),{1,2,3,4},1))&lt;=90))=4,MID(TRIM(H52),5,1)="0"),"Valid","Invalid"))</f>
        <v>Invalid</v>
      </c>
      <c r="S52" s="2" t="str">
        <f t="shared" si="4"/>
        <v>Valid</v>
      </c>
      <c r="T52" s="2" t="str">
        <f t="shared" si="5"/>
        <v>Valid</v>
      </c>
      <c r="U52" s="2">
        <f t="shared" si="6"/>
        <v>1</v>
      </c>
      <c r="V52" s="2" t="str">
        <f t="shared" si="7"/>
        <v>916862118233</v>
      </c>
    </row>
    <row r="53" spans="1:22" x14ac:dyDescent="0.35">
      <c r="A53" s="2" t="s">
        <v>947</v>
      </c>
      <c r="B53" s="2" t="s">
        <v>948</v>
      </c>
      <c r="C53" s="2" t="s">
        <v>949</v>
      </c>
      <c r="D53" s="2" t="s">
        <v>950</v>
      </c>
      <c r="E53" s="2" t="s">
        <v>951</v>
      </c>
      <c r="F53" s="2" t="s">
        <v>2044</v>
      </c>
      <c r="G53" s="15" t="s">
        <v>953</v>
      </c>
      <c r="H53" s="2" t="s">
        <v>954</v>
      </c>
      <c r="I53" s="2" t="s">
        <v>130</v>
      </c>
      <c r="J53" s="2" t="s">
        <v>164</v>
      </c>
      <c r="K53" s="2" t="s">
        <v>121</v>
      </c>
      <c r="L53" s="2" t="s">
        <v>955</v>
      </c>
      <c r="M53" s="2" t="e">
        <f>IF(TRIM(C53)="","Missing",IF(AND(LEN(TRIM(C53))=10,SUMPRODUCT(--(CODE(MID(TRIM(C53),{1,2,3,4,5,10},1))&gt;=65),--(CODE(MID(TRIM(C53),{1,2,3,4,5,10},1))&lt;=90))=6,ISNUMBER(--MID(TRIM(C53),6,4))),"Valid","Invalid"))</f>
        <v>#VALUE!</v>
      </c>
      <c r="N53" s="2" t="str">
        <f t="shared" si="0"/>
        <v>PAN Mismatch</v>
      </c>
      <c r="O53" s="2" t="str">
        <f t="shared" si="1"/>
        <v>Valid</v>
      </c>
      <c r="P53" s="2" t="str">
        <f t="shared" si="2"/>
        <v>Valid</v>
      </c>
      <c r="Q53" s="2" t="str">
        <f t="shared" si="3"/>
        <v>Valid</v>
      </c>
      <c r="R53" s="2" t="str">
        <f>IF(TRIM(H53)="","Missing",IF(AND(LEN(TRIM(H53))=11,SUMPRODUCT(--(CODE(MID(TRIM(H53),{1,2,3,4},1))&gt;=65),--(CODE(MID(TRIM(H53),{1,2,3,4},1))&lt;=90))=4,MID(TRIM(H53),5,1)="0"),"Valid","Invalid"))</f>
        <v>Valid</v>
      </c>
      <c r="S53" s="2" t="str">
        <f t="shared" si="4"/>
        <v>Valid</v>
      </c>
      <c r="T53" s="2" t="str">
        <f t="shared" si="5"/>
        <v>Valid</v>
      </c>
      <c r="U53" s="2">
        <f t="shared" si="6"/>
        <v>2</v>
      </c>
      <c r="V53" s="2" t="str">
        <f t="shared" si="7"/>
        <v>918014890250</v>
      </c>
    </row>
    <row r="54" spans="1:22" x14ac:dyDescent="0.35">
      <c r="A54" s="2" t="s">
        <v>1488</v>
      </c>
      <c r="B54" s="2" t="s">
        <v>1489</v>
      </c>
      <c r="C54" s="2" t="s">
        <v>1490</v>
      </c>
      <c r="D54" s="2" t="s">
        <v>1491</v>
      </c>
      <c r="E54" s="2" t="s">
        <v>1492</v>
      </c>
      <c r="F54" s="2" t="s">
        <v>2045</v>
      </c>
      <c r="G54" s="15" t="s">
        <v>1494</v>
      </c>
      <c r="H54" s="2" t="s">
        <v>1495</v>
      </c>
      <c r="I54" s="2" t="s">
        <v>130</v>
      </c>
      <c r="J54" s="2" t="s">
        <v>174</v>
      </c>
      <c r="K54" s="2" t="s">
        <v>121</v>
      </c>
      <c r="L54" s="2" t="s">
        <v>1496</v>
      </c>
      <c r="M54" s="2" t="str">
        <f>IF(TRIM(C54)="","Missing",IF(AND(LEN(TRIM(C54))=10,SUMPRODUCT(--(CODE(MID(TRIM(C54),{1,2,3,4,5,10},1))&gt;=65),--(CODE(MID(TRIM(C54),{1,2,3,4,5,10},1))&lt;=90))=6,ISNUMBER(--MID(TRIM(C54),6,4))),"Valid","Invalid"))</f>
        <v>Valid</v>
      </c>
      <c r="N54" s="2" t="str">
        <f t="shared" si="0"/>
        <v>Valid</v>
      </c>
      <c r="O54" s="2" t="str">
        <f t="shared" si="1"/>
        <v>Valid</v>
      </c>
      <c r="P54" s="2" t="str">
        <f t="shared" si="2"/>
        <v>Valid</v>
      </c>
      <c r="Q54" s="2" t="str">
        <f t="shared" si="3"/>
        <v>Valid</v>
      </c>
      <c r="R54" s="2" t="str">
        <f>IF(TRIM(H54)="","Missing",IF(AND(LEN(TRIM(H54))=11,SUMPRODUCT(--(CODE(MID(TRIM(H54),{1,2,3,4},1))&gt;=65),--(CODE(MID(TRIM(H54),{1,2,3,4},1))&lt;=90))=4,MID(TRIM(H54),5,1)="0"),"Valid","Invalid"))</f>
        <v>Valid</v>
      </c>
      <c r="S54" s="2" t="str">
        <f t="shared" si="4"/>
        <v>Valid</v>
      </c>
      <c r="T54" s="2" t="str">
        <f t="shared" si="5"/>
        <v>Valid</v>
      </c>
      <c r="U54" s="2">
        <f t="shared" si="6"/>
        <v>0</v>
      </c>
      <c r="V54" s="2" t="str">
        <f t="shared" si="7"/>
        <v>917586629619</v>
      </c>
    </row>
    <row r="55" spans="1:22" x14ac:dyDescent="0.35">
      <c r="A55" s="2" t="s">
        <v>589</v>
      </c>
      <c r="B55" s="2" t="s">
        <v>590</v>
      </c>
      <c r="C55" s="2" t="s">
        <v>591</v>
      </c>
      <c r="D55" s="2" t="s">
        <v>592</v>
      </c>
      <c r="E55" s="2" t="s">
        <v>593</v>
      </c>
      <c r="F55" s="2" t="s">
        <v>2046</v>
      </c>
      <c r="G55" s="15" t="s">
        <v>595</v>
      </c>
      <c r="H55" s="2" t="s">
        <v>596</v>
      </c>
      <c r="I55" s="2" t="s">
        <v>130</v>
      </c>
      <c r="J55" s="2" t="s">
        <v>174</v>
      </c>
      <c r="K55" s="2" t="s">
        <v>121</v>
      </c>
      <c r="L55" s="2" t="s">
        <v>597</v>
      </c>
      <c r="M55" s="2" t="str">
        <f>IF(TRIM(C55)="","Missing",IF(AND(LEN(TRIM(C55))=10,SUMPRODUCT(--(CODE(MID(TRIM(C55),{1,2,3,4,5,10},1))&gt;=65),--(CODE(MID(TRIM(C55),{1,2,3,4,5,10},1))&lt;=90))=6,ISNUMBER(--MID(TRIM(C55),6,4))),"Valid","Invalid"))</f>
        <v>Valid</v>
      </c>
      <c r="N55" s="2" t="str">
        <f t="shared" si="0"/>
        <v>Valid</v>
      </c>
      <c r="O55" s="2" t="str">
        <f t="shared" si="1"/>
        <v>Invalid</v>
      </c>
      <c r="P55" s="2" t="str">
        <f t="shared" si="2"/>
        <v>Valid</v>
      </c>
      <c r="Q55" s="2" t="str">
        <f t="shared" si="3"/>
        <v>Valid</v>
      </c>
      <c r="R55" s="2" t="str">
        <f>IF(TRIM(H55)="","Missing",IF(AND(LEN(TRIM(H55))=11,SUMPRODUCT(--(CODE(MID(TRIM(H55),{1,2,3,4},1))&gt;=65),--(CODE(MID(TRIM(H55),{1,2,3,4},1))&lt;=90))=4,MID(TRIM(H55),5,1)="0"),"Valid","Invalid"))</f>
        <v>Valid</v>
      </c>
      <c r="S55" s="2" t="str">
        <f t="shared" si="4"/>
        <v>Valid</v>
      </c>
      <c r="T55" s="2" t="str">
        <f t="shared" si="5"/>
        <v>Valid</v>
      </c>
      <c r="U55" s="2">
        <f t="shared" si="6"/>
        <v>1</v>
      </c>
      <c r="V55" s="2" t="str">
        <f t="shared" si="7"/>
        <v>916466183982</v>
      </c>
    </row>
    <row r="56" spans="1:22" x14ac:dyDescent="0.35">
      <c r="A56" s="2" t="s">
        <v>1770</v>
      </c>
      <c r="B56" s="2" t="s">
        <v>1771</v>
      </c>
      <c r="C56" s="2" t="s">
        <v>1772</v>
      </c>
      <c r="D56" s="2" t="s">
        <v>1773</v>
      </c>
      <c r="E56" s="2" t="s">
        <v>1774</v>
      </c>
      <c r="F56" s="2" t="s">
        <v>2047</v>
      </c>
      <c r="G56" s="15" t="s">
        <v>1776</v>
      </c>
      <c r="H56" s="2" t="s">
        <v>1777</v>
      </c>
      <c r="I56" s="2" t="s">
        <v>130</v>
      </c>
      <c r="J56" s="2" t="s">
        <v>164</v>
      </c>
      <c r="K56" s="2" t="s">
        <v>121</v>
      </c>
      <c r="L56" s="2" t="s">
        <v>1778</v>
      </c>
      <c r="M56" s="2" t="str">
        <f>IF(TRIM(C56)="","Missing",IF(AND(LEN(TRIM(C56))=10,SUMPRODUCT(--(CODE(MID(TRIM(C56),{1,2,3,4,5,10},1))&gt;=65),--(CODE(MID(TRIM(C56),{1,2,3,4,5,10},1))&lt;=90))=6,ISNUMBER(--MID(TRIM(C56),6,4))),"Valid","Invalid"))</f>
        <v>Valid</v>
      </c>
      <c r="N56" s="2" t="str">
        <f t="shared" si="0"/>
        <v>Valid</v>
      </c>
      <c r="O56" s="2" t="str">
        <f t="shared" si="1"/>
        <v>Valid</v>
      </c>
      <c r="P56" s="2" t="str">
        <f t="shared" si="2"/>
        <v>Valid</v>
      </c>
      <c r="Q56" s="2" t="str">
        <f t="shared" si="3"/>
        <v>Valid</v>
      </c>
      <c r="R56" s="2" t="str">
        <f>IF(TRIM(H56)="","Missing",IF(AND(LEN(TRIM(H56))=11,SUMPRODUCT(--(CODE(MID(TRIM(H56),{1,2,3,4},1))&gt;=65),--(CODE(MID(TRIM(H56),{1,2,3,4},1))&lt;=90))=4,MID(TRIM(H56),5,1)="0"),"Valid","Invalid"))</f>
        <v>Valid</v>
      </c>
      <c r="S56" s="2" t="str">
        <f t="shared" si="4"/>
        <v>Valid</v>
      </c>
      <c r="T56" s="2" t="str">
        <f t="shared" si="5"/>
        <v>Valid</v>
      </c>
      <c r="U56" s="2">
        <f t="shared" si="6"/>
        <v>0</v>
      </c>
      <c r="V56" s="2" t="str">
        <f t="shared" si="7"/>
        <v>918937526547</v>
      </c>
    </row>
    <row r="57" spans="1:22" x14ac:dyDescent="0.35">
      <c r="A57" s="2" t="s">
        <v>1158</v>
      </c>
      <c r="B57" s="2" t="s">
        <v>1159</v>
      </c>
      <c r="C57" s="2" t="s">
        <v>1160</v>
      </c>
      <c r="D57" s="2" t="s">
        <v>1161</v>
      </c>
      <c r="E57" s="2" t="s">
        <v>1162</v>
      </c>
      <c r="F57" s="2" t="s">
        <v>2048</v>
      </c>
      <c r="G57" s="15" t="s">
        <v>1164</v>
      </c>
      <c r="H57" s="2" t="s">
        <v>1165</v>
      </c>
      <c r="I57" s="2" t="s">
        <v>130</v>
      </c>
      <c r="J57" s="2" t="s">
        <v>164</v>
      </c>
      <c r="K57" s="2" t="s">
        <v>121</v>
      </c>
      <c r="L57" s="2" t="s">
        <v>1166</v>
      </c>
      <c r="M57" s="2" t="str">
        <f>IF(TRIM(C57)="","Missing",IF(AND(LEN(TRIM(C57))=10,SUMPRODUCT(--(CODE(MID(TRIM(C57),{1,2,3,4,5,10},1))&gt;=65),--(CODE(MID(TRIM(C57),{1,2,3,4,5,10},1))&lt;=90))=6,ISNUMBER(--MID(TRIM(C57),6,4))),"Valid","Invalid"))</f>
        <v>Valid</v>
      </c>
      <c r="N57" s="2" t="str">
        <f t="shared" si="0"/>
        <v>Valid</v>
      </c>
      <c r="O57" s="2" t="str">
        <f t="shared" si="1"/>
        <v>Valid</v>
      </c>
      <c r="P57" s="2" t="str">
        <f t="shared" si="2"/>
        <v>Valid</v>
      </c>
      <c r="Q57" s="2" t="str">
        <f t="shared" si="3"/>
        <v>Valid</v>
      </c>
      <c r="R57" s="2" t="str">
        <f>IF(TRIM(H57)="","Missing",IF(AND(LEN(TRIM(H57))=11,SUMPRODUCT(--(CODE(MID(TRIM(H57),{1,2,3,4},1))&gt;=65),--(CODE(MID(TRIM(H57),{1,2,3,4},1))&lt;=90))=4,MID(TRIM(H57),5,1)="0"),"Valid","Invalid"))</f>
        <v>Valid</v>
      </c>
      <c r="S57" s="2" t="str">
        <f t="shared" si="4"/>
        <v>Valid</v>
      </c>
      <c r="T57" s="2" t="str">
        <f t="shared" si="5"/>
        <v>Valid</v>
      </c>
      <c r="U57" s="2">
        <f t="shared" si="6"/>
        <v>0</v>
      </c>
      <c r="V57" s="2" t="str">
        <f t="shared" si="7"/>
        <v>916589113529</v>
      </c>
    </row>
    <row r="58" spans="1:22" x14ac:dyDescent="0.35">
      <c r="A58" s="2" t="s">
        <v>760</v>
      </c>
      <c r="B58" s="2" t="s">
        <v>761</v>
      </c>
      <c r="C58" s="2" t="s">
        <v>762</v>
      </c>
      <c r="D58" s="2" t="s">
        <v>763</v>
      </c>
      <c r="E58" s="2" t="s">
        <v>764</v>
      </c>
      <c r="F58" s="2" t="s">
        <v>2049</v>
      </c>
      <c r="G58" s="15" t="s">
        <v>766</v>
      </c>
      <c r="H58" s="2" t="s">
        <v>767</v>
      </c>
      <c r="I58" s="2" t="s">
        <v>130</v>
      </c>
      <c r="J58" s="2" t="s">
        <v>174</v>
      </c>
      <c r="K58" s="2" t="s">
        <v>121</v>
      </c>
      <c r="L58" s="2" t="s">
        <v>768</v>
      </c>
      <c r="M58" s="2" t="str">
        <f>IF(TRIM(C58)="","Missing",IF(AND(LEN(TRIM(C58))=10,SUMPRODUCT(--(CODE(MID(TRIM(C58),{1,2,3,4,5,10},1))&gt;=65),--(CODE(MID(TRIM(C58),{1,2,3,4,5,10},1))&lt;=90))=6,ISNUMBER(--MID(TRIM(C58),6,4))),"Valid","Invalid"))</f>
        <v>Valid</v>
      </c>
      <c r="N58" s="2" t="str">
        <f t="shared" si="0"/>
        <v>Valid</v>
      </c>
      <c r="O58" s="2" t="str">
        <f t="shared" si="1"/>
        <v>Valid</v>
      </c>
      <c r="P58" s="2" t="str">
        <f t="shared" si="2"/>
        <v>Valid</v>
      </c>
      <c r="Q58" s="2" t="str">
        <f t="shared" si="3"/>
        <v>Valid</v>
      </c>
      <c r="R58" s="2" t="str">
        <f>IF(TRIM(H58)="","Missing",IF(AND(LEN(TRIM(H58))=11,SUMPRODUCT(--(CODE(MID(TRIM(H58),{1,2,3,4},1))&gt;=65),--(CODE(MID(TRIM(H58),{1,2,3,4},1))&lt;=90))=4,MID(TRIM(H58),5,1)="0"),"Valid","Invalid"))</f>
        <v>Valid</v>
      </c>
      <c r="S58" s="2" t="str">
        <f t="shared" si="4"/>
        <v>Valid</v>
      </c>
      <c r="T58" s="2" t="str">
        <f t="shared" si="5"/>
        <v>Valid</v>
      </c>
      <c r="U58" s="2">
        <f t="shared" si="6"/>
        <v>0</v>
      </c>
      <c r="V58" s="2" t="str">
        <f t="shared" si="7"/>
        <v>918573875717</v>
      </c>
    </row>
    <row r="59" spans="1:22" x14ac:dyDescent="0.35">
      <c r="A59" s="2" t="s">
        <v>387</v>
      </c>
      <c r="B59" s="2" t="s">
        <v>388</v>
      </c>
      <c r="C59" s="2" t="s">
        <v>389</v>
      </c>
      <c r="D59" s="2" t="s">
        <v>390</v>
      </c>
      <c r="E59" s="2" t="s">
        <v>2050</v>
      </c>
      <c r="F59" s="2" t="s">
        <v>2051</v>
      </c>
      <c r="G59" s="15" t="s">
        <v>393</v>
      </c>
      <c r="H59" s="2" t="s">
        <v>394</v>
      </c>
      <c r="I59" s="2" t="s">
        <v>130</v>
      </c>
      <c r="J59" s="2" t="s">
        <v>359</v>
      </c>
      <c r="K59" s="2" t="s">
        <v>121</v>
      </c>
      <c r="L59" s="2" t="s">
        <v>395</v>
      </c>
      <c r="M59" s="2" t="str">
        <f>IF(TRIM(C59)="","Missing",IF(AND(LEN(TRIM(C59))=10,SUMPRODUCT(--(CODE(MID(TRIM(C59),{1,2,3,4,5,10},1))&gt;=65),--(CODE(MID(TRIM(C59),{1,2,3,4,5,10},1))&lt;=90))=6,ISNUMBER(--MID(TRIM(C59),6,4))),"Valid","Invalid"))</f>
        <v>Valid</v>
      </c>
      <c r="N59" s="2" t="str">
        <f t="shared" si="0"/>
        <v>Valid</v>
      </c>
      <c r="O59" s="2" t="str">
        <f t="shared" si="1"/>
        <v>Valid</v>
      </c>
      <c r="P59" s="2" t="str">
        <f t="shared" si="2"/>
        <v>Valid</v>
      </c>
      <c r="Q59" s="2" t="str">
        <f t="shared" si="3"/>
        <v>Valid</v>
      </c>
      <c r="R59" s="2" t="str">
        <f>IF(TRIM(H59)="","Missing",IF(AND(LEN(TRIM(H59))=11,SUMPRODUCT(--(CODE(MID(TRIM(H59),{1,2,3,4},1))&gt;=65),--(CODE(MID(TRIM(H59),{1,2,3,4},1))&lt;=90))=4,MID(TRIM(H59),5,1)="0"),"Valid","Invalid"))</f>
        <v>Valid</v>
      </c>
      <c r="S59" s="2" t="str">
        <f t="shared" si="4"/>
        <v>Valid</v>
      </c>
      <c r="T59" s="2" t="str">
        <f t="shared" si="5"/>
        <v>Valid</v>
      </c>
      <c r="U59" s="2">
        <f t="shared" si="6"/>
        <v>0</v>
      </c>
      <c r="V59" s="2" t="str">
        <f t="shared" si="7"/>
        <v>918191825537</v>
      </c>
    </row>
    <row r="60" spans="1:22" x14ac:dyDescent="0.35">
      <c r="A60" s="2" t="s">
        <v>1837</v>
      </c>
      <c r="B60" s="2" t="s">
        <v>1838</v>
      </c>
      <c r="C60" s="2" t="s">
        <v>1839</v>
      </c>
      <c r="D60" s="2" t="s">
        <v>1840</v>
      </c>
      <c r="E60" s="2" t="s">
        <v>1841</v>
      </c>
      <c r="F60" s="2" t="s">
        <v>2052</v>
      </c>
      <c r="G60" s="15"/>
      <c r="H60" s="2" t="s">
        <v>1843</v>
      </c>
      <c r="I60" s="2" t="s">
        <v>130</v>
      </c>
      <c r="J60" s="2" t="s">
        <v>174</v>
      </c>
      <c r="K60" s="2" t="s">
        <v>121</v>
      </c>
      <c r="L60" s="2" t="s">
        <v>1844</v>
      </c>
      <c r="M60" s="2" t="e">
        <f>IF(TRIM(C60)="","Missing",IF(AND(LEN(TRIM(C60))=10,SUMPRODUCT(--(CODE(MID(TRIM(C60),{1,2,3,4,5,10},1))&gt;=65),--(CODE(MID(TRIM(C60),{1,2,3,4,5,10},1))&lt;=90))=6,ISNUMBER(--MID(TRIM(C60),6,4))),"Valid","Invalid"))</f>
        <v>#VALUE!</v>
      </c>
      <c r="N60" s="2" t="str">
        <f t="shared" si="0"/>
        <v>PAN Mismatch</v>
      </c>
      <c r="O60" s="2" t="str">
        <f t="shared" si="1"/>
        <v>Valid</v>
      </c>
      <c r="P60" s="2" t="str">
        <f t="shared" si="2"/>
        <v>Valid</v>
      </c>
      <c r="Q60" s="2" t="str">
        <f t="shared" si="3"/>
        <v>Missing</v>
      </c>
      <c r="R60" s="2" t="str">
        <f>IF(TRIM(H60)="","Missing",IF(AND(LEN(TRIM(H60))=11,SUMPRODUCT(--(CODE(MID(TRIM(H60),{1,2,3,4},1))&gt;=65),--(CODE(MID(TRIM(H60),{1,2,3,4},1))&lt;=90))=4,MID(TRIM(H60),5,1)="0"),"Valid","Invalid"))</f>
        <v>Valid</v>
      </c>
      <c r="S60" s="2" t="str">
        <f t="shared" si="4"/>
        <v>Valid</v>
      </c>
      <c r="T60" s="2" t="str">
        <f t="shared" si="5"/>
        <v>Valid</v>
      </c>
      <c r="U60" s="2">
        <f t="shared" si="6"/>
        <v>3</v>
      </c>
      <c r="V60" s="2" t="str">
        <f t="shared" si="7"/>
        <v>916485807836</v>
      </c>
    </row>
    <row r="61" spans="1:22" x14ac:dyDescent="0.35">
      <c r="A61" s="2" t="s">
        <v>1634</v>
      </c>
      <c r="B61" s="2" t="s">
        <v>1635</v>
      </c>
      <c r="C61" s="2" t="s">
        <v>1636</v>
      </c>
      <c r="D61" s="2" t="s">
        <v>1637</v>
      </c>
      <c r="E61" s="2" t="s">
        <v>1638</v>
      </c>
      <c r="F61" s="2" t="s">
        <v>2053</v>
      </c>
      <c r="G61" s="15" t="s">
        <v>1640</v>
      </c>
      <c r="H61" s="2" t="s">
        <v>1641</v>
      </c>
      <c r="I61" s="2" t="s">
        <v>130</v>
      </c>
      <c r="J61" s="2" t="s">
        <v>359</v>
      </c>
      <c r="K61" s="2" t="s">
        <v>121</v>
      </c>
      <c r="L61" s="2" t="s">
        <v>1642</v>
      </c>
      <c r="M61" s="2" t="str">
        <f>IF(TRIM(C61)="","Missing",IF(AND(LEN(TRIM(C61))=10,SUMPRODUCT(--(CODE(MID(TRIM(C61),{1,2,3,4,5,10},1))&gt;=65),--(CODE(MID(TRIM(C61),{1,2,3,4,5,10},1))&lt;=90))=6,ISNUMBER(--MID(TRIM(C61),6,4))),"Valid","Invalid"))</f>
        <v>Valid</v>
      </c>
      <c r="N61" s="2" t="str">
        <f t="shared" si="0"/>
        <v>Valid</v>
      </c>
      <c r="O61" s="2" t="str">
        <f t="shared" si="1"/>
        <v>Valid</v>
      </c>
      <c r="P61" s="2" t="str">
        <f t="shared" si="2"/>
        <v>Valid</v>
      </c>
      <c r="Q61" s="2" t="str">
        <f t="shared" si="3"/>
        <v>Valid</v>
      </c>
      <c r="R61" s="2" t="str">
        <f>IF(TRIM(H61)="","Missing",IF(AND(LEN(TRIM(H61))=11,SUMPRODUCT(--(CODE(MID(TRIM(H61),{1,2,3,4},1))&gt;=65),--(CODE(MID(TRIM(H61),{1,2,3,4},1))&lt;=90))=4,MID(TRIM(H61),5,1)="0"),"Valid","Invalid"))</f>
        <v>Valid</v>
      </c>
      <c r="S61" s="2" t="str">
        <f t="shared" si="4"/>
        <v>Valid</v>
      </c>
      <c r="T61" s="2" t="str">
        <f t="shared" si="5"/>
        <v>Valid</v>
      </c>
      <c r="U61" s="2">
        <f t="shared" si="6"/>
        <v>0</v>
      </c>
      <c r="V61" s="2" t="str">
        <f t="shared" si="7"/>
        <v>916260422325</v>
      </c>
    </row>
    <row r="62" spans="1:22" x14ac:dyDescent="0.35">
      <c r="A62" s="2" t="s">
        <v>1657</v>
      </c>
      <c r="B62" s="2" t="s">
        <v>1658</v>
      </c>
      <c r="C62" s="2" t="s">
        <v>1659</v>
      </c>
      <c r="D62" s="2" t="s">
        <v>1660</v>
      </c>
      <c r="E62" s="2" t="s">
        <v>1661</v>
      </c>
      <c r="F62" s="2" t="s">
        <v>2054</v>
      </c>
      <c r="G62" s="15" t="s">
        <v>1663</v>
      </c>
      <c r="H62" s="2" t="s">
        <v>1664</v>
      </c>
      <c r="I62" s="2" t="s">
        <v>130</v>
      </c>
      <c r="J62" s="2" t="s">
        <v>359</v>
      </c>
      <c r="K62" s="2" t="s">
        <v>121</v>
      </c>
      <c r="L62" s="2" t="s">
        <v>1665</v>
      </c>
      <c r="M62" s="2" t="str">
        <f>IF(TRIM(C62)="","Missing",IF(AND(LEN(TRIM(C62))=10,SUMPRODUCT(--(CODE(MID(TRIM(C62),{1,2,3,4,5,10},1))&gt;=65),--(CODE(MID(TRIM(C62),{1,2,3,4,5,10},1))&lt;=90))=6,ISNUMBER(--MID(TRIM(C62),6,4))),"Valid","Invalid"))</f>
        <v>Valid</v>
      </c>
      <c r="N62" s="2" t="str">
        <f t="shared" si="0"/>
        <v>Valid</v>
      </c>
      <c r="O62" s="2" t="str">
        <f t="shared" si="1"/>
        <v>Valid</v>
      </c>
      <c r="P62" s="2" t="str">
        <f t="shared" si="2"/>
        <v>Valid</v>
      </c>
      <c r="Q62" s="2" t="str">
        <f t="shared" si="3"/>
        <v>Valid</v>
      </c>
      <c r="R62" s="2" t="str">
        <f>IF(TRIM(H62)="","Missing",IF(AND(LEN(TRIM(H62))=11,SUMPRODUCT(--(CODE(MID(TRIM(H62),{1,2,3,4},1))&gt;=65),--(CODE(MID(TRIM(H62),{1,2,3,4},1))&lt;=90))=4,MID(TRIM(H62),5,1)="0"),"Valid","Invalid"))</f>
        <v>Valid</v>
      </c>
      <c r="S62" s="2" t="str">
        <f t="shared" si="4"/>
        <v>Valid</v>
      </c>
      <c r="T62" s="2" t="str">
        <f t="shared" si="5"/>
        <v>Valid</v>
      </c>
      <c r="U62" s="2">
        <f t="shared" si="6"/>
        <v>0</v>
      </c>
      <c r="V62" s="2" t="str">
        <f t="shared" si="7"/>
        <v>918545892975</v>
      </c>
    </row>
    <row r="63" spans="1:22" x14ac:dyDescent="0.35">
      <c r="A63" s="2" t="s">
        <v>1136</v>
      </c>
      <c r="B63" s="2" t="s">
        <v>1137</v>
      </c>
      <c r="C63" s="2" t="s">
        <v>1138</v>
      </c>
      <c r="D63" s="2" t="s">
        <v>1139</v>
      </c>
      <c r="E63" s="2" t="s">
        <v>1140</v>
      </c>
      <c r="F63" s="2" t="s">
        <v>2055</v>
      </c>
      <c r="G63" s="15" t="s">
        <v>1142</v>
      </c>
      <c r="H63" s="2" t="s">
        <v>1143</v>
      </c>
      <c r="I63" s="2" t="s">
        <v>130</v>
      </c>
      <c r="J63" s="2" t="s">
        <v>174</v>
      </c>
      <c r="K63" s="2" t="s">
        <v>121</v>
      </c>
      <c r="L63" s="2" t="s">
        <v>1144</v>
      </c>
      <c r="M63" s="2" t="str">
        <f>IF(TRIM(C63)="","Missing",IF(AND(LEN(TRIM(C63))=10,SUMPRODUCT(--(CODE(MID(TRIM(C63),{1,2,3,4,5,10},1))&gt;=65),--(CODE(MID(TRIM(C63),{1,2,3,4,5,10},1))&lt;=90))=6,ISNUMBER(--MID(TRIM(C63),6,4))),"Valid","Invalid"))</f>
        <v>Valid</v>
      </c>
      <c r="N63" s="2" t="str">
        <f t="shared" si="0"/>
        <v>Valid</v>
      </c>
      <c r="O63" s="2" t="str">
        <f t="shared" si="1"/>
        <v>Valid</v>
      </c>
      <c r="P63" s="2" t="str">
        <f t="shared" si="2"/>
        <v>Valid</v>
      </c>
      <c r="Q63" s="2" t="str">
        <f t="shared" si="3"/>
        <v>Valid</v>
      </c>
      <c r="R63" s="2" t="str">
        <f>IF(TRIM(H63)="","Missing",IF(AND(LEN(TRIM(H63))=11,SUMPRODUCT(--(CODE(MID(TRIM(H63),{1,2,3,4},1))&gt;=65),--(CODE(MID(TRIM(H63),{1,2,3,4},1))&lt;=90))=4,MID(TRIM(H63),5,1)="0"),"Valid","Invalid"))</f>
        <v>Valid</v>
      </c>
      <c r="S63" s="2" t="str">
        <f t="shared" si="4"/>
        <v>Valid</v>
      </c>
      <c r="T63" s="2" t="str">
        <f t="shared" si="5"/>
        <v>Valid</v>
      </c>
      <c r="U63" s="2">
        <f t="shared" si="6"/>
        <v>0</v>
      </c>
      <c r="V63" s="2" t="str">
        <f t="shared" si="7"/>
        <v>917938700516</v>
      </c>
    </row>
    <row r="64" spans="1:22" x14ac:dyDescent="0.35">
      <c r="A64" s="2" t="s">
        <v>847</v>
      </c>
      <c r="B64" s="2" t="s">
        <v>1927</v>
      </c>
      <c r="C64" s="2" t="s">
        <v>839</v>
      </c>
      <c r="D64" s="2" t="s">
        <v>840</v>
      </c>
      <c r="E64" s="2" t="s">
        <v>1928</v>
      </c>
      <c r="F64" s="2" t="s">
        <v>2056</v>
      </c>
      <c r="G64" s="15" t="s">
        <v>843</v>
      </c>
      <c r="H64" s="2" t="s">
        <v>844</v>
      </c>
      <c r="I64" s="2" t="s">
        <v>130</v>
      </c>
      <c r="J64" s="2" t="s">
        <v>141</v>
      </c>
      <c r="K64" s="2" t="s">
        <v>121</v>
      </c>
      <c r="L64" s="2" t="s">
        <v>1930</v>
      </c>
      <c r="M64" s="2" t="str">
        <f>IF(TRIM(C64)="","Missing",IF(AND(LEN(TRIM(C64))=10,SUMPRODUCT(--(CODE(MID(TRIM(C64),{1,2,3,4,5,10},1))&gt;=65),--(CODE(MID(TRIM(C64),{1,2,3,4,5,10},1))&lt;=90))=6,ISNUMBER(--MID(TRIM(C64),6,4))),"Valid","Invalid"))</f>
        <v>Valid</v>
      </c>
      <c r="N64" s="2" t="str">
        <f t="shared" si="0"/>
        <v>Valid</v>
      </c>
      <c r="O64" s="2" t="str">
        <f t="shared" si="1"/>
        <v>Valid</v>
      </c>
      <c r="P64" s="2" t="str">
        <f t="shared" si="2"/>
        <v>Valid</v>
      </c>
      <c r="Q64" s="2" t="str">
        <f t="shared" si="3"/>
        <v>Valid</v>
      </c>
      <c r="R64" s="2" t="str">
        <f>IF(TRIM(H64)="","Missing",IF(AND(LEN(TRIM(H64))=11,SUMPRODUCT(--(CODE(MID(TRIM(H64),{1,2,3,4},1))&gt;=65),--(CODE(MID(TRIM(H64),{1,2,3,4},1))&lt;=90))=4,MID(TRIM(H64),5,1)="0"),"Valid","Invalid"))</f>
        <v>Valid</v>
      </c>
      <c r="S64" s="2" t="str">
        <f t="shared" si="4"/>
        <v>Valid</v>
      </c>
      <c r="T64" s="2" t="str">
        <f t="shared" si="5"/>
        <v>Valid</v>
      </c>
      <c r="U64" s="2">
        <f t="shared" si="6"/>
        <v>0</v>
      </c>
      <c r="V64" s="2" t="str">
        <f t="shared" si="7"/>
        <v>918652341389</v>
      </c>
    </row>
    <row r="65" spans="1:22" x14ac:dyDescent="0.35">
      <c r="A65" s="2" t="s">
        <v>606</v>
      </c>
      <c r="B65" s="2" t="s">
        <v>607</v>
      </c>
      <c r="C65" s="2" t="s">
        <v>608</v>
      </c>
      <c r="D65" s="2" t="s">
        <v>609</v>
      </c>
      <c r="E65" s="2" t="s">
        <v>610</v>
      </c>
      <c r="F65" s="2" t="s">
        <v>2057</v>
      </c>
      <c r="G65" s="15" t="s">
        <v>612</v>
      </c>
      <c r="H65" s="2" t="s">
        <v>613</v>
      </c>
      <c r="I65" s="2" t="s">
        <v>130</v>
      </c>
      <c r="J65" s="2" t="s">
        <v>174</v>
      </c>
      <c r="K65" s="2" t="s">
        <v>142</v>
      </c>
      <c r="L65" s="2" t="s">
        <v>614</v>
      </c>
      <c r="M65" s="2" t="str">
        <f>IF(TRIM(C65)="","Missing",IF(AND(LEN(TRIM(C65))=10,SUMPRODUCT(--(CODE(MID(TRIM(C65),{1,2,3,4,5,10},1))&gt;=65),--(CODE(MID(TRIM(C65),{1,2,3,4,5,10},1))&lt;=90))=6,ISNUMBER(--MID(TRIM(C65),6,4))),"Valid","Invalid"))</f>
        <v>Valid</v>
      </c>
      <c r="N65" s="2" t="str">
        <f t="shared" si="0"/>
        <v>Valid</v>
      </c>
      <c r="O65" s="2" t="str">
        <f t="shared" si="1"/>
        <v>Valid</v>
      </c>
      <c r="P65" s="2" t="str">
        <f t="shared" si="2"/>
        <v>Valid</v>
      </c>
      <c r="Q65" s="2" t="str">
        <f t="shared" si="3"/>
        <v>Valid</v>
      </c>
      <c r="R65" s="2" t="str">
        <f>IF(TRIM(H65)="","Missing",IF(AND(LEN(TRIM(H65))=11,SUMPRODUCT(--(CODE(MID(TRIM(H65),{1,2,3,4},1))&gt;=65),--(CODE(MID(TRIM(H65),{1,2,3,4},1))&lt;=90))=4,MID(TRIM(H65),5,1)="0"),"Valid","Invalid"))</f>
        <v>Valid</v>
      </c>
      <c r="S65" s="2" t="str">
        <f t="shared" si="4"/>
        <v>Valid</v>
      </c>
      <c r="T65" s="2" t="str">
        <f t="shared" si="5"/>
        <v>Valid</v>
      </c>
      <c r="U65" s="2">
        <f t="shared" si="6"/>
        <v>0</v>
      </c>
      <c r="V65" s="2" t="str">
        <f t="shared" si="7"/>
        <v>918300684866</v>
      </c>
    </row>
    <row r="66" spans="1:22" x14ac:dyDescent="0.35">
      <c r="A66" s="2" t="s">
        <v>1542</v>
      </c>
      <c r="B66" s="2" t="s">
        <v>1543</v>
      </c>
      <c r="C66" s="2" t="s">
        <v>1544</v>
      </c>
      <c r="D66" s="2" t="s">
        <v>1545</v>
      </c>
      <c r="E66" s="2" t="s">
        <v>1546</v>
      </c>
      <c r="F66" s="2" t="s">
        <v>2058</v>
      </c>
      <c r="G66" s="15" t="s">
        <v>1548</v>
      </c>
      <c r="H66" s="2" t="s">
        <v>1549</v>
      </c>
      <c r="I66" s="2" t="s">
        <v>130</v>
      </c>
      <c r="J66" s="2" t="s">
        <v>174</v>
      </c>
      <c r="K66" s="2" t="s">
        <v>121</v>
      </c>
      <c r="L66" s="2" t="s">
        <v>1550</v>
      </c>
      <c r="M66" s="2" t="str">
        <f>IF(TRIM(C66)="","Missing",IF(AND(LEN(TRIM(C66))=10,SUMPRODUCT(--(CODE(MID(TRIM(C66),{1,2,3,4,5,10},1))&gt;=65),--(CODE(MID(TRIM(C66),{1,2,3,4,5,10},1))&lt;=90))=6,ISNUMBER(--MID(TRIM(C66),6,4))),"Valid","Invalid"))</f>
        <v>Valid</v>
      </c>
      <c r="N66" s="2" t="str">
        <f t="shared" ref="N66:N129" si="8">IF(TRIM(D66)="","Missing",IF(AND(LEN(TRIM(D66))=15,MID(TRIM(D66),14,1)="Z"),IF(AND(TRIM(C66)&lt;&gt;"",MID(TRIM(D66),3,10)=TRIM(C66)),"Valid","PAN Mismatch"),"Invalid"))</f>
        <v>Valid</v>
      </c>
      <c r="O66" s="2" t="str">
        <f t="shared" ref="O66:O129" si="9">IF(TRIM(E66)="","Missing",IF(AND(ISNUMBER(FIND("@",E66)),ISERROR(FIND(" ",TRIM(E66))),IFERROR(FIND(".",E66,FIND("@",E66)),0)&gt;0),"Valid","Invalid"))</f>
        <v>Valid</v>
      </c>
      <c r="P66" s="2" t="str">
        <f t="shared" ref="P66:P129" si="10">IF(TRIM(F66)="","Missing",IFERROR(IF(AND(ISNUMBER(--V66),OR(LEN(V66)=10,AND(LEN(V66)=12,LEFT(V66,2)="91")),VALUE(LEFT(RIGHT(V66,10),1))&gt;=6),"Valid","Invalid"),"Invalid"))</f>
        <v>Valid</v>
      </c>
      <c r="Q66" s="2" t="str">
        <f t="shared" ref="Q66:Q129" si="11">IF(TRIM(G66)="","Missing",IFERROR(IF(AND(ISNUMBER(--TRIM(G66)),LEN(TRIM(G66))&gt;=9,LEN(TRIM(G66))&lt;=18,ISERROR(FIND(".",G66))),"Valid","Invalid"),"Invalid"))</f>
        <v>Valid</v>
      </c>
      <c r="R66" s="2" t="str">
        <f>IF(TRIM(H66)="","Missing",IF(AND(LEN(TRIM(H66))=11,SUMPRODUCT(--(CODE(MID(TRIM(H66),{1,2,3,4},1))&gt;=65),--(CODE(MID(TRIM(H66),{1,2,3,4},1))&lt;=90))=4,MID(TRIM(H66),5,1)="0"),"Valid","Invalid"))</f>
        <v>Valid</v>
      </c>
      <c r="S66" s="2" t="str">
        <f t="shared" ref="S66:S129" si="12">IF(TRIM(I66)="","Missing",IF(EXACT(TRIM(I66),"India"),"Valid","Invalid"))</f>
        <v>Valid</v>
      </c>
      <c r="T66" s="2" t="str">
        <f t="shared" ref="T66:T129" si="13">IF(TRIM(J66)="","Missing",IF(OR(EXACT(TRIM(J66),"Net 15"),EXACT(TRIM(J66),"Net 30"),EXACT(TRIM(J66),"Net 45"),EXACT(TRIM(J66),"Net 60")),"Valid","Invalid"))</f>
        <v>Valid</v>
      </c>
      <c r="U66" s="2">
        <f t="shared" ref="U66:U129" si="14">COUNTIF(M66:T66,"&lt;&gt;Valid")</f>
        <v>0</v>
      </c>
      <c r="V66" s="2" t="str">
        <f t="shared" ref="V66:V129" si="15">SUBSTITUTE(SUBSTITUTE(SUBSTITUTE(F66," ",""),"-",""),"+","")</f>
        <v>917758842524</v>
      </c>
    </row>
    <row r="67" spans="1:22" x14ac:dyDescent="0.35">
      <c r="A67" s="2" t="s">
        <v>1369</v>
      </c>
      <c r="B67" s="2" t="s">
        <v>1370</v>
      </c>
      <c r="C67" s="2" t="s">
        <v>1371</v>
      </c>
      <c r="D67" s="2" t="s">
        <v>1372</v>
      </c>
      <c r="E67" s="2" t="s">
        <v>2059</v>
      </c>
      <c r="F67" s="2" t="s">
        <v>2060</v>
      </c>
      <c r="G67" s="15" t="s">
        <v>1375</v>
      </c>
      <c r="H67" s="2" t="s">
        <v>1376</v>
      </c>
      <c r="I67" s="2" t="s">
        <v>130</v>
      </c>
      <c r="J67" s="2" t="s">
        <v>359</v>
      </c>
      <c r="K67" s="2" t="s">
        <v>121</v>
      </c>
      <c r="L67" s="2" t="s">
        <v>1377</v>
      </c>
      <c r="M67" s="2" t="str">
        <f>IF(TRIM(C67)="","Missing",IF(AND(LEN(TRIM(C67))=10,SUMPRODUCT(--(CODE(MID(TRIM(C67),{1,2,3,4,5,10},1))&gt;=65),--(CODE(MID(TRIM(C67),{1,2,3,4,5,10},1))&lt;=90))=6,ISNUMBER(--MID(TRIM(C67),6,4))),"Valid","Invalid"))</f>
        <v>Valid</v>
      </c>
      <c r="N67" s="2" t="str">
        <f t="shared" si="8"/>
        <v>Valid</v>
      </c>
      <c r="O67" s="2" t="str">
        <f t="shared" si="9"/>
        <v>Valid</v>
      </c>
      <c r="P67" s="2" t="str">
        <f t="shared" si="10"/>
        <v>Valid</v>
      </c>
      <c r="Q67" s="2" t="str">
        <f t="shared" si="11"/>
        <v>Valid</v>
      </c>
      <c r="R67" s="2" t="str">
        <f>IF(TRIM(H67)="","Missing",IF(AND(LEN(TRIM(H67))=11,SUMPRODUCT(--(CODE(MID(TRIM(H67),{1,2,3,4},1))&gt;=65),--(CODE(MID(TRIM(H67),{1,2,3,4},1))&lt;=90))=4,MID(TRIM(H67),5,1)="0"),"Valid","Invalid"))</f>
        <v>Valid</v>
      </c>
      <c r="S67" s="2" t="str">
        <f t="shared" si="12"/>
        <v>Valid</v>
      </c>
      <c r="T67" s="2" t="str">
        <f t="shared" si="13"/>
        <v>Valid</v>
      </c>
      <c r="U67" s="2">
        <f t="shared" si="14"/>
        <v>0</v>
      </c>
      <c r="V67" s="2" t="str">
        <f t="shared" si="15"/>
        <v>918622086353</v>
      </c>
    </row>
    <row r="68" spans="1:22" x14ac:dyDescent="0.35">
      <c r="A68" s="2" t="s">
        <v>1112</v>
      </c>
      <c r="B68" s="2" t="s">
        <v>1113</v>
      </c>
      <c r="C68" s="2" t="s">
        <v>1114</v>
      </c>
      <c r="D68" s="2" t="s">
        <v>1115</v>
      </c>
      <c r="E68" s="2" t="s">
        <v>1116</v>
      </c>
      <c r="F68" s="2" t="s">
        <v>2061</v>
      </c>
      <c r="G68" s="15" t="s">
        <v>1118</v>
      </c>
      <c r="H68" s="2" t="s">
        <v>1119</v>
      </c>
      <c r="I68" s="2" t="s">
        <v>130</v>
      </c>
      <c r="J68" s="2" t="s">
        <v>174</v>
      </c>
      <c r="K68" s="2" t="s">
        <v>121</v>
      </c>
      <c r="L68" s="2" t="s">
        <v>1120</v>
      </c>
      <c r="M68" s="2" t="str">
        <f>IF(TRIM(C68)="","Missing",IF(AND(LEN(TRIM(C68))=10,SUMPRODUCT(--(CODE(MID(TRIM(C68),{1,2,3,4,5,10},1))&gt;=65),--(CODE(MID(TRIM(C68),{1,2,3,4,5,10},1))&lt;=90))=6,ISNUMBER(--MID(TRIM(C68),6,4))),"Valid","Invalid"))</f>
        <v>Valid</v>
      </c>
      <c r="N68" s="2" t="str">
        <f t="shared" si="8"/>
        <v>Valid</v>
      </c>
      <c r="O68" s="2" t="str">
        <f t="shared" si="9"/>
        <v>Valid</v>
      </c>
      <c r="P68" s="2" t="str">
        <f t="shared" si="10"/>
        <v>Valid</v>
      </c>
      <c r="Q68" s="2" t="str">
        <f t="shared" si="11"/>
        <v>Valid</v>
      </c>
      <c r="R68" s="2" t="str">
        <f>IF(TRIM(H68)="","Missing",IF(AND(LEN(TRIM(H68))=11,SUMPRODUCT(--(CODE(MID(TRIM(H68),{1,2,3,4},1))&gt;=65),--(CODE(MID(TRIM(H68),{1,2,3,4},1))&lt;=90))=4,MID(TRIM(H68),5,1)="0"),"Valid","Invalid"))</f>
        <v>Valid</v>
      </c>
      <c r="S68" s="2" t="str">
        <f t="shared" si="12"/>
        <v>Valid</v>
      </c>
      <c r="T68" s="2" t="str">
        <f t="shared" si="13"/>
        <v>Valid</v>
      </c>
      <c r="U68" s="2">
        <f t="shared" si="14"/>
        <v>0</v>
      </c>
      <c r="V68" s="2" t="str">
        <f t="shared" si="15"/>
        <v>917060385050</v>
      </c>
    </row>
    <row r="69" spans="1:22" x14ac:dyDescent="0.35">
      <c r="A69" s="2" t="s">
        <v>245</v>
      </c>
      <c r="B69" s="2" t="s">
        <v>246</v>
      </c>
      <c r="C69" s="2" t="s">
        <v>247</v>
      </c>
      <c r="D69" s="2" t="s">
        <v>248</v>
      </c>
      <c r="E69" s="2" t="s">
        <v>249</v>
      </c>
      <c r="F69" s="2" t="s">
        <v>2062</v>
      </c>
      <c r="G69" s="15" t="s">
        <v>251</v>
      </c>
      <c r="H69" s="2" t="s">
        <v>252</v>
      </c>
      <c r="I69" s="2" t="s">
        <v>130</v>
      </c>
      <c r="J69" s="2" t="s">
        <v>359</v>
      </c>
      <c r="K69" s="2" t="s">
        <v>121</v>
      </c>
      <c r="L69" s="2" t="s">
        <v>254</v>
      </c>
      <c r="M69" s="2" t="str">
        <f>IF(TRIM(C69)="","Missing",IF(AND(LEN(TRIM(C69))=10,SUMPRODUCT(--(CODE(MID(TRIM(C69),{1,2,3,4,5,10},1))&gt;=65),--(CODE(MID(TRIM(C69),{1,2,3,4,5,10},1))&lt;=90))=6,ISNUMBER(--MID(TRIM(C69),6,4))),"Valid","Invalid"))</f>
        <v>Valid</v>
      </c>
      <c r="N69" s="2" t="str">
        <f t="shared" si="8"/>
        <v>Valid</v>
      </c>
      <c r="O69" s="2" t="str">
        <f t="shared" si="9"/>
        <v>Valid</v>
      </c>
      <c r="P69" s="2" t="str">
        <f t="shared" si="10"/>
        <v>Valid</v>
      </c>
      <c r="Q69" s="2" t="str">
        <f t="shared" si="11"/>
        <v>Valid</v>
      </c>
      <c r="R69" s="2" t="str">
        <f>IF(TRIM(H69)="","Missing",IF(AND(LEN(TRIM(H69))=11,SUMPRODUCT(--(CODE(MID(TRIM(H69),{1,2,3,4},1))&gt;=65),--(CODE(MID(TRIM(H69),{1,2,3,4},1))&lt;=90))=4,MID(TRIM(H69),5,1)="0"),"Valid","Invalid"))</f>
        <v>Valid</v>
      </c>
      <c r="S69" s="2" t="str">
        <f t="shared" si="12"/>
        <v>Valid</v>
      </c>
      <c r="T69" s="2" t="str">
        <f t="shared" si="13"/>
        <v>Valid</v>
      </c>
      <c r="U69" s="2">
        <f t="shared" si="14"/>
        <v>0</v>
      </c>
      <c r="V69" s="2" t="str">
        <f t="shared" si="15"/>
        <v>918574313291</v>
      </c>
    </row>
    <row r="70" spans="1:22" x14ac:dyDescent="0.35">
      <c r="A70" s="2" t="s">
        <v>1211</v>
      </c>
      <c r="B70" s="2" t="s">
        <v>1212</v>
      </c>
      <c r="C70" s="2" t="s">
        <v>1213</v>
      </c>
      <c r="D70" s="2" t="s">
        <v>1214</v>
      </c>
      <c r="E70" s="2" t="s">
        <v>1215</v>
      </c>
      <c r="F70" s="2" t="s">
        <v>2063</v>
      </c>
      <c r="G70" s="15"/>
      <c r="H70" s="2" t="s">
        <v>1217</v>
      </c>
      <c r="I70" s="2" t="s">
        <v>130</v>
      </c>
      <c r="J70" s="2" t="s">
        <v>141</v>
      </c>
      <c r="K70" s="2" t="s">
        <v>121</v>
      </c>
      <c r="L70" s="2" t="s">
        <v>1218</v>
      </c>
      <c r="M70" s="2" t="str">
        <f>IF(TRIM(C70)="","Missing",IF(AND(LEN(TRIM(C70))=10,SUMPRODUCT(--(CODE(MID(TRIM(C70),{1,2,3,4,5,10},1))&gt;=65),--(CODE(MID(TRIM(C70),{1,2,3,4,5,10},1))&lt;=90))=6,ISNUMBER(--MID(TRIM(C70),6,4))),"Valid","Invalid"))</f>
        <v>Valid</v>
      </c>
      <c r="N70" s="2" t="str">
        <f t="shared" si="8"/>
        <v>Valid</v>
      </c>
      <c r="O70" s="2" t="str">
        <f t="shared" si="9"/>
        <v>Valid</v>
      </c>
      <c r="P70" s="2" t="str">
        <f t="shared" si="10"/>
        <v>Valid</v>
      </c>
      <c r="Q70" s="2" t="str">
        <f t="shared" si="11"/>
        <v>Missing</v>
      </c>
      <c r="R70" s="2" t="str">
        <f>IF(TRIM(H70)="","Missing",IF(AND(LEN(TRIM(H70))=11,SUMPRODUCT(--(CODE(MID(TRIM(H70),{1,2,3,4},1))&gt;=65),--(CODE(MID(TRIM(H70),{1,2,3,4},1))&lt;=90))=4,MID(TRIM(H70),5,1)="0"),"Valid","Invalid"))</f>
        <v>Valid</v>
      </c>
      <c r="S70" s="2" t="str">
        <f t="shared" si="12"/>
        <v>Valid</v>
      </c>
      <c r="T70" s="2" t="str">
        <f t="shared" si="13"/>
        <v>Valid</v>
      </c>
      <c r="U70" s="2">
        <f t="shared" si="14"/>
        <v>1</v>
      </c>
      <c r="V70" s="2" t="str">
        <f t="shared" si="15"/>
        <v>916678831712</v>
      </c>
    </row>
    <row r="71" spans="1:22" x14ac:dyDescent="0.35">
      <c r="A71" s="2" t="s">
        <v>1779</v>
      </c>
      <c r="B71" s="2" t="s">
        <v>1780</v>
      </c>
      <c r="C71" s="2" t="s">
        <v>1781</v>
      </c>
      <c r="D71" s="2" t="s">
        <v>1782</v>
      </c>
      <c r="E71" s="2" t="s">
        <v>1783</v>
      </c>
      <c r="F71" s="2" t="s">
        <v>2064</v>
      </c>
      <c r="G71" s="15" t="s">
        <v>1785</v>
      </c>
      <c r="H71" s="2" t="s">
        <v>2065</v>
      </c>
      <c r="I71" s="2" t="s">
        <v>130</v>
      </c>
      <c r="J71" s="2" t="s">
        <v>164</v>
      </c>
      <c r="K71" s="2" t="s">
        <v>121</v>
      </c>
      <c r="L71" s="2" t="s">
        <v>1787</v>
      </c>
      <c r="M71" s="2" t="str">
        <f>IF(TRIM(C71)="","Missing",IF(AND(LEN(TRIM(C71))=10,SUMPRODUCT(--(CODE(MID(TRIM(C71),{1,2,3,4,5,10},1))&gt;=65),--(CODE(MID(TRIM(C71),{1,2,3,4,5,10},1))&lt;=90))=6,ISNUMBER(--MID(TRIM(C71),6,4))),"Valid","Invalid"))</f>
        <v>Valid</v>
      </c>
      <c r="N71" s="2" t="str">
        <f t="shared" si="8"/>
        <v>Valid</v>
      </c>
      <c r="O71" s="2" t="str">
        <f t="shared" si="9"/>
        <v>Valid</v>
      </c>
      <c r="P71" s="2" t="str">
        <f t="shared" si="10"/>
        <v>Valid</v>
      </c>
      <c r="Q71" s="2" t="str">
        <f t="shared" si="11"/>
        <v>Valid</v>
      </c>
      <c r="R71" s="2" t="str">
        <f>IF(TRIM(H71)="","Missing",IF(AND(LEN(TRIM(H71))=11,SUMPRODUCT(--(CODE(MID(TRIM(H71),{1,2,3,4},1))&gt;=65),--(CODE(MID(TRIM(H71),{1,2,3,4},1))&lt;=90))=4,MID(TRIM(H71),5,1)="0"),"Valid","Invalid"))</f>
        <v>Valid</v>
      </c>
      <c r="S71" s="2" t="str">
        <f t="shared" si="12"/>
        <v>Valid</v>
      </c>
      <c r="T71" s="2" t="str">
        <f t="shared" si="13"/>
        <v>Valid</v>
      </c>
      <c r="U71" s="2">
        <f t="shared" si="14"/>
        <v>0</v>
      </c>
      <c r="V71" s="2" t="str">
        <f t="shared" si="15"/>
        <v>917244720999</v>
      </c>
    </row>
    <row r="72" spans="1:22" x14ac:dyDescent="0.35">
      <c r="A72" s="2" t="s">
        <v>994</v>
      </c>
      <c r="B72" s="2" t="s">
        <v>2066</v>
      </c>
      <c r="C72" s="2" t="s">
        <v>996</v>
      </c>
      <c r="D72" s="2" t="s">
        <v>997</v>
      </c>
      <c r="E72" s="2"/>
      <c r="F72" s="2" t="s">
        <v>2067</v>
      </c>
      <c r="G72" s="15" t="s">
        <v>999</v>
      </c>
      <c r="H72" s="2" t="s">
        <v>1000</v>
      </c>
      <c r="I72" s="2" t="s">
        <v>130</v>
      </c>
      <c r="J72" s="2" t="s">
        <v>164</v>
      </c>
      <c r="K72" s="2" t="s">
        <v>121</v>
      </c>
      <c r="L72" s="2" t="s">
        <v>1001</v>
      </c>
      <c r="M72" s="2" t="str">
        <f>IF(TRIM(C72)="","Missing",IF(AND(LEN(TRIM(C72))=10,SUMPRODUCT(--(CODE(MID(TRIM(C72),{1,2,3,4,5,10},1))&gt;=65),--(CODE(MID(TRIM(C72),{1,2,3,4,5,10},1))&lt;=90))=6,ISNUMBER(--MID(TRIM(C72),6,4))),"Valid","Invalid"))</f>
        <v>Valid</v>
      </c>
      <c r="N72" s="2" t="str">
        <f t="shared" si="8"/>
        <v>Valid</v>
      </c>
      <c r="O72" s="2" t="str">
        <f t="shared" si="9"/>
        <v>Missing</v>
      </c>
      <c r="P72" s="2" t="str">
        <f t="shared" si="10"/>
        <v>Valid</v>
      </c>
      <c r="Q72" s="2" t="str">
        <f t="shared" si="11"/>
        <v>Valid</v>
      </c>
      <c r="R72" s="2" t="str">
        <f>IF(TRIM(H72)="","Missing",IF(AND(LEN(TRIM(H72))=11,SUMPRODUCT(--(CODE(MID(TRIM(H72),{1,2,3,4},1))&gt;=65),--(CODE(MID(TRIM(H72),{1,2,3,4},1))&lt;=90))=4,MID(TRIM(H72),5,1)="0"),"Valid","Invalid"))</f>
        <v>Valid</v>
      </c>
      <c r="S72" s="2" t="str">
        <f t="shared" si="12"/>
        <v>Valid</v>
      </c>
      <c r="T72" s="2" t="str">
        <f t="shared" si="13"/>
        <v>Valid</v>
      </c>
      <c r="U72" s="2">
        <f t="shared" si="14"/>
        <v>1</v>
      </c>
      <c r="V72" s="2" t="str">
        <f t="shared" si="15"/>
        <v>919859321334</v>
      </c>
    </row>
    <row r="73" spans="1:22" x14ac:dyDescent="0.35">
      <c r="A73" s="2" t="s">
        <v>431</v>
      </c>
      <c r="B73" s="2" t="s">
        <v>432</v>
      </c>
      <c r="C73" s="2" t="s">
        <v>433</v>
      </c>
      <c r="D73" s="2" t="s">
        <v>434</v>
      </c>
      <c r="E73" s="2" t="s">
        <v>435</v>
      </c>
      <c r="F73" s="2" t="s">
        <v>2068</v>
      </c>
      <c r="G73" s="15" t="s">
        <v>437</v>
      </c>
      <c r="H73" s="2" t="s">
        <v>438</v>
      </c>
      <c r="I73" s="2" t="s">
        <v>130</v>
      </c>
      <c r="J73" s="2" t="s">
        <v>141</v>
      </c>
      <c r="K73" s="2" t="s">
        <v>121</v>
      </c>
      <c r="L73" s="2" t="s">
        <v>439</v>
      </c>
      <c r="M73" s="2" t="str">
        <f>IF(TRIM(C73)="","Missing",IF(AND(LEN(TRIM(C73))=10,SUMPRODUCT(--(CODE(MID(TRIM(C73),{1,2,3,4,5,10},1))&gt;=65),--(CODE(MID(TRIM(C73),{1,2,3,4,5,10},1))&lt;=90))=6,ISNUMBER(--MID(TRIM(C73),6,4))),"Valid","Invalid"))</f>
        <v>Valid</v>
      </c>
      <c r="N73" s="2" t="str">
        <f t="shared" si="8"/>
        <v>Valid</v>
      </c>
      <c r="O73" s="2" t="str">
        <f t="shared" si="9"/>
        <v>Valid</v>
      </c>
      <c r="P73" s="2" t="str">
        <f t="shared" si="10"/>
        <v>Valid</v>
      </c>
      <c r="Q73" s="2" t="str">
        <f t="shared" si="11"/>
        <v>Valid</v>
      </c>
      <c r="R73" s="2" t="str">
        <f>IF(TRIM(H73)="","Missing",IF(AND(LEN(TRIM(H73))=11,SUMPRODUCT(--(CODE(MID(TRIM(H73),{1,2,3,4},1))&gt;=65),--(CODE(MID(TRIM(H73),{1,2,3,4},1))&lt;=90))=4,MID(TRIM(H73),5,1)="0"),"Valid","Invalid"))</f>
        <v>Valid</v>
      </c>
      <c r="S73" s="2" t="str">
        <f t="shared" si="12"/>
        <v>Valid</v>
      </c>
      <c r="T73" s="2" t="str">
        <f t="shared" si="13"/>
        <v>Valid</v>
      </c>
      <c r="U73" s="2">
        <f t="shared" si="14"/>
        <v>0</v>
      </c>
      <c r="V73" s="2" t="str">
        <f t="shared" si="15"/>
        <v>917252500292</v>
      </c>
    </row>
    <row r="74" spans="1:22" x14ac:dyDescent="0.35">
      <c r="A74" s="2" t="s">
        <v>1710</v>
      </c>
      <c r="B74" s="2" t="s">
        <v>2069</v>
      </c>
      <c r="C74" s="2" t="s">
        <v>1712</v>
      </c>
      <c r="D74" s="2" t="s">
        <v>1713</v>
      </c>
      <c r="E74" s="2" t="s">
        <v>1714</v>
      </c>
      <c r="F74" s="2" t="s">
        <v>2070</v>
      </c>
      <c r="G74" s="15" t="s">
        <v>1716</v>
      </c>
      <c r="H74" s="2" t="s">
        <v>1717</v>
      </c>
      <c r="I74" s="2" t="s">
        <v>130</v>
      </c>
      <c r="J74" s="2" t="s">
        <v>164</v>
      </c>
      <c r="K74" s="2" t="s">
        <v>121</v>
      </c>
      <c r="L74" s="2" t="s">
        <v>1718</v>
      </c>
      <c r="M74" s="2" t="str">
        <f>IF(TRIM(C74)="","Missing",IF(AND(LEN(TRIM(C74))=10,SUMPRODUCT(--(CODE(MID(TRIM(C74),{1,2,3,4,5,10},1))&gt;=65),--(CODE(MID(TRIM(C74),{1,2,3,4,5,10},1))&lt;=90))=6,ISNUMBER(--MID(TRIM(C74),6,4))),"Valid","Invalid"))</f>
        <v>Valid</v>
      </c>
      <c r="N74" s="2" t="str">
        <f t="shared" si="8"/>
        <v>Invalid</v>
      </c>
      <c r="O74" s="2" t="str">
        <f t="shared" si="9"/>
        <v>Valid</v>
      </c>
      <c r="P74" s="2" t="str">
        <f t="shared" si="10"/>
        <v>Valid</v>
      </c>
      <c r="Q74" s="2" t="str">
        <f t="shared" si="11"/>
        <v>Valid</v>
      </c>
      <c r="R74" s="2" t="str">
        <f>IF(TRIM(H74)="","Missing",IF(AND(LEN(TRIM(H74))=11,SUMPRODUCT(--(CODE(MID(TRIM(H74),{1,2,3,4},1))&gt;=65),--(CODE(MID(TRIM(H74),{1,2,3,4},1))&lt;=90))=4,MID(TRIM(H74),5,1)="0"),"Valid","Invalid"))</f>
        <v>Valid</v>
      </c>
      <c r="S74" s="2" t="str">
        <f t="shared" si="12"/>
        <v>Valid</v>
      </c>
      <c r="T74" s="2" t="str">
        <f t="shared" si="13"/>
        <v>Valid</v>
      </c>
      <c r="U74" s="2">
        <f t="shared" si="14"/>
        <v>1</v>
      </c>
      <c r="V74" s="2" t="str">
        <f t="shared" si="15"/>
        <v>917959391725</v>
      </c>
    </row>
    <row r="75" spans="1:22" x14ac:dyDescent="0.35">
      <c r="A75" s="2" t="s">
        <v>111</v>
      </c>
      <c r="B75" s="2" t="s">
        <v>112</v>
      </c>
      <c r="C75" s="2" t="s">
        <v>113</v>
      </c>
      <c r="D75" s="2" t="s">
        <v>114</v>
      </c>
      <c r="E75" s="2" t="s">
        <v>115</v>
      </c>
      <c r="F75" s="2" t="s">
        <v>2071</v>
      </c>
      <c r="G75" s="15" t="s">
        <v>117</v>
      </c>
      <c r="H75" s="2" t="s">
        <v>118</v>
      </c>
      <c r="I75" s="2" t="s">
        <v>130</v>
      </c>
      <c r="J75" s="2" t="s">
        <v>174</v>
      </c>
      <c r="K75" s="2" t="s">
        <v>121</v>
      </c>
      <c r="L75" s="2" t="s">
        <v>122</v>
      </c>
      <c r="M75" s="2" t="str">
        <f>IF(TRIM(C75)="","Missing",IF(AND(LEN(TRIM(C75))=10,SUMPRODUCT(--(CODE(MID(TRIM(C75),{1,2,3,4,5,10},1))&gt;=65),--(CODE(MID(TRIM(C75),{1,2,3,4,5,10},1))&lt;=90))=6,ISNUMBER(--MID(TRIM(C75),6,4))),"Valid","Invalid"))</f>
        <v>Valid</v>
      </c>
      <c r="N75" s="2" t="str">
        <f t="shared" si="8"/>
        <v>Valid</v>
      </c>
      <c r="O75" s="2" t="str">
        <f t="shared" si="9"/>
        <v>Valid</v>
      </c>
      <c r="P75" s="2" t="str">
        <f t="shared" si="10"/>
        <v>Valid</v>
      </c>
      <c r="Q75" s="2" t="str">
        <f t="shared" si="11"/>
        <v>Valid</v>
      </c>
      <c r="R75" s="2" t="str">
        <f>IF(TRIM(H75)="","Missing",IF(AND(LEN(TRIM(H75))=11,SUMPRODUCT(--(CODE(MID(TRIM(H75),{1,2,3,4},1))&gt;=65),--(CODE(MID(TRIM(H75),{1,2,3,4},1))&lt;=90))=4,MID(TRIM(H75),5,1)="0"),"Valid","Invalid"))</f>
        <v>Valid</v>
      </c>
      <c r="S75" s="2" t="str">
        <f t="shared" si="12"/>
        <v>Valid</v>
      </c>
      <c r="T75" s="2" t="str">
        <f t="shared" si="13"/>
        <v>Valid</v>
      </c>
      <c r="U75" s="2">
        <f t="shared" si="14"/>
        <v>0</v>
      </c>
      <c r="V75" s="2" t="str">
        <f t="shared" si="15"/>
        <v>919104054115</v>
      </c>
    </row>
    <row r="76" spans="1:22" x14ac:dyDescent="0.35">
      <c r="A76" s="2" t="s">
        <v>1280</v>
      </c>
      <c r="B76" s="2" t="s">
        <v>1281</v>
      </c>
      <c r="C76" s="2" t="s">
        <v>1282</v>
      </c>
      <c r="D76" s="2" t="s">
        <v>1283</v>
      </c>
      <c r="E76" s="2" t="s">
        <v>1284</v>
      </c>
      <c r="F76" s="2" t="s">
        <v>2072</v>
      </c>
      <c r="G76" s="15" t="s">
        <v>1286</v>
      </c>
      <c r="H76" s="2" t="s">
        <v>1287</v>
      </c>
      <c r="I76" s="2" t="s">
        <v>130</v>
      </c>
      <c r="J76" s="2" t="s">
        <v>141</v>
      </c>
      <c r="K76" s="2" t="s">
        <v>121</v>
      </c>
      <c r="L76" s="2" t="s">
        <v>1288</v>
      </c>
      <c r="M76" s="2" t="str">
        <f>IF(TRIM(C76)="","Missing",IF(AND(LEN(TRIM(C76))=10,SUMPRODUCT(--(CODE(MID(TRIM(C76),{1,2,3,4,5,10},1))&gt;=65),--(CODE(MID(TRIM(C76),{1,2,3,4,5,10},1))&lt;=90))=6,ISNUMBER(--MID(TRIM(C76),6,4))),"Valid","Invalid"))</f>
        <v>Valid</v>
      </c>
      <c r="N76" s="2" t="str">
        <f t="shared" si="8"/>
        <v>Valid</v>
      </c>
      <c r="O76" s="2" t="str">
        <f t="shared" si="9"/>
        <v>Valid</v>
      </c>
      <c r="P76" s="2" t="str">
        <f t="shared" si="10"/>
        <v>Valid</v>
      </c>
      <c r="Q76" s="2" t="str">
        <f t="shared" si="11"/>
        <v>Valid</v>
      </c>
      <c r="R76" s="2" t="str">
        <f>IF(TRIM(H76)="","Missing",IF(AND(LEN(TRIM(H76))=11,SUMPRODUCT(--(CODE(MID(TRIM(H76),{1,2,3,4},1))&gt;=65),--(CODE(MID(TRIM(H76),{1,2,3,4},1))&lt;=90))=4,MID(TRIM(H76),5,1)="0"),"Valid","Invalid"))</f>
        <v>Valid</v>
      </c>
      <c r="S76" s="2" t="str">
        <f t="shared" si="12"/>
        <v>Valid</v>
      </c>
      <c r="T76" s="2" t="str">
        <f t="shared" si="13"/>
        <v>Valid</v>
      </c>
      <c r="U76" s="2">
        <f t="shared" si="14"/>
        <v>0</v>
      </c>
      <c r="V76" s="2" t="str">
        <f t="shared" si="15"/>
        <v>917050614973</v>
      </c>
    </row>
    <row r="77" spans="1:22" x14ac:dyDescent="0.35">
      <c r="A77" s="2" t="s">
        <v>676</v>
      </c>
      <c r="B77" s="2" t="s">
        <v>677</v>
      </c>
      <c r="C77" s="2" t="s">
        <v>678</v>
      </c>
      <c r="D77" s="2" t="s">
        <v>679</v>
      </c>
      <c r="E77" s="2" t="s">
        <v>2073</v>
      </c>
      <c r="F77" s="2" t="s">
        <v>2074</v>
      </c>
      <c r="G77" s="15" t="s">
        <v>682</v>
      </c>
      <c r="H77" s="2"/>
      <c r="I77" s="2" t="s">
        <v>130</v>
      </c>
      <c r="J77" s="2" t="s">
        <v>164</v>
      </c>
      <c r="K77" s="2" t="s">
        <v>142</v>
      </c>
      <c r="L77" s="2" t="s">
        <v>683</v>
      </c>
      <c r="M77" s="2" t="e">
        <f>IF(TRIM(C77)="","Missing",IF(AND(LEN(TRIM(C77))=10,SUMPRODUCT(--(CODE(MID(TRIM(C77),{1,2,3,4,5,10},1))&gt;=65),--(CODE(MID(TRIM(C77),{1,2,3,4,5,10},1))&lt;=90))=6,ISNUMBER(--MID(TRIM(C77),6,4))),"Valid","Invalid"))</f>
        <v>#VALUE!</v>
      </c>
      <c r="N77" s="2" t="str">
        <f t="shared" si="8"/>
        <v>PAN Mismatch</v>
      </c>
      <c r="O77" s="2" t="str">
        <f t="shared" si="9"/>
        <v>Valid</v>
      </c>
      <c r="P77" s="2" t="str">
        <f t="shared" si="10"/>
        <v>Valid</v>
      </c>
      <c r="Q77" s="2" t="str">
        <f t="shared" si="11"/>
        <v>Valid</v>
      </c>
      <c r="R77" s="2" t="str">
        <f>IF(TRIM(H77)="","Missing",IF(AND(LEN(TRIM(H77))=11,SUMPRODUCT(--(CODE(MID(TRIM(H77),{1,2,3,4},1))&gt;=65),--(CODE(MID(TRIM(H77),{1,2,3,4},1))&lt;=90))=4,MID(TRIM(H77),5,1)="0"),"Valid","Invalid"))</f>
        <v>Missing</v>
      </c>
      <c r="S77" s="2" t="str">
        <f t="shared" si="12"/>
        <v>Valid</v>
      </c>
      <c r="T77" s="2" t="str">
        <f t="shared" si="13"/>
        <v>Valid</v>
      </c>
      <c r="U77" s="2">
        <f t="shared" si="14"/>
        <v>3</v>
      </c>
      <c r="V77" s="2" t="str">
        <f t="shared" si="15"/>
        <v>918869380686</v>
      </c>
    </row>
    <row r="78" spans="1:22" x14ac:dyDescent="0.35">
      <c r="A78" s="2" t="s">
        <v>308</v>
      </c>
      <c r="B78" s="2" t="s">
        <v>309</v>
      </c>
      <c r="C78" s="2" t="s">
        <v>310</v>
      </c>
      <c r="D78" s="2" t="s">
        <v>311</v>
      </c>
      <c r="E78" s="2" t="s">
        <v>312</v>
      </c>
      <c r="F78" s="2" t="s">
        <v>2075</v>
      </c>
      <c r="G78" s="15" t="s">
        <v>314</v>
      </c>
      <c r="H78" s="2"/>
      <c r="I78" s="2" t="s">
        <v>130</v>
      </c>
      <c r="J78" s="2" t="s">
        <v>174</v>
      </c>
      <c r="K78" s="2" t="s">
        <v>121</v>
      </c>
      <c r="L78" s="2" t="s">
        <v>315</v>
      </c>
      <c r="M78" s="2" t="str">
        <f>IF(TRIM(C78)="","Missing",IF(AND(LEN(TRIM(C78))=10,SUMPRODUCT(--(CODE(MID(TRIM(C78),{1,2,3,4,5,10},1))&gt;=65),--(CODE(MID(TRIM(C78),{1,2,3,4,5,10},1))&lt;=90))=6,ISNUMBER(--MID(TRIM(C78),6,4))),"Valid","Invalid"))</f>
        <v>Valid</v>
      </c>
      <c r="N78" s="2" t="str">
        <f t="shared" si="8"/>
        <v>Valid</v>
      </c>
      <c r="O78" s="2" t="str">
        <f t="shared" si="9"/>
        <v>Valid</v>
      </c>
      <c r="P78" s="2" t="str">
        <f t="shared" si="10"/>
        <v>Valid</v>
      </c>
      <c r="Q78" s="2" t="str">
        <f t="shared" si="11"/>
        <v>Valid</v>
      </c>
      <c r="R78" s="2" t="str">
        <f>IF(TRIM(H78)="","Missing",IF(AND(LEN(TRIM(H78))=11,SUMPRODUCT(--(CODE(MID(TRIM(H78),{1,2,3,4},1))&gt;=65),--(CODE(MID(TRIM(H78),{1,2,3,4},1))&lt;=90))=4,MID(TRIM(H78),5,1)="0"),"Valid","Invalid"))</f>
        <v>Missing</v>
      </c>
      <c r="S78" s="2" t="str">
        <f t="shared" si="12"/>
        <v>Valid</v>
      </c>
      <c r="T78" s="2" t="str">
        <f t="shared" si="13"/>
        <v>Valid</v>
      </c>
      <c r="U78" s="2">
        <f t="shared" si="14"/>
        <v>1</v>
      </c>
      <c r="V78" s="2" t="str">
        <f t="shared" si="15"/>
        <v>918870998616</v>
      </c>
    </row>
    <row r="79" spans="1:22" x14ac:dyDescent="0.35">
      <c r="A79" s="2" t="s">
        <v>215</v>
      </c>
      <c r="B79" s="2" t="s">
        <v>216</v>
      </c>
      <c r="C79" s="2" t="s">
        <v>217</v>
      </c>
      <c r="D79" s="2" t="s">
        <v>218</v>
      </c>
      <c r="E79" s="2" t="s">
        <v>219</v>
      </c>
      <c r="F79" s="2" t="s">
        <v>2076</v>
      </c>
      <c r="G79" s="15" t="s">
        <v>221</v>
      </c>
      <c r="H79" s="2" t="s">
        <v>222</v>
      </c>
      <c r="I79" s="2" t="s">
        <v>130</v>
      </c>
      <c r="J79" s="2" t="s">
        <v>164</v>
      </c>
      <c r="K79" s="2" t="s">
        <v>121</v>
      </c>
      <c r="L79" s="2" t="s">
        <v>223</v>
      </c>
      <c r="M79" s="2" t="str">
        <f>IF(TRIM(C79)="","Missing",IF(AND(LEN(TRIM(C79))=10,SUMPRODUCT(--(CODE(MID(TRIM(C79),{1,2,3,4,5,10},1))&gt;=65),--(CODE(MID(TRIM(C79),{1,2,3,4,5,10},1))&lt;=90))=6,ISNUMBER(--MID(TRIM(C79),6,4))),"Valid","Invalid"))</f>
        <v>Valid</v>
      </c>
      <c r="N79" s="2" t="str">
        <f t="shared" si="8"/>
        <v>Valid</v>
      </c>
      <c r="O79" s="2" t="str">
        <f t="shared" si="9"/>
        <v>Valid</v>
      </c>
      <c r="P79" s="2" t="str">
        <f t="shared" si="10"/>
        <v>Valid</v>
      </c>
      <c r="Q79" s="2" t="str">
        <f t="shared" si="11"/>
        <v>Valid</v>
      </c>
      <c r="R79" s="2" t="str">
        <f>IF(TRIM(H79)="","Missing",IF(AND(LEN(TRIM(H79))=11,SUMPRODUCT(--(CODE(MID(TRIM(H79),{1,2,3,4},1))&gt;=65),--(CODE(MID(TRIM(H79),{1,2,3,4},1))&lt;=90))=4,MID(TRIM(H79),5,1)="0"),"Valid","Invalid"))</f>
        <v>Valid</v>
      </c>
      <c r="S79" s="2" t="str">
        <f t="shared" si="12"/>
        <v>Valid</v>
      </c>
      <c r="T79" s="2" t="str">
        <f t="shared" si="13"/>
        <v>Valid</v>
      </c>
      <c r="U79" s="2">
        <f t="shared" si="14"/>
        <v>0</v>
      </c>
      <c r="V79" s="2" t="str">
        <f t="shared" si="15"/>
        <v>918505444713</v>
      </c>
    </row>
    <row r="80" spans="1:22" x14ac:dyDescent="0.35">
      <c r="A80" s="2" t="s">
        <v>493</v>
      </c>
      <c r="B80" s="2" t="s">
        <v>494</v>
      </c>
      <c r="C80" s="2" t="s">
        <v>495</v>
      </c>
      <c r="D80" s="2"/>
      <c r="E80" s="2"/>
      <c r="F80" s="2" t="s">
        <v>2077</v>
      </c>
      <c r="G80" s="15" t="s">
        <v>497</v>
      </c>
      <c r="H80" s="2" t="s">
        <v>498</v>
      </c>
      <c r="I80" s="2" t="s">
        <v>130</v>
      </c>
      <c r="J80" s="2" t="s">
        <v>359</v>
      </c>
      <c r="K80" s="2" t="s">
        <v>121</v>
      </c>
      <c r="L80" s="2" t="s">
        <v>499</v>
      </c>
      <c r="M80" s="2" t="str">
        <f>IF(TRIM(C80)="","Missing",IF(AND(LEN(TRIM(C80))=10,SUMPRODUCT(--(CODE(MID(TRIM(C80),{1,2,3,4,5,10},1))&gt;=65),--(CODE(MID(TRIM(C80),{1,2,3,4,5,10},1))&lt;=90))=6,ISNUMBER(--MID(TRIM(C80),6,4))),"Valid","Invalid"))</f>
        <v>Valid</v>
      </c>
      <c r="N80" s="2" t="str">
        <f t="shared" si="8"/>
        <v>Missing</v>
      </c>
      <c r="O80" s="2" t="str">
        <f t="shared" si="9"/>
        <v>Missing</v>
      </c>
      <c r="P80" s="2" t="str">
        <f t="shared" si="10"/>
        <v>Valid</v>
      </c>
      <c r="Q80" s="2" t="str">
        <f t="shared" si="11"/>
        <v>Valid</v>
      </c>
      <c r="R80" s="2" t="str">
        <f>IF(TRIM(H80)="","Missing",IF(AND(LEN(TRIM(H80))=11,SUMPRODUCT(--(CODE(MID(TRIM(H80),{1,2,3,4},1))&gt;=65),--(CODE(MID(TRIM(H80),{1,2,3,4},1))&lt;=90))=4,MID(TRIM(H80),5,1)="0"),"Valid","Invalid"))</f>
        <v>Valid</v>
      </c>
      <c r="S80" s="2" t="str">
        <f t="shared" si="12"/>
        <v>Valid</v>
      </c>
      <c r="T80" s="2" t="str">
        <f t="shared" si="13"/>
        <v>Valid</v>
      </c>
      <c r="U80" s="2">
        <f t="shared" si="14"/>
        <v>2</v>
      </c>
      <c r="V80" s="2" t="str">
        <f t="shared" si="15"/>
        <v>918578610357</v>
      </c>
    </row>
    <row r="81" spans="1:22" x14ac:dyDescent="0.35">
      <c r="A81" s="2" t="s">
        <v>1314</v>
      </c>
      <c r="B81" s="2" t="s">
        <v>1315</v>
      </c>
      <c r="C81" s="2" t="s">
        <v>1316</v>
      </c>
      <c r="D81" s="2" t="s">
        <v>1317</v>
      </c>
      <c r="E81" s="2" t="s">
        <v>1318</v>
      </c>
      <c r="F81" s="2" t="s">
        <v>1319</v>
      </c>
      <c r="G81" s="15" t="s">
        <v>1320</v>
      </c>
      <c r="H81" s="2" t="s">
        <v>1321</v>
      </c>
      <c r="I81" s="2" t="s">
        <v>130</v>
      </c>
      <c r="J81" s="2" t="s">
        <v>174</v>
      </c>
      <c r="K81" s="2" t="s">
        <v>121</v>
      </c>
      <c r="L81" s="2" t="s">
        <v>1322</v>
      </c>
      <c r="M81" s="2" t="str">
        <f>IF(TRIM(C81)="","Missing",IF(AND(LEN(TRIM(C81))=10,SUMPRODUCT(--(CODE(MID(TRIM(C81),{1,2,3,4,5,10},1))&gt;=65),--(CODE(MID(TRIM(C81),{1,2,3,4,5,10},1))&lt;=90))=6,ISNUMBER(--MID(TRIM(C81),6,4))),"Valid","Invalid"))</f>
        <v>Valid</v>
      </c>
      <c r="N81" s="2" t="str">
        <f t="shared" si="8"/>
        <v>Invalid</v>
      </c>
      <c r="O81" s="2" t="str">
        <f t="shared" si="9"/>
        <v>Valid</v>
      </c>
      <c r="P81" s="2" t="str">
        <f t="shared" si="10"/>
        <v>Invalid</v>
      </c>
      <c r="Q81" s="2" t="str">
        <f t="shared" si="11"/>
        <v>Valid</v>
      </c>
      <c r="R81" s="2" t="str">
        <f>IF(TRIM(H81)="","Missing",IF(AND(LEN(TRIM(H81))=11,SUMPRODUCT(--(CODE(MID(TRIM(H81),{1,2,3,4},1))&gt;=65),--(CODE(MID(TRIM(H81),{1,2,3,4},1))&lt;=90))=4,MID(TRIM(H81),5,1)="0"),"Valid","Invalid"))</f>
        <v>Valid</v>
      </c>
      <c r="S81" s="2" t="str">
        <f t="shared" si="12"/>
        <v>Valid</v>
      </c>
      <c r="T81" s="2" t="str">
        <f t="shared" si="13"/>
        <v>Valid</v>
      </c>
      <c r="U81" s="2">
        <f t="shared" si="14"/>
        <v>2</v>
      </c>
      <c r="V81" s="2" t="str">
        <f t="shared" si="15"/>
        <v>965743748</v>
      </c>
    </row>
    <row r="82" spans="1:22" x14ac:dyDescent="0.35">
      <c r="A82" s="2" t="s">
        <v>1940</v>
      </c>
      <c r="B82" s="2" t="s">
        <v>1941</v>
      </c>
      <c r="C82" s="2" t="s">
        <v>1942</v>
      </c>
      <c r="D82" s="2" t="s">
        <v>1943</v>
      </c>
      <c r="E82" s="2" t="s">
        <v>1944</v>
      </c>
      <c r="F82" s="2" t="s">
        <v>2078</v>
      </c>
      <c r="G82" s="15" t="s">
        <v>1946</v>
      </c>
      <c r="H82" s="2" t="s">
        <v>1947</v>
      </c>
      <c r="I82" s="2" t="s">
        <v>130</v>
      </c>
      <c r="J82" s="2" t="s">
        <v>164</v>
      </c>
      <c r="K82" s="2" t="s">
        <v>121</v>
      </c>
      <c r="L82" s="2" t="s">
        <v>370</v>
      </c>
      <c r="M82" s="2" t="str">
        <f>IF(TRIM(C82)="","Missing",IF(AND(LEN(TRIM(C82))=10,SUMPRODUCT(--(CODE(MID(TRIM(C82),{1,2,3,4,5,10},1))&gt;=65),--(CODE(MID(TRIM(C82),{1,2,3,4,5,10},1))&lt;=90))=6,ISNUMBER(--MID(TRIM(C82),6,4))),"Valid","Invalid"))</f>
        <v>Valid</v>
      </c>
      <c r="N82" s="2" t="str">
        <f t="shared" si="8"/>
        <v>Valid</v>
      </c>
      <c r="O82" s="2" t="str">
        <f t="shared" si="9"/>
        <v>Valid</v>
      </c>
      <c r="P82" s="2" t="str">
        <f t="shared" si="10"/>
        <v>Valid</v>
      </c>
      <c r="Q82" s="2" t="str">
        <f t="shared" si="11"/>
        <v>Valid</v>
      </c>
      <c r="R82" s="2" t="str">
        <f>IF(TRIM(H82)="","Missing",IF(AND(LEN(TRIM(H82))=11,SUMPRODUCT(--(CODE(MID(TRIM(H82),{1,2,3,4},1))&gt;=65),--(CODE(MID(TRIM(H82),{1,2,3,4},1))&lt;=90))=4,MID(TRIM(H82),5,1)="0"),"Valid","Invalid"))</f>
        <v>Valid</v>
      </c>
      <c r="S82" s="2" t="str">
        <f t="shared" si="12"/>
        <v>Valid</v>
      </c>
      <c r="T82" s="2" t="str">
        <f t="shared" si="13"/>
        <v>Valid</v>
      </c>
      <c r="U82" s="2">
        <f t="shared" si="14"/>
        <v>0</v>
      </c>
      <c r="V82" s="2" t="str">
        <f t="shared" si="15"/>
        <v>917538758428</v>
      </c>
    </row>
    <row r="83" spans="1:22" x14ac:dyDescent="0.35">
      <c r="A83" s="2" t="s">
        <v>615</v>
      </c>
      <c r="B83" s="2" t="s">
        <v>616</v>
      </c>
      <c r="C83" s="2" t="s">
        <v>617</v>
      </c>
      <c r="D83" s="2" t="s">
        <v>618</v>
      </c>
      <c r="E83" s="2" t="s">
        <v>619</v>
      </c>
      <c r="F83" s="2" t="s">
        <v>2079</v>
      </c>
      <c r="G83" s="15" t="s">
        <v>621</v>
      </c>
      <c r="H83" s="2" t="s">
        <v>622</v>
      </c>
      <c r="I83" s="2" t="s">
        <v>130</v>
      </c>
      <c r="J83" s="2" t="s">
        <v>164</v>
      </c>
      <c r="K83" s="2" t="s">
        <v>121</v>
      </c>
      <c r="L83" s="2" t="s">
        <v>623</v>
      </c>
      <c r="M83" s="2" t="str">
        <f>IF(TRIM(C83)="","Missing",IF(AND(LEN(TRIM(C83))=10,SUMPRODUCT(--(CODE(MID(TRIM(C83),{1,2,3,4,5,10},1))&gt;=65),--(CODE(MID(TRIM(C83),{1,2,3,4,5,10},1))&lt;=90))=6,ISNUMBER(--MID(TRIM(C83),6,4))),"Valid","Invalid"))</f>
        <v>Valid</v>
      </c>
      <c r="N83" s="2" t="str">
        <f t="shared" si="8"/>
        <v>Valid</v>
      </c>
      <c r="O83" s="2" t="str">
        <f t="shared" si="9"/>
        <v>Valid</v>
      </c>
      <c r="P83" s="2" t="str">
        <f t="shared" si="10"/>
        <v>Valid</v>
      </c>
      <c r="Q83" s="2" t="str">
        <f t="shared" si="11"/>
        <v>Valid</v>
      </c>
      <c r="R83" s="2" t="str">
        <f>IF(TRIM(H83)="","Missing",IF(AND(LEN(TRIM(H83))=11,SUMPRODUCT(--(CODE(MID(TRIM(H83),{1,2,3,4},1))&gt;=65),--(CODE(MID(TRIM(H83),{1,2,3,4},1))&lt;=90))=4,MID(TRIM(H83),5,1)="0"),"Valid","Invalid"))</f>
        <v>Valid</v>
      </c>
      <c r="S83" s="2" t="str">
        <f t="shared" si="12"/>
        <v>Valid</v>
      </c>
      <c r="T83" s="2" t="str">
        <f t="shared" si="13"/>
        <v>Valid</v>
      </c>
      <c r="U83" s="2">
        <f t="shared" si="14"/>
        <v>0</v>
      </c>
      <c r="V83" s="2" t="str">
        <f t="shared" si="15"/>
        <v>919022356972</v>
      </c>
    </row>
    <row r="84" spans="1:22" x14ac:dyDescent="0.35">
      <c r="A84" s="2" t="s">
        <v>1248</v>
      </c>
      <c r="B84" s="2" t="s">
        <v>1249</v>
      </c>
      <c r="C84" s="2" t="s">
        <v>1250</v>
      </c>
      <c r="D84" s="2" t="s">
        <v>1251</v>
      </c>
      <c r="E84" s="2" t="s">
        <v>1252</v>
      </c>
      <c r="F84" s="2" t="s">
        <v>2080</v>
      </c>
      <c r="G84" s="15" t="s">
        <v>1254</v>
      </c>
      <c r="H84" s="2" t="s">
        <v>1255</v>
      </c>
      <c r="I84" s="2" t="s">
        <v>130</v>
      </c>
      <c r="J84" s="2" t="s">
        <v>174</v>
      </c>
      <c r="K84" s="2" t="s">
        <v>121</v>
      </c>
      <c r="L84" s="2" t="s">
        <v>1256</v>
      </c>
      <c r="M84" s="2" t="str">
        <f>IF(TRIM(C84)="","Missing",IF(AND(LEN(TRIM(C84))=10,SUMPRODUCT(--(CODE(MID(TRIM(C84),{1,2,3,4,5,10},1))&gt;=65),--(CODE(MID(TRIM(C84),{1,2,3,4,5,10},1))&lt;=90))=6,ISNUMBER(--MID(TRIM(C84),6,4))),"Valid","Invalid"))</f>
        <v>Valid</v>
      </c>
      <c r="N84" s="2" t="str">
        <f t="shared" si="8"/>
        <v>Valid</v>
      </c>
      <c r="O84" s="2" t="str">
        <f t="shared" si="9"/>
        <v>Valid</v>
      </c>
      <c r="P84" s="2" t="str">
        <f t="shared" si="10"/>
        <v>Valid</v>
      </c>
      <c r="Q84" s="2" t="str">
        <f t="shared" si="11"/>
        <v>Valid</v>
      </c>
      <c r="R84" s="2" t="str">
        <f>IF(TRIM(H84)="","Missing",IF(AND(LEN(TRIM(H84))=11,SUMPRODUCT(--(CODE(MID(TRIM(H84),{1,2,3,4},1))&gt;=65),--(CODE(MID(TRIM(H84),{1,2,3,4},1))&lt;=90))=4,MID(TRIM(H84),5,1)="0"),"Valid","Invalid"))</f>
        <v>Valid</v>
      </c>
      <c r="S84" s="2" t="str">
        <f t="shared" si="12"/>
        <v>Valid</v>
      </c>
      <c r="T84" s="2" t="str">
        <f t="shared" si="13"/>
        <v>Valid</v>
      </c>
      <c r="U84" s="2">
        <f t="shared" si="14"/>
        <v>0</v>
      </c>
      <c r="V84" s="2" t="str">
        <f t="shared" si="15"/>
        <v>916033542168</v>
      </c>
    </row>
    <row r="85" spans="1:22" x14ac:dyDescent="0.35">
      <c r="A85" s="2" t="s">
        <v>1219</v>
      </c>
      <c r="B85" s="2" t="s">
        <v>1220</v>
      </c>
      <c r="C85" s="2" t="s">
        <v>1221</v>
      </c>
      <c r="D85" s="2" t="s">
        <v>1222</v>
      </c>
      <c r="E85" s="2" t="s">
        <v>1223</v>
      </c>
      <c r="F85" s="2" t="s">
        <v>2081</v>
      </c>
      <c r="G85" s="15"/>
      <c r="H85" s="2" t="s">
        <v>1225</v>
      </c>
      <c r="I85" s="2" t="s">
        <v>130</v>
      </c>
      <c r="J85" s="2" t="s">
        <v>359</v>
      </c>
      <c r="K85" s="2" t="s">
        <v>121</v>
      </c>
      <c r="L85" s="2" t="s">
        <v>1226</v>
      </c>
      <c r="M85" s="2" t="str">
        <f>IF(TRIM(C85)="","Missing",IF(AND(LEN(TRIM(C85))=10,SUMPRODUCT(--(CODE(MID(TRIM(C85),{1,2,3,4,5,10},1))&gt;=65),--(CODE(MID(TRIM(C85),{1,2,3,4,5,10},1))&lt;=90))=6,ISNUMBER(--MID(TRIM(C85),6,4))),"Valid","Invalid"))</f>
        <v>Valid</v>
      </c>
      <c r="N85" s="2" t="str">
        <f t="shared" si="8"/>
        <v>Valid</v>
      </c>
      <c r="O85" s="2" t="str">
        <f t="shared" si="9"/>
        <v>Valid</v>
      </c>
      <c r="P85" s="2" t="str">
        <f t="shared" si="10"/>
        <v>Valid</v>
      </c>
      <c r="Q85" s="2" t="str">
        <f t="shared" si="11"/>
        <v>Missing</v>
      </c>
      <c r="R85" s="2" t="str">
        <f>IF(TRIM(H85)="","Missing",IF(AND(LEN(TRIM(H85))=11,SUMPRODUCT(--(CODE(MID(TRIM(H85),{1,2,3,4},1))&gt;=65),--(CODE(MID(TRIM(H85),{1,2,3,4},1))&lt;=90))=4,MID(TRIM(H85),5,1)="0"),"Valid","Invalid"))</f>
        <v>Valid</v>
      </c>
      <c r="S85" s="2" t="str">
        <f t="shared" si="12"/>
        <v>Valid</v>
      </c>
      <c r="T85" s="2" t="str">
        <f t="shared" si="13"/>
        <v>Valid</v>
      </c>
      <c r="U85" s="2">
        <f t="shared" si="14"/>
        <v>1</v>
      </c>
      <c r="V85" s="2" t="str">
        <f t="shared" si="15"/>
        <v>918890901001</v>
      </c>
    </row>
    <row r="86" spans="1:22" x14ac:dyDescent="0.35">
      <c r="A86" s="2" t="s">
        <v>1675</v>
      </c>
      <c r="B86" s="2" t="s">
        <v>1676</v>
      </c>
      <c r="C86" s="2" t="s">
        <v>1677</v>
      </c>
      <c r="D86" s="2" t="s">
        <v>1678</v>
      </c>
      <c r="E86" s="2" t="s">
        <v>1679</v>
      </c>
      <c r="F86" s="2" t="s">
        <v>2082</v>
      </c>
      <c r="G86" s="15" t="s">
        <v>1681</v>
      </c>
      <c r="H86" s="2" t="s">
        <v>1682</v>
      </c>
      <c r="I86" s="2" t="s">
        <v>130</v>
      </c>
      <c r="J86" s="2" t="s">
        <v>141</v>
      </c>
      <c r="K86" s="2" t="s">
        <v>121</v>
      </c>
      <c r="L86" s="2" t="s">
        <v>1683</v>
      </c>
      <c r="M86" s="2" t="str">
        <f>IF(TRIM(C86)="","Missing",IF(AND(LEN(TRIM(C86))=10,SUMPRODUCT(--(CODE(MID(TRIM(C86),{1,2,3,4,5,10},1))&gt;=65),--(CODE(MID(TRIM(C86),{1,2,3,4,5,10},1))&lt;=90))=6,ISNUMBER(--MID(TRIM(C86),6,4))),"Valid","Invalid"))</f>
        <v>Valid</v>
      </c>
      <c r="N86" s="2" t="str">
        <f t="shared" si="8"/>
        <v>Invalid</v>
      </c>
      <c r="O86" s="2" t="str">
        <f t="shared" si="9"/>
        <v>Valid</v>
      </c>
      <c r="P86" s="2" t="str">
        <f t="shared" si="10"/>
        <v>Valid</v>
      </c>
      <c r="Q86" s="2" t="str">
        <f t="shared" si="11"/>
        <v>Valid</v>
      </c>
      <c r="R86" s="2" t="str">
        <f>IF(TRIM(H86)="","Missing",IF(AND(LEN(TRIM(H86))=11,SUMPRODUCT(--(CODE(MID(TRIM(H86),{1,2,3,4},1))&gt;=65),--(CODE(MID(TRIM(H86),{1,2,3,4},1))&lt;=90))=4,MID(TRIM(H86),5,1)="0"),"Valid","Invalid"))</f>
        <v>Valid</v>
      </c>
      <c r="S86" s="2" t="str">
        <f t="shared" si="12"/>
        <v>Valid</v>
      </c>
      <c r="T86" s="2" t="str">
        <f t="shared" si="13"/>
        <v>Valid</v>
      </c>
      <c r="U86" s="2">
        <f t="shared" si="14"/>
        <v>1</v>
      </c>
      <c r="V86" s="2" t="str">
        <f t="shared" si="15"/>
        <v>916873753001</v>
      </c>
    </row>
    <row r="87" spans="1:22" x14ac:dyDescent="0.35">
      <c r="A87" s="2" t="s">
        <v>1873</v>
      </c>
      <c r="B87" s="2" t="s">
        <v>1874</v>
      </c>
      <c r="C87" s="2" t="s">
        <v>1875</v>
      </c>
      <c r="D87" s="2" t="s">
        <v>1876</v>
      </c>
      <c r="E87" s="2" t="s">
        <v>1877</v>
      </c>
      <c r="F87" s="2" t="s">
        <v>2083</v>
      </c>
      <c r="G87" s="15" t="s">
        <v>1879</v>
      </c>
      <c r="H87" s="2" t="s">
        <v>1880</v>
      </c>
      <c r="I87" s="2" t="s">
        <v>130</v>
      </c>
      <c r="J87" s="2" t="s">
        <v>359</v>
      </c>
      <c r="K87" s="2" t="s">
        <v>121</v>
      </c>
      <c r="L87" s="2" t="s">
        <v>1881</v>
      </c>
      <c r="M87" s="2" t="str">
        <f>IF(TRIM(C87)="","Missing",IF(AND(LEN(TRIM(C87))=10,SUMPRODUCT(--(CODE(MID(TRIM(C87),{1,2,3,4,5,10},1))&gt;=65),--(CODE(MID(TRIM(C87),{1,2,3,4,5,10},1))&lt;=90))=6,ISNUMBER(--MID(TRIM(C87),6,4))),"Valid","Invalid"))</f>
        <v>Valid</v>
      </c>
      <c r="N87" s="2" t="str">
        <f t="shared" si="8"/>
        <v>Valid</v>
      </c>
      <c r="O87" s="2" t="str">
        <f t="shared" si="9"/>
        <v>Valid</v>
      </c>
      <c r="P87" s="2" t="str">
        <f t="shared" si="10"/>
        <v>Valid</v>
      </c>
      <c r="Q87" s="2" t="str">
        <f t="shared" si="11"/>
        <v>Valid</v>
      </c>
      <c r="R87" s="2" t="str">
        <f>IF(TRIM(H87)="","Missing",IF(AND(LEN(TRIM(H87))=11,SUMPRODUCT(--(CODE(MID(TRIM(H87),{1,2,3,4},1))&gt;=65),--(CODE(MID(TRIM(H87),{1,2,3,4},1))&lt;=90))=4,MID(TRIM(H87),5,1)="0"),"Valid","Invalid"))</f>
        <v>Valid</v>
      </c>
      <c r="S87" s="2" t="str">
        <f t="shared" si="12"/>
        <v>Valid</v>
      </c>
      <c r="T87" s="2" t="str">
        <f t="shared" si="13"/>
        <v>Valid</v>
      </c>
      <c r="U87" s="2">
        <f t="shared" si="14"/>
        <v>0</v>
      </c>
      <c r="V87" s="2" t="str">
        <f t="shared" si="15"/>
        <v>916552166746</v>
      </c>
    </row>
    <row r="88" spans="1:22" x14ac:dyDescent="0.35">
      <c r="A88" s="2" t="s">
        <v>1470</v>
      </c>
      <c r="B88" s="2" t="s">
        <v>1471</v>
      </c>
      <c r="C88" s="2" t="s">
        <v>1472</v>
      </c>
      <c r="D88" s="2" t="s">
        <v>1473</v>
      </c>
      <c r="E88" s="2" t="s">
        <v>1474</v>
      </c>
      <c r="F88" s="2" t="s">
        <v>2084</v>
      </c>
      <c r="G88" s="15" t="s">
        <v>1476</v>
      </c>
      <c r="H88" s="2" t="s">
        <v>1477</v>
      </c>
      <c r="I88" s="2" t="s">
        <v>130</v>
      </c>
      <c r="J88" s="2" t="s">
        <v>359</v>
      </c>
      <c r="K88" s="2" t="s">
        <v>121</v>
      </c>
      <c r="L88" s="2" t="s">
        <v>1478</v>
      </c>
      <c r="M88" s="2" t="str">
        <f>IF(TRIM(C88)="","Missing",IF(AND(LEN(TRIM(C88))=10,SUMPRODUCT(--(CODE(MID(TRIM(C88),{1,2,3,4,5,10},1))&gt;=65),--(CODE(MID(TRIM(C88),{1,2,3,4,5,10},1))&lt;=90))=6,ISNUMBER(--MID(TRIM(C88),6,4))),"Valid","Invalid"))</f>
        <v>Valid</v>
      </c>
      <c r="N88" s="2" t="str">
        <f t="shared" si="8"/>
        <v>Valid</v>
      </c>
      <c r="O88" s="2" t="str">
        <f t="shared" si="9"/>
        <v>Valid</v>
      </c>
      <c r="P88" s="2" t="str">
        <f t="shared" si="10"/>
        <v>Valid</v>
      </c>
      <c r="Q88" s="2" t="str">
        <f t="shared" si="11"/>
        <v>Valid</v>
      </c>
      <c r="R88" s="2" t="str">
        <f>IF(TRIM(H88)="","Missing",IF(AND(LEN(TRIM(H88))=11,SUMPRODUCT(--(CODE(MID(TRIM(H88),{1,2,3,4},1))&gt;=65),--(CODE(MID(TRIM(H88),{1,2,3,4},1))&lt;=90))=4,MID(TRIM(H88),5,1)="0"),"Valid","Invalid"))</f>
        <v>Valid</v>
      </c>
      <c r="S88" s="2" t="str">
        <f t="shared" si="12"/>
        <v>Valid</v>
      </c>
      <c r="T88" s="2" t="str">
        <f t="shared" si="13"/>
        <v>Valid</v>
      </c>
      <c r="U88" s="2">
        <f t="shared" si="14"/>
        <v>0</v>
      </c>
      <c r="V88" s="2" t="str">
        <f t="shared" si="15"/>
        <v>916637562890</v>
      </c>
    </row>
    <row r="89" spans="1:22" x14ac:dyDescent="0.35">
      <c r="A89" s="2" t="s">
        <v>1422</v>
      </c>
      <c r="B89" s="2" t="s">
        <v>1423</v>
      </c>
      <c r="C89" s="2" t="s">
        <v>1424</v>
      </c>
      <c r="D89" s="2" t="s">
        <v>1425</v>
      </c>
      <c r="E89" s="2" t="s">
        <v>1426</v>
      </c>
      <c r="F89" s="2" t="s">
        <v>2085</v>
      </c>
      <c r="G89" s="15" t="s">
        <v>1428</v>
      </c>
      <c r="H89" s="2" t="s">
        <v>1429</v>
      </c>
      <c r="I89" s="2" t="s">
        <v>130</v>
      </c>
      <c r="J89" s="2" t="s">
        <v>141</v>
      </c>
      <c r="K89" s="2" t="s">
        <v>121</v>
      </c>
      <c r="L89" s="2" t="s">
        <v>1430</v>
      </c>
      <c r="M89" s="2" t="str">
        <f>IF(TRIM(C89)="","Missing",IF(AND(LEN(TRIM(C89))=10,SUMPRODUCT(--(CODE(MID(TRIM(C89),{1,2,3,4,5,10},1))&gt;=65),--(CODE(MID(TRIM(C89),{1,2,3,4,5,10},1))&lt;=90))=6,ISNUMBER(--MID(TRIM(C89),6,4))),"Valid","Invalid"))</f>
        <v>Valid</v>
      </c>
      <c r="N89" s="2" t="str">
        <f t="shared" si="8"/>
        <v>Invalid</v>
      </c>
      <c r="O89" s="2" t="str">
        <f t="shared" si="9"/>
        <v>Valid</v>
      </c>
      <c r="P89" s="2" t="str">
        <f t="shared" si="10"/>
        <v>Valid</v>
      </c>
      <c r="Q89" s="2" t="str">
        <f t="shared" si="11"/>
        <v>Valid</v>
      </c>
      <c r="R89" s="2" t="str">
        <f>IF(TRIM(H89)="","Missing",IF(AND(LEN(TRIM(H89))=11,SUMPRODUCT(--(CODE(MID(TRIM(H89),{1,2,3,4},1))&gt;=65),--(CODE(MID(TRIM(H89),{1,2,3,4},1))&lt;=90))=4,MID(TRIM(H89),5,1)="0"),"Valid","Invalid"))</f>
        <v>Valid</v>
      </c>
      <c r="S89" s="2" t="str">
        <f t="shared" si="12"/>
        <v>Valid</v>
      </c>
      <c r="T89" s="2" t="str">
        <f t="shared" si="13"/>
        <v>Valid</v>
      </c>
      <c r="U89" s="2">
        <f t="shared" si="14"/>
        <v>1</v>
      </c>
      <c r="V89" s="2" t="str">
        <f t="shared" si="15"/>
        <v>916994883755</v>
      </c>
    </row>
    <row r="90" spans="1:22" x14ac:dyDescent="0.35">
      <c r="A90" s="2" t="s">
        <v>1625</v>
      </c>
      <c r="B90" s="2" t="s">
        <v>1626</v>
      </c>
      <c r="C90" s="2" t="s">
        <v>1627</v>
      </c>
      <c r="D90" s="2" t="s">
        <v>1628</v>
      </c>
      <c r="E90" s="2" t="s">
        <v>1629</v>
      </c>
      <c r="F90" s="2" t="s">
        <v>2086</v>
      </c>
      <c r="G90" s="15" t="s">
        <v>1631</v>
      </c>
      <c r="H90" s="2" t="s">
        <v>1632</v>
      </c>
      <c r="I90" s="2" t="s">
        <v>130</v>
      </c>
      <c r="J90" s="2" t="s">
        <v>164</v>
      </c>
      <c r="K90" s="2" t="s">
        <v>121</v>
      </c>
      <c r="L90" s="2" t="s">
        <v>1633</v>
      </c>
      <c r="M90" s="2" t="str">
        <f>IF(TRIM(C90)="","Missing",IF(AND(LEN(TRIM(C90))=10,SUMPRODUCT(--(CODE(MID(TRIM(C90),{1,2,3,4,5,10},1))&gt;=65),--(CODE(MID(TRIM(C90),{1,2,3,4,5,10},1))&lt;=90))=6,ISNUMBER(--MID(TRIM(C90),6,4))),"Valid","Invalid"))</f>
        <v>Valid</v>
      </c>
      <c r="N90" s="2" t="str">
        <f t="shared" si="8"/>
        <v>Valid</v>
      </c>
      <c r="O90" s="2" t="str">
        <f t="shared" si="9"/>
        <v>Valid</v>
      </c>
      <c r="P90" s="2" t="str">
        <f t="shared" si="10"/>
        <v>Valid</v>
      </c>
      <c r="Q90" s="2" t="str">
        <f t="shared" si="11"/>
        <v>Valid</v>
      </c>
      <c r="R90" s="2" t="str">
        <f>IF(TRIM(H90)="","Missing",IF(AND(LEN(TRIM(H90))=11,SUMPRODUCT(--(CODE(MID(TRIM(H90),{1,2,3,4},1))&gt;=65),--(CODE(MID(TRIM(H90),{1,2,3,4},1))&lt;=90))=4,MID(TRIM(H90),5,1)="0"),"Valid","Invalid"))</f>
        <v>Valid</v>
      </c>
      <c r="S90" s="2" t="str">
        <f t="shared" si="12"/>
        <v>Valid</v>
      </c>
      <c r="T90" s="2" t="str">
        <f t="shared" si="13"/>
        <v>Valid</v>
      </c>
      <c r="U90" s="2">
        <f t="shared" si="14"/>
        <v>0</v>
      </c>
      <c r="V90" s="2" t="str">
        <f t="shared" si="15"/>
        <v>917735160917</v>
      </c>
    </row>
    <row r="91" spans="1:22" x14ac:dyDescent="0.35">
      <c r="A91" s="2" t="s">
        <v>333</v>
      </c>
      <c r="B91" s="2" t="s">
        <v>334</v>
      </c>
      <c r="C91" s="2" t="s">
        <v>335</v>
      </c>
      <c r="D91" s="2" t="s">
        <v>336</v>
      </c>
      <c r="E91" s="2" t="s">
        <v>674</v>
      </c>
      <c r="F91" s="2" t="s">
        <v>2087</v>
      </c>
      <c r="G91" s="15" t="s">
        <v>339</v>
      </c>
      <c r="H91" s="2" t="s">
        <v>340</v>
      </c>
      <c r="I91" s="2" t="s">
        <v>130</v>
      </c>
      <c r="J91" s="2" t="s">
        <v>174</v>
      </c>
      <c r="K91" s="2" t="s">
        <v>121</v>
      </c>
      <c r="L91" s="2" t="s">
        <v>341</v>
      </c>
      <c r="M91" s="2" t="str">
        <f>IF(TRIM(C91)="","Missing",IF(AND(LEN(TRIM(C91))=10,SUMPRODUCT(--(CODE(MID(TRIM(C91),{1,2,3,4,5,10},1))&gt;=65),--(CODE(MID(TRIM(C91),{1,2,3,4,5,10},1))&lt;=90))=6,ISNUMBER(--MID(TRIM(C91),6,4))),"Valid","Invalid"))</f>
        <v>Valid</v>
      </c>
      <c r="N91" s="2" t="str">
        <f t="shared" si="8"/>
        <v>Valid</v>
      </c>
      <c r="O91" s="2" t="str">
        <f t="shared" si="9"/>
        <v>Valid</v>
      </c>
      <c r="P91" s="2" t="str">
        <f t="shared" si="10"/>
        <v>Valid</v>
      </c>
      <c r="Q91" s="2" t="str">
        <f t="shared" si="11"/>
        <v>Valid</v>
      </c>
      <c r="R91" s="2" t="str">
        <f>IF(TRIM(H91)="","Missing",IF(AND(LEN(TRIM(H91))=11,SUMPRODUCT(--(CODE(MID(TRIM(H91),{1,2,3,4},1))&gt;=65),--(CODE(MID(TRIM(H91),{1,2,3,4},1))&lt;=90))=4,MID(TRIM(H91),5,1)="0"),"Valid","Invalid"))</f>
        <v>Valid</v>
      </c>
      <c r="S91" s="2" t="str">
        <f t="shared" si="12"/>
        <v>Valid</v>
      </c>
      <c r="T91" s="2" t="str">
        <f t="shared" si="13"/>
        <v>Valid</v>
      </c>
      <c r="U91" s="2">
        <f t="shared" si="14"/>
        <v>0</v>
      </c>
      <c r="V91" s="2" t="str">
        <f t="shared" si="15"/>
        <v>918833394522</v>
      </c>
    </row>
    <row r="92" spans="1:22" x14ac:dyDescent="0.35">
      <c r="A92" s="2" t="s">
        <v>484</v>
      </c>
      <c r="B92" s="2" t="s">
        <v>485</v>
      </c>
      <c r="C92" s="2" t="s">
        <v>1147</v>
      </c>
      <c r="D92" s="2" t="s">
        <v>487</v>
      </c>
      <c r="E92" s="2" t="s">
        <v>2088</v>
      </c>
      <c r="F92" s="2" t="s">
        <v>2089</v>
      </c>
      <c r="G92" s="15" t="s">
        <v>490</v>
      </c>
      <c r="H92" s="2" t="s">
        <v>491</v>
      </c>
      <c r="I92" s="2" t="s">
        <v>130</v>
      </c>
      <c r="J92" s="2" t="s">
        <v>359</v>
      </c>
      <c r="K92" s="2" t="s">
        <v>121</v>
      </c>
      <c r="L92" s="2" t="s">
        <v>492</v>
      </c>
      <c r="M92" s="2" t="str">
        <f>IF(TRIM(C92)="","Missing",IF(AND(LEN(TRIM(C92))=10,SUMPRODUCT(--(CODE(MID(TRIM(C92),{1,2,3,4,5,10},1))&gt;=65),--(CODE(MID(TRIM(C92),{1,2,3,4,5,10},1))&lt;=90))=6,ISNUMBER(--MID(TRIM(C92),6,4))),"Valid","Invalid"))</f>
        <v>Valid</v>
      </c>
      <c r="N92" s="2" t="str">
        <f t="shared" si="8"/>
        <v>Valid</v>
      </c>
      <c r="O92" s="2" t="str">
        <f t="shared" si="9"/>
        <v>Valid</v>
      </c>
      <c r="P92" s="2" t="str">
        <f t="shared" si="10"/>
        <v>Valid</v>
      </c>
      <c r="Q92" s="2" t="str">
        <f t="shared" si="11"/>
        <v>Valid</v>
      </c>
      <c r="R92" s="2" t="str">
        <f>IF(TRIM(H92)="","Missing",IF(AND(LEN(TRIM(H92))=11,SUMPRODUCT(--(CODE(MID(TRIM(H92),{1,2,3,4},1))&gt;=65),--(CODE(MID(TRIM(H92),{1,2,3,4},1))&lt;=90))=4,MID(TRIM(H92),5,1)="0"),"Valid","Invalid"))</f>
        <v>Valid</v>
      </c>
      <c r="S92" s="2" t="str">
        <f t="shared" si="12"/>
        <v>Valid</v>
      </c>
      <c r="T92" s="2" t="str">
        <f t="shared" si="13"/>
        <v>Valid</v>
      </c>
      <c r="U92" s="2">
        <f t="shared" si="14"/>
        <v>0</v>
      </c>
      <c r="V92" s="2" t="str">
        <f t="shared" si="15"/>
        <v>917863840666</v>
      </c>
    </row>
    <row r="93" spans="1:22" x14ac:dyDescent="0.35">
      <c r="A93" s="2" t="s">
        <v>1386</v>
      </c>
      <c r="B93" s="2" t="s">
        <v>1387</v>
      </c>
      <c r="C93" s="2" t="s">
        <v>1388</v>
      </c>
      <c r="D93" s="2" t="s">
        <v>1389</v>
      </c>
      <c r="E93" s="2" t="s">
        <v>1390</v>
      </c>
      <c r="F93" s="2" t="s">
        <v>2090</v>
      </c>
      <c r="G93" s="15" t="s">
        <v>1392</v>
      </c>
      <c r="H93" s="2" t="s">
        <v>1393</v>
      </c>
      <c r="I93" s="2" t="s">
        <v>130</v>
      </c>
      <c r="J93" s="2" t="s">
        <v>141</v>
      </c>
      <c r="K93" s="2" t="s">
        <v>121</v>
      </c>
      <c r="L93" s="2" t="s">
        <v>1394</v>
      </c>
      <c r="M93" s="2" t="str">
        <f>IF(TRIM(C93)="","Missing",IF(AND(LEN(TRIM(C93))=10,SUMPRODUCT(--(CODE(MID(TRIM(C93),{1,2,3,4,5,10},1))&gt;=65),--(CODE(MID(TRIM(C93),{1,2,3,4,5,10},1))&lt;=90))=6,ISNUMBER(--MID(TRIM(C93),6,4))),"Valid","Invalid"))</f>
        <v>Valid</v>
      </c>
      <c r="N93" s="2" t="str">
        <f t="shared" si="8"/>
        <v>Valid</v>
      </c>
      <c r="O93" s="2" t="str">
        <f t="shared" si="9"/>
        <v>Valid</v>
      </c>
      <c r="P93" s="2" t="str">
        <f t="shared" si="10"/>
        <v>Valid</v>
      </c>
      <c r="Q93" s="2" t="str">
        <f t="shared" si="11"/>
        <v>Valid</v>
      </c>
      <c r="R93" s="2" t="str">
        <f>IF(TRIM(H93)="","Missing",IF(AND(LEN(TRIM(H93))=11,SUMPRODUCT(--(CODE(MID(TRIM(H93),{1,2,3,4},1))&gt;=65),--(CODE(MID(TRIM(H93),{1,2,3,4},1))&lt;=90))=4,MID(TRIM(H93),5,1)="0"),"Valid","Invalid"))</f>
        <v>Valid</v>
      </c>
      <c r="S93" s="2" t="str">
        <f t="shared" si="12"/>
        <v>Valid</v>
      </c>
      <c r="T93" s="2" t="str">
        <f t="shared" si="13"/>
        <v>Valid</v>
      </c>
      <c r="U93" s="2">
        <f t="shared" si="14"/>
        <v>0</v>
      </c>
      <c r="V93" s="2" t="str">
        <f t="shared" si="15"/>
        <v>917590947985</v>
      </c>
    </row>
    <row r="94" spans="1:22" x14ac:dyDescent="0.35">
      <c r="A94" s="2" t="s">
        <v>922</v>
      </c>
      <c r="B94" s="2" t="s">
        <v>923</v>
      </c>
      <c r="C94" s="2" t="s">
        <v>924</v>
      </c>
      <c r="D94" s="2" t="s">
        <v>925</v>
      </c>
      <c r="E94" s="2" t="s">
        <v>926</v>
      </c>
      <c r="F94" s="2" t="s">
        <v>2091</v>
      </c>
      <c r="G94" s="15"/>
      <c r="H94" s="2" t="s">
        <v>928</v>
      </c>
      <c r="I94" s="2" t="s">
        <v>130</v>
      </c>
      <c r="J94" s="2" t="s">
        <v>174</v>
      </c>
      <c r="K94" s="2" t="s">
        <v>121</v>
      </c>
      <c r="L94" s="2" t="s">
        <v>929</v>
      </c>
      <c r="M94" s="2" t="str">
        <f>IF(TRIM(C94)="","Missing",IF(AND(LEN(TRIM(C94))=10,SUMPRODUCT(--(CODE(MID(TRIM(C94),{1,2,3,4,5,10},1))&gt;=65),--(CODE(MID(TRIM(C94),{1,2,3,4,5,10},1))&lt;=90))=6,ISNUMBER(--MID(TRIM(C94),6,4))),"Valid","Invalid"))</f>
        <v>Valid</v>
      </c>
      <c r="N94" s="2" t="str">
        <f t="shared" si="8"/>
        <v>Valid</v>
      </c>
      <c r="O94" s="2" t="str">
        <f t="shared" si="9"/>
        <v>Valid</v>
      </c>
      <c r="P94" s="2" t="str">
        <f t="shared" si="10"/>
        <v>Valid</v>
      </c>
      <c r="Q94" s="2" t="str">
        <f t="shared" si="11"/>
        <v>Missing</v>
      </c>
      <c r="R94" s="2" t="str">
        <f>IF(TRIM(H94)="","Missing",IF(AND(LEN(TRIM(H94))=11,SUMPRODUCT(--(CODE(MID(TRIM(H94),{1,2,3,4},1))&gt;=65),--(CODE(MID(TRIM(H94),{1,2,3,4},1))&lt;=90))=4,MID(TRIM(H94),5,1)="0"),"Valid","Invalid"))</f>
        <v>Valid</v>
      </c>
      <c r="S94" s="2" t="str">
        <f t="shared" si="12"/>
        <v>Valid</v>
      </c>
      <c r="T94" s="2" t="str">
        <f t="shared" si="13"/>
        <v>Valid</v>
      </c>
      <c r="U94" s="2">
        <f t="shared" si="14"/>
        <v>1</v>
      </c>
      <c r="V94" s="2" t="str">
        <f t="shared" si="15"/>
        <v>919676650618</v>
      </c>
    </row>
    <row r="95" spans="1:22" x14ac:dyDescent="0.35">
      <c r="A95" s="2" t="s">
        <v>693</v>
      </c>
      <c r="B95" s="2" t="s">
        <v>694</v>
      </c>
      <c r="C95" s="2" t="s">
        <v>695</v>
      </c>
      <c r="D95" s="2" t="s">
        <v>696</v>
      </c>
      <c r="E95" s="2" t="s">
        <v>2092</v>
      </c>
      <c r="F95" s="2" t="s">
        <v>2093</v>
      </c>
      <c r="G95" s="15" t="s">
        <v>699</v>
      </c>
      <c r="H95" s="2" t="s">
        <v>700</v>
      </c>
      <c r="I95" s="2" t="s">
        <v>130</v>
      </c>
      <c r="J95" s="2" t="s">
        <v>141</v>
      </c>
      <c r="K95" s="2" t="s">
        <v>121</v>
      </c>
      <c r="L95" s="2" t="s">
        <v>341</v>
      </c>
      <c r="M95" s="2" t="str">
        <f>IF(TRIM(C95)="","Missing",IF(AND(LEN(TRIM(C95))=10,SUMPRODUCT(--(CODE(MID(TRIM(C95),{1,2,3,4,5,10},1))&gt;=65),--(CODE(MID(TRIM(C95),{1,2,3,4,5,10},1))&lt;=90))=6,ISNUMBER(--MID(TRIM(C95),6,4))),"Valid","Invalid"))</f>
        <v>Valid</v>
      </c>
      <c r="N95" s="2" t="str">
        <f t="shared" si="8"/>
        <v>Valid</v>
      </c>
      <c r="O95" s="2" t="str">
        <f t="shared" si="9"/>
        <v>Valid</v>
      </c>
      <c r="P95" s="2" t="str">
        <f t="shared" si="10"/>
        <v>Valid</v>
      </c>
      <c r="Q95" s="2" t="str">
        <f t="shared" si="11"/>
        <v>Valid</v>
      </c>
      <c r="R95" s="2" t="str">
        <f>IF(TRIM(H95)="","Missing",IF(AND(LEN(TRIM(H95))=11,SUMPRODUCT(--(CODE(MID(TRIM(H95),{1,2,3,4},1))&gt;=65),--(CODE(MID(TRIM(H95),{1,2,3,4},1))&lt;=90))=4,MID(TRIM(H95),5,1)="0"),"Valid","Invalid"))</f>
        <v>Valid</v>
      </c>
      <c r="S95" s="2" t="str">
        <f t="shared" si="12"/>
        <v>Valid</v>
      </c>
      <c r="T95" s="2" t="str">
        <f t="shared" si="13"/>
        <v>Valid</v>
      </c>
      <c r="U95" s="2">
        <f t="shared" si="14"/>
        <v>0</v>
      </c>
      <c r="V95" s="2" t="str">
        <f t="shared" si="15"/>
        <v>917100996881</v>
      </c>
    </row>
    <row r="96" spans="1:22" x14ac:dyDescent="0.35">
      <c r="A96" s="2" t="s">
        <v>1305</v>
      </c>
      <c r="B96" s="2" t="s">
        <v>1306</v>
      </c>
      <c r="C96" s="2" t="s">
        <v>1307</v>
      </c>
      <c r="D96" s="2" t="s">
        <v>1308</v>
      </c>
      <c r="E96" s="2" t="s">
        <v>1309</v>
      </c>
      <c r="F96" s="2" t="s">
        <v>2094</v>
      </c>
      <c r="G96" s="15" t="s">
        <v>1311</v>
      </c>
      <c r="H96" s="2" t="s">
        <v>1312</v>
      </c>
      <c r="I96" s="2" t="s">
        <v>130</v>
      </c>
      <c r="J96" s="2" t="s">
        <v>141</v>
      </c>
      <c r="K96" s="2" t="s">
        <v>121</v>
      </c>
      <c r="L96" s="2" t="s">
        <v>1313</v>
      </c>
      <c r="M96" s="2" t="str">
        <f>IF(TRIM(C96)="","Missing",IF(AND(LEN(TRIM(C96))=10,SUMPRODUCT(--(CODE(MID(TRIM(C96),{1,2,3,4,5,10},1))&gt;=65),--(CODE(MID(TRIM(C96),{1,2,3,4,5,10},1))&lt;=90))=6,ISNUMBER(--MID(TRIM(C96),6,4))),"Valid","Invalid"))</f>
        <v>Valid</v>
      </c>
      <c r="N96" s="2" t="str">
        <f t="shared" si="8"/>
        <v>Valid</v>
      </c>
      <c r="O96" s="2" t="str">
        <f t="shared" si="9"/>
        <v>Valid</v>
      </c>
      <c r="P96" s="2" t="str">
        <f t="shared" si="10"/>
        <v>Valid</v>
      </c>
      <c r="Q96" s="2" t="str">
        <f t="shared" si="11"/>
        <v>Valid</v>
      </c>
      <c r="R96" s="2" t="str">
        <f>IF(TRIM(H96)="","Missing",IF(AND(LEN(TRIM(H96))=11,SUMPRODUCT(--(CODE(MID(TRIM(H96),{1,2,3,4},1))&gt;=65),--(CODE(MID(TRIM(H96),{1,2,3,4},1))&lt;=90))=4,MID(TRIM(H96),5,1)="0"),"Valid","Invalid"))</f>
        <v>Valid</v>
      </c>
      <c r="S96" s="2" t="str">
        <f t="shared" si="12"/>
        <v>Valid</v>
      </c>
      <c r="T96" s="2" t="str">
        <f t="shared" si="13"/>
        <v>Valid</v>
      </c>
      <c r="U96" s="2">
        <f t="shared" si="14"/>
        <v>0</v>
      </c>
      <c r="V96" s="2" t="str">
        <f t="shared" si="15"/>
        <v>918913577594</v>
      </c>
    </row>
    <row r="97" spans="1:22" x14ac:dyDescent="0.35">
      <c r="A97" s="2" t="s">
        <v>913</v>
      </c>
      <c r="B97" s="2" t="s">
        <v>914</v>
      </c>
      <c r="C97" s="2" t="s">
        <v>915</v>
      </c>
      <c r="D97" s="2" t="s">
        <v>916</v>
      </c>
      <c r="E97" s="2" t="s">
        <v>917</v>
      </c>
      <c r="F97" s="2" t="s">
        <v>2095</v>
      </c>
      <c r="G97" s="15" t="s">
        <v>919</v>
      </c>
      <c r="H97" s="2" t="s">
        <v>920</v>
      </c>
      <c r="I97" s="2" t="s">
        <v>130</v>
      </c>
      <c r="J97" s="2" t="s">
        <v>174</v>
      </c>
      <c r="K97" s="2" t="s">
        <v>121</v>
      </c>
      <c r="L97" s="2" t="s">
        <v>921</v>
      </c>
      <c r="M97" s="2" t="str">
        <f>IF(TRIM(C97)="","Missing",IF(AND(LEN(TRIM(C97))=10,SUMPRODUCT(--(CODE(MID(TRIM(C97),{1,2,3,4,5,10},1))&gt;=65),--(CODE(MID(TRIM(C97),{1,2,3,4,5,10},1))&lt;=90))=6,ISNUMBER(--MID(TRIM(C97),6,4))),"Valid","Invalid"))</f>
        <v>Valid</v>
      </c>
      <c r="N97" s="2" t="str">
        <f t="shared" si="8"/>
        <v>Valid</v>
      </c>
      <c r="O97" s="2" t="str">
        <f t="shared" si="9"/>
        <v>Valid</v>
      </c>
      <c r="P97" s="2" t="str">
        <f t="shared" si="10"/>
        <v>Valid</v>
      </c>
      <c r="Q97" s="2" t="str">
        <f t="shared" si="11"/>
        <v>Valid</v>
      </c>
      <c r="R97" s="2" t="str">
        <f>IF(TRIM(H97)="","Missing",IF(AND(LEN(TRIM(H97))=11,SUMPRODUCT(--(CODE(MID(TRIM(H97),{1,2,3,4},1))&gt;=65),--(CODE(MID(TRIM(H97),{1,2,3,4},1))&lt;=90))=4,MID(TRIM(H97),5,1)="0"),"Valid","Invalid"))</f>
        <v>Valid</v>
      </c>
      <c r="S97" s="2" t="str">
        <f t="shared" si="12"/>
        <v>Valid</v>
      </c>
      <c r="T97" s="2" t="str">
        <f t="shared" si="13"/>
        <v>Valid</v>
      </c>
      <c r="U97" s="2">
        <f t="shared" si="14"/>
        <v>0</v>
      </c>
      <c r="V97" s="2" t="str">
        <f t="shared" si="15"/>
        <v>916809969308</v>
      </c>
    </row>
    <row r="98" spans="1:22" x14ac:dyDescent="0.35">
      <c r="A98" s="2" t="s">
        <v>1054</v>
      </c>
      <c r="B98" s="2" t="s">
        <v>1055</v>
      </c>
      <c r="C98" s="2" t="s">
        <v>1056</v>
      </c>
      <c r="D98" s="2"/>
      <c r="E98" s="2"/>
      <c r="F98" s="2" t="s">
        <v>2096</v>
      </c>
      <c r="G98" s="15" t="s">
        <v>1058</v>
      </c>
      <c r="H98" s="2" t="s">
        <v>1059</v>
      </c>
      <c r="I98" s="2" t="s">
        <v>130</v>
      </c>
      <c r="J98" s="2" t="s">
        <v>164</v>
      </c>
      <c r="K98" s="2" t="s">
        <v>121</v>
      </c>
      <c r="L98" s="2" t="s">
        <v>1060</v>
      </c>
      <c r="M98" s="2" t="str">
        <f>IF(TRIM(C98)="","Missing",IF(AND(LEN(TRIM(C98))=10,SUMPRODUCT(--(CODE(MID(TRIM(C98),{1,2,3,4,5,10},1))&gt;=65),--(CODE(MID(TRIM(C98),{1,2,3,4,5,10},1))&lt;=90))=6,ISNUMBER(--MID(TRIM(C98),6,4))),"Valid","Invalid"))</f>
        <v>Valid</v>
      </c>
      <c r="N98" s="2" t="str">
        <f t="shared" si="8"/>
        <v>Missing</v>
      </c>
      <c r="O98" s="2" t="str">
        <f t="shared" si="9"/>
        <v>Missing</v>
      </c>
      <c r="P98" s="2" t="str">
        <f t="shared" si="10"/>
        <v>Valid</v>
      </c>
      <c r="Q98" s="2" t="str">
        <f t="shared" si="11"/>
        <v>Valid</v>
      </c>
      <c r="R98" s="2" t="str">
        <f>IF(TRIM(H98)="","Missing",IF(AND(LEN(TRIM(H98))=11,SUMPRODUCT(--(CODE(MID(TRIM(H98),{1,2,3,4},1))&gt;=65),--(CODE(MID(TRIM(H98),{1,2,3,4},1))&lt;=90))=4,MID(TRIM(H98),5,1)="0"),"Valid","Invalid"))</f>
        <v>Invalid</v>
      </c>
      <c r="S98" s="2" t="str">
        <f t="shared" si="12"/>
        <v>Valid</v>
      </c>
      <c r="T98" s="2" t="str">
        <f t="shared" si="13"/>
        <v>Valid</v>
      </c>
      <c r="U98" s="2">
        <f t="shared" si="14"/>
        <v>3</v>
      </c>
      <c r="V98" s="2" t="str">
        <f t="shared" si="15"/>
        <v>916453038567</v>
      </c>
    </row>
    <row r="99" spans="1:22" x14ac:dyDescent="0.35">
      <c r="A99" s="2" t="s">
        <v>291</v>
      </c>
      <c r="B99" s="2" t="s">
        <v>292</v>
      </c>
      <c r="C99" s="2" t="s">
        <v>293</v>
      </c>
      <c r="D99" s="2" t="s">
        <v>294</v>
      </c>
      <c r="E99" s="2" t="s">
        <v>295</v>
      </c>
      <c r="F99" s="2" t="s">
        <v>2097</v>
      </c>
      <c r="G99" s="15" t="s">
        <v>297</v>
      </c>
      <c r="H99" s="2"/>
      <c r="I99" s="2" t="s">
        <v>130</v>
      </c>
      <c r="J99" s="2" t="s">
        <v>174</v>
      </c>
      <c r="K99" s="2" t="s">
        <v>142</v>
      </c>
      <c r="L99" s="2" t="s">
        <v>298</v>
      </c>
      <c r="M99" s="2" t="str">
        <f>IF(TRIM(C99)="","Missing",IF(AND(LEN(TRIM(C99))=10,SUMPRODUCT(--(CODE(MID(TRIM(C99),{1,2,3,4,5,10},1))&gt;=65),--(CODE(MID(TRIM(C99),{1,2,3,4,5,10},1))&lt;=90))=6,ISNUMBER(--MID(TRIM(C99),6,4))),"Valid","Invalid"))</f>
        <v>Valid</v>
      </c>
      <c r="N99" s="2" t="str">
        <f t="shared" si="8"/>
        <v>PAN Mismatch</v>
      </c>
      <c r="O99" s="2" t="str">
        <f t="shared" si="9"/>
        <v>Valid</v>
      </c>
      <c r="P99" s="2" t="str">
        <f t="shared" si="10"/>
        <v>Valid</v>
      </c>
      <c r="Q99" s="2" t="str">
        <f t="shared" si="11"/>
        <v>Valid</v>
      </c>
      <c r="R99" s="2" t="str">
        <f>IF(TRIM(H99)="","Missing",IF(AND(LEN(TRIM(H99))=11,SUMPRODUCT(--(CODE(MID(TRIM(H99),{1,2,3,4},1))&gt;=65),--(CODE(MID(TRIM(H99),{1,2,3,4},1))&lt;=90))=4,MID(TRIM(H99),5,1)="0"),"Valid","Invalid"))</f>
        <v>Missing</v>
      </c>
      <c r="S99" s="2" t="str">
        <f t="shared" si="12"/>
        <v>Valid</v>
      </c>
      <c r="T99" s="2" t="str">
        <f t="shared" si="13"/>
        <v>Valid</v>
      </c>
      <c r="U99" s="2">
        <f t="shared" si="14"/>
        <v>2</v>
      </c>
      <c r="V99" s="2" t="str">
        <f t="shared" si="15"/>
        <v>917222591365</v>
      </c>
    </row>
    <row r="100" spans="1:22" x14ac:dyDescent="0.35">
      <c r="A100" s="2" t="s">
        <v>878</v>
      </c>
      <c r="B100" s="2" t="s">
        <v>879</v>
      </c>
      <c r="C100" s="2" t="s">
        <v>880</v>
      </c>
      <c r="D100" s="2" t="s">
        <v>881</v>
      </c>
      <c r="E100" s="2" t="s">
        <v>882</v>
      </c>
      <c r="F100" s="2" t="s">
        <v>2098</v>
      </c>
      <c r="G100" s="15" t="s">
        <v>884</v>
      </c>
      <c r="H100" s="2" t="s">
        <v>885</v>
      </c>
      <c r="I100" s="2" t="s">
        <v>130</v>
      </c>
      <c r="J100" s="2" t="s">
        <v>164</v>
      </c>
      <c r="K100" s="2" t="s">
        <v>121</v>
      </c>
      <c r="L100" s="2" t="s">
        <v>886</v>
      </c>
      <c r="M100" s="2" t="str">
        <f>IF(TRIM(C100)="","Missing",IF(AND(LEN(TRIM(C100))=10,SUMPRODUCT(--(CODE(MID(TRIM(C100),{1,2,3,4,5,10},1))&gt;=65),--(CODE(MID(TRIM(C100),{1,2,3,4,5,10},1))&lt;=90))=6,ISNUMBER(--MID(TRIM(C100),6,4))),"Valid","Invalid"))</f>
        <v>Valid</v>
      </c>
      <c r="N100" s="2" t="str">
        <f t="shared" si="8"/>
        <v>Valid</v>
      </c>
      <c r="O100" s="2" t="str">
        <f t="shared" si="9"/>
        <v>Valid</v>
      </c>
      <c r="P100" s="2" t="str">
        <f t="shared" si="10"/>
        <v>Valid</v>
      </c>
      <c r="Q100" s="2" t="str">
        <f t="shared" si="11"/>
        <v>Valid</v>
      </c>
      <c r="R100" s="2" t="str">
        <f>IF(TRIM(H100)="","Missing",IF(AND(LEN(TRIM(H100))=11,SUMPRODUCT(--(CODE(MID(TRIM(H100),{1,2,3,4},1))&gt;=65),--(CODE(MID(TRIM(H100),{1,2,3,4},1))&lt;=90))=4,MID(TRIM(H100),5,1)="0"),"Valid","Invalid"))</f>
        <v>Invalid</v>
      </c>
      <c r="S100" s="2" t="str">
        <f t="shared" si="12"/>
        <v>Valid</v>
      </c>
      <c r="T100" s="2" t="str">
        <f t="shared" si="13"/>
        <v>Valid</v>
      </c>
      <c r="U100" s="2">
        <f t="shared" si="14"/>
        <v>1</v>
      </c>
      <c r="V100" s="2" t="str">
        <f t="shared" si="15"/>
        <v>917369292984</v>
      </c>
    </row>
    <row r="101" spans="1:22" x14ac:dyDescent="0.35">
      <c r="A101" s="2" t="s">
        <v>1497</v>
      </c>
      <c r="B101" s="2" t="s">
        <v>1498</v>
      </c>
      <c r="C101" s="2" t="s">
        <v>1499</v>
      </c>
      <c r="D101" s="2" t="s">
        <v>1500</v>
      </c>
      <c r="E101" s="2" t="s">
        <v>1501</v>
      </c>
      <c r="F101" s="2" t="s">
        <v>2099</v>
      </c>
      <c r="G101" s="15" t="s">
        <v>1503</v>
      </c>
      <c r="H101" s="2" t="s">
        <v>1504</v>
      </c>
      <c r="I101" s="2" t="s">
        <v>130</v>
      </c>
      <c r="J101" s="2" t="s">
        <v>359</v>
      </c>
      <c r="K101" s="2" t="s">
        <v>121</v>
      </c>
      <c r="L101" s="2" t="s">
        <v>1505</v>
      </c>
      <c r="M101" s="2" t="str">
        <f>IF(TRIM(C101)="","Missing",IF(AND(LEN(TRIM(C101))=10,SUMPRODUCT(--(CODE(MID(TRIM(C101),{1,2,3,4,5,10},1))&gt;=65),--(CODE(MID(TRIM(C101),{1,2,3,4,5,10},1))&lt;=90))=6,ISNUMBER(--MID(TRIM(C101),6,4))),"Valid","Invalid"))</f>
        <v>Valid</v>
      </c>
      <c r="N101" s="2" t="str">
        <f t="shared" si="8"/>
        <v>Valid</v>
      </c>
      <c r="O101" s="2" t="str">
        <f t="shared" si="9"/>
        <v>Valid</v>
      </c>
      <c r="P101" s="2" t="str">
        <f t="shared" si="10"/>
        <v>Valid</v>
      </c>
      <c r="Q101" s="2" t="str">
        <f t="shared" si="11"/>
        <v>Valid</v>
      </c>
      <c r="R101" s="2" t="str">
        <f>IF(TRIM(H101)="","Missing",IF(AND(LEN(TRIM(H101))=11,SUMPRODUCT(--(CODE(MID(TRIM(H101),{1,2,3,4},1))&gt;=65),--(CODE(MID(TRIM(H101),{1,2,3,4},1))&lt;=90))=4,MID(TRIM(H101),5,1)="0"),"Valid","Invalid"))</f>
        <v>Valid</v>
      </c>
      <c r="S101" s="2" t="str">
        <f t="shared" si="12"/>
        <v>Valid</v>
      </c>
      <c r="T101" s="2" t="str">
        <f t="shared" si="13"/>
        <v>Valid</v>
      </c>
      <c r="U101" s="2">
        <f t="shared" si="14"/>
        <v>0</v>
      </c>
      <c r="V101" s="2" t="str">
        <f t="shared" si="15"/>
        <v>919508637659</v>
      </c>
    </row>
    <row r="102" spans="1:22" x14ac:dyDescent="0.35">
      <c r="A102" s="2" t="s">
        <v>1297</v>
      </c>
      <c r="B102" s="2" t="s">
        <v>1298</v>
      </c>
      <c r="C102" s="2" t="s">
        <v>1299</v>
      </c>
      <c r="D102" s="2"/>
      <c r="E102" s="2" t="s">
        <v>1300</v>
      </c>
      <c r="F102" s="2" t="s">
        <v>2100</v>
      </c>
      <c r="G102" s="15" t="s">
        <v>1302</v>
      </c>
      <c r="H102" s="2" t="s">
        <v>1303</v>
      </c>
      <c r="I102" s="2" t="s">
        <v>130</v>
      </c>
      <c r="J102" s="2" t="s">
        <v>359</v>
      </c>
      <c r="K102" s="2" t="s">
        <v>121</v>
      </c>
      <c r="L102" s="2" t="s">
        <v>1304</v>
      </c>
      <c r="M102" s="2" t="str">
        <f>IF(TRIM(C102)="","Missing",IF(AND(LEN(TRIM(C102))=10,SUMPRODUCT(--(CODE(MID(TRIM(C102),{1,2,3,4,5,10},1))&gt;=65),--(CODE(MID(TRIM(C102),{1,2,3,4,5,10},1))&lt;=90))=6,ISNUMBER(--MID(TRIM(C102),6,4))),"Valid","Invalid"))</f>
        <v>Valid</v>
      </c>
      <c r="N102" s="2" t="str">
        <f t="shared" si="8"/>
        <v>Missing</v>
      </c>
      <c r="O102" s="2" t="str">
        <f t="shared" si="9"/>
        <v>Valid</v>
      </c>
      <c r="P102" s="2" t="str">
        <f t="shared" si="10"/>
        <v>Valid</v>
      </c>
      <c r="Q102" s="2" t="str">
        <f t="shared" si="11"/>
        <v>Valid</v>
      </c>
      <c r="R102" s="2" t="str">
        <f>IF(TRIM(H102)="","Missing",IF(AND(LEN(TRIM(H102))=11,SUMPRODUCT(--(CODE(MID(TRIM(H102),{1,2,3,4},1))&gt;=65),--(CODE(MID(TRIM(H102),{1,2,3,4},1))&lt;=90))=4,MID(TRIM(H102),5,1)="0"),"Valid","Invalid"))</f>
        <v>Valid</v>
      </c>
      <c r="S102" s="2" t="str">
        <f t="shared" si="12"/>
        <v>Valid</v>
      </c>
      <c r="T102" s="2" t="str">
        <f t="shared" si="13"/>
        <v>Valid</v>
      </c>
      <c r="U102" s="2">
        <f t="shared" si="14"/>
        <v>1</v>
      </c>
      <c r="V102" s="2" t="str">
        <f t="shared" si="15"/>
        <v>919959463688</v>
      </c>
    </row>
    <row r="103" spans="1:22" x14ac:dyDescent="0.35">
      <c r="A103" s="2" t="s">
        <v>196</v>
      </c>
      <c r="B103" s="2" t="s">
        <v>197</v>
      </c>
      <c r="C103" s="2" t="s">
        <v>198</v>
      </c>
      <c r="D103" s="2" t="s">
        <v>199</v>
      </c>
      <c r="E103" s="2" t="s">
        <v>200</v>
      </c>
      <c r="F103" s="2" t="s">
        <v>2101</v>
      </c>
      <c r="G103" s="15" t="s">
        <v>202</v>
      </c>
      <c r="H103" s="2" t="s">
        <v>203</v>
      </c>
      <c r="I103" s="2" t="s">
        <v>130</v>
      </c>
      <c r="J103" s="2" t="s">
        <v>164</v>
      </c>
      <c r="K103" s="2" t="s">
        <v>121</v>
      </c>
      <c r="L103" s="2" t="s">
        <v>205</v>
      </c>
      <c r="M103" s="2" t="str">
        <f>IF(TRIM(C103)="","Missing",IF(AND(LEN(TRIM(C103))=10,SUMPRODUCT(--(CODE(MID(TRIM(C103),{1,2,3,4,5,10},1))&gt;=65),--(CODE(MID(TRIM(C103),{1,2,3,4,5,10},1))&lt;=90))=6,ISNUMBER(--MID(TRIM(C103),6,4))),"Valid","Invalid"))</f>
        <v>Valid</v>
      </c>
      <c r="N103" s="2" t="str">
        <f t="shared" si="8"/>
        <v>Valid</v>
      </c>
      <c r="O103" s="2" t="str">
        <f t="shared" si="9"/>
        <v>Valid</v>
      </c>
      <c r="P103" s="2" t="str">
        <f t="shared" si="10"/>
        <v>Valid</v>
      </c>
      <c r="Q103" s="2" t="str">
        <f t="shared" si="11"/>
        <v>Valid</v>
      </c>
      <c r="R103" s="2" t="str">
        <f>IF(TRIM(H103)="","Missing",IF(AND(LEN(TRIM(H103))=11,SUMPRODUCT(--(CODE(MID(TRIM(H103),{1,2,3,4},1))&gt;=65),--(CODE(MID(TRIM(H103),{1,2,3,4},1))&lt;=90))=4,MID(TRIM(H103),5,1)="0"),"Valid","Invalid"))</f>
        <v>Valid</v>
      </c>
      <c r="S103" s="2" t="str">
        <f t="shared" si="12"/>
        <v>Valid</v>
      </c>
      <c r="T103" s="2" t="str">
        <f t="shared" si="13"/>
        <v>Valid</v>
      </c>
      <c r="U103" s="2">
        <f t="shared" si="14"/>
        <v>0</v>
      </c>
      <c r="V103" s="2" t="str">
        <f t="shared" si="15"/>
        <v>916669849027</v>
      </c>
    </row>
    <row r="104" spans="1:22" x14ac:dyDescent="0.35">
      <c r="A104" s="2" t="s">
        <v>123</v>
      </c>
      <c r="B104" s="2" t="s">
        <v>124</v>
      </c>
      <c r="C104" s="2" t="s">
        <v>125</v>
      </c>
      <c r="D104" s="2" t="s">
        <v>126</v>
      </c>
      <c r="E104" s="2" t="s">
        <v>2102</v>
      </c>
      <c r="F104" s="2" t="s">
        <v>2103</v>
      </c>
      <c r="G104" s="15"/>
      <c r="H104" s="2" t="s">
        <v>129</v>
      </c>
      <c r="I104" s="2" t="s">
        <v>130</v>
      </c>
      <c r="J104" s="2" t="s">
        <v>141</v>
      </c>
      <c r="K104" s="2" t="s">
        <v>121</v>
      </c>
      <c r="L104" s="2" t="s">
        <v>132</v>
      </c>
      <c r="M104" s="2" t="str">
        <f>IF(TRIM(C104)="","Missing",IF(AND(LEN(TRIM(C104))=10,SUMPRODUCT(--(CODE(MID(TRIM(C104),{1,2,3,4,5,10},1))&gt;=65),--(CODE(MID(TRIM(C104),{1,2,3,4,5,10},1))&lt;=90))=6,ISNUMBER(--MID(TRIM(C104),6,4))),"Valid","Invalid"))</f>
        <v>Valid</v>
      </c>
      <c r="N104" s="2" t="str">
        <f t="shared" si="8"/>
        <v>Valid</v>
      </c>
      <c r="O104" s="2" t="str">
        <f t="shared" si="9"/>
        <v>Valid</v>
      </c>
      <c r="P104" s="2" t="str">
        <f t="shared" si="10"/>
        <v>Valid</v>
      </c>
      <c r="Q104" s="2" t="str">
        <f t="shared" si="11"/>
        <v>Missing</v>
      </c>
      <c r="R104" s="2" t="str">
        <f>IF(TRIM(H104)="","Missing",IF(AND(LEN(TRIM(H104))=11,SUMPRODUCT(--(CODE(MID(TRIM(H104),{1,2,3,4},1))&gt;=65),--(CODE(MID(TRIM(H104),{1,2,3,4},1))&lt;=90))=4,MID(TRIM(H104),5,1)="0"),"Valid","Invalid"))</f>
        <v>Valid</v>
      </c>
      <c r="S104" s="2" t="str">
        <f t="shared" si="12"/>
        <v>Valid</v>
      </c>
      <c r="T104" s="2" t="str">
        <f t="shared" si="13"/>
        <v>Valid</v>
      </c>
      <c r="U104" s="2">
        <f t="shared" si="14"/>
        <v>1</v>
      </c>
      <c r="V104" s="2" t="str">
        <f t="shared" si="15"/>
        <v>918439376904</v>
      </c>
    </row>
    <row r="105" spans="1:22" x14ac:dyDescent="0.35">
      <c r="A105" s="2" t="s">
        <v>1948</v>
      </c>
      <c r="B105" s="2" t="s">
        <v>1949</v>
      </c>
      <c r="C105" s="2" t="s">
        <v>1950</v>
      </c>
      <c r="D105" s="2"/>
      <c r="E105" s="2" t="s">
        <v>1951</v>
      </c>
      <c r="F105" s="2" t="s">
        <v>2104</v>
      </c>
      <c r="G105" s="15" t="s">
        <v>1953</v>
      </c>
      <c r="H105" s="2" t="s">
        <v>1954</v>
      </c>
      <c r="I105" s="2" t="s">
        <v>130</v>
      </c>
      <c r="J105" s="2" t="s">
        <v>141</v>
      </c>
      <c r="K105" s="2" t="s">
        <v>121</v>
      </c>
      <c r="L105" s="2" t="s">
        <v>1955</v>
      </c>
      <c r="M105" s="2" t="str">
        <f>IF(TRIM(C105)="","Missing",IF(AND(LEN(TRIM(C105))=10,SUMPRODUCT(--(CODE(MID(TRIM(C105),{1,2,3,4,5,10},1))&gt;=65),--(CODE(MID(TRIM(C105),{1,2,3,4,5,10},1))&lt;=90))=6,ISNUMBER(--MID(TRIM(C105),6,4))),"Valid","Invalid"))</f>
        <v>Valid</v>
      </c>
      <c r="N105" s="2" t="str">
        <f t="shared" si="8"/>
        <v>Missing</v>
      </c>
      <c r="O105" s="2" t="str">
        <f t="shared" si="9"/>
        <v>Valid</v>
      </c>
      <c r="P105" s="2" t="str">
        <f t="shared" si="10"/>
        <v>Valid</v>
      </c>
      <c r="Q105" s="2" t="str">
        <f t="shared" si="11"/>
        <v>Valid</v>
      </c>
      <c r="R105" s="2" t="str">
        <f>IF(TRIM(H105)="","Missing",IF(AND(LEN(TRIM(H105))=11,SUMPRODUCT(--(CODE(MID(TRIM(H105),{1,2,3,4},1))&gt;=65),--(CODE(MID(TRIM(H105),{1,2,3,4},1))&lt;=90))=4,MID(TRIM(H105),5,1)="0"),"Valid","Invalid"))</f>
        <v>Valid</v>
      </c>
      <c r="S105" s="2" t="str">
        <f t="shared" si="12"/>
        <v>Valid</v>
      </c>
      <c r="T105" s="2" t="str">
        <f t="shared" si="13"/>
        <v>Valid</v>
      </c>
      <c r="U105" s="2">
        <f t="shared" si="14"/>
        <v>1</v>
      </c>
      <c r="V105" s="2" t="str">
        <f t="shared" si="15"/>
        <v>918658804341</v>
      </c>
    </row>
    <row r="106" spans="1:22" x14ac:dyDescent="0.35">
      <c r="A106" s="2" t="s">
        <v>1431</v>
      </c>
      <c r="B106" s="2" t="s">
        <v>1432</v>
      </c>
      <c r="C106" s="2" t="s">
        <v>1433</v>
      </c>
      <c r="D106" s="2" t="s">
        <v>1434</v>
      </c>
      <c r="E106" s="2" t="s">
        <v>1435</v>
      </c>
      <c r="F106" s="2" t="s">
        <v>2105</v>
      </c>
      <c r="G106" s="15" t="s">
        <v>1437</v>
      </c>
      <c r="H106" s="2" t="s">
        <v>1438</v>
      </c>
      <c r="I106" s="2" t="s">
        <v>130</v>
      </c>
      <c r="J106" s="2" t="s">
        <v>359</v>
      </c>
      <c r="K106" s="2" t="s">
        <v>121</v>
      </c>
      <c r="L106" s="2" t="s">
        <v>1439</v>
      </c>
      <c r="M106" s="2" t="str">
        <f>IF(TRIM(C106)="","Missing",IF(AND(LEN(TRIM(C106))=10,SUMPRODUCT(--(CODE(MID(TRIM(C106),{1,2,3,4,5,10},1))&gt;=65),--(CODE(MID(TRIM(C106),{1,2,3,4,5,10},1))&lt;=90))=6,ISNUMBER(--MID(TRIM(C106),6,4))),"Valid","Invalid"))</f>
        <v>Valid</v>
      </c>
      <c r="N106" s="2" t="str">
        <f t="shared" si="8"/>
        <v>Valid</v>
      </c>
      <c r="O106" s="2" t="str">
        <f t="shared" si="9"/>
        <v>Valid</v>
      </c>
      <c r="P106" s="2" t="str">
        <f t="shared" si="10"/>
        <v>Valid</v>
      </c>
      <c r="Q106" s="2" t="str">
        <f t="shared" si="11"/>
        <v>Valid</v>
      </c>
      <c r="R106" s="2" t="str">
        <f>IF(TRIM(H106)="","Missing",IF(AND(LEN(TRIM(H106))=11,SUMPRODUCT(--(CODE(MID(TRIM(H106),{1,2,3,4},1))&gt;=65),--(CODE(MID(TRIM(H106),{1,2,3,4},1))&lt;=90))=4,MID(TRIM(H106),5,1)="0"),"Valid","Invalid"))</f>
        <v>Valid</v>
      </c>
      <c r="S106" s="2" t="str">
        <f t="shared" si="12"/>
        <v>Valid</v>
      </c>
      <c r="T106" s="2" t="str">
        <f t="shared" si="13"/>
        <v>Valid</v>
      </c>
      <c r="U106" s="2">
        <f t="shared" si="14"/>
        <v>0</v>
      </c>
      <c r="V106" s="2" t="str">
        <f t="shared" si="15"/>
        <v>918794728463</v>
      </c>
    </row>
    <row r="107" spans="1:22" x14ac:dyDescent="0.35">
      <c r="A107" s="2" t="s">
        <v>633</v>
      </c>
      <c r="B107" s="2" t="s">
        <v>634</v>
      </c>
      <c r="C107" s="2" t="s">
        <v>2106</v>
      </c>
      <c r="D107" s="2" t="s">
        <v>636</v>
      </c>
      <c r="E107" s="2" t="s">
        <v>637</v>
      </c>
      <c r="F107" s="2" t="s">
        <v>2107</v>
      </c>
      <c r="G107" s="15" t="s">
        <v>639</v>
      </c>
      <c r="H107" s="2" t="s">
        <v>640</v>
      </c>
      <c r="I107" s="2" t="s">
        <v>130</v>
      </c>
      <c r="J107" s="2" t="s">
        <v>141</v>
      </c>
      <c r="K107" s="2" t="s">
        <v>121</v>
      </c>
      <c r="L107" s="2" t="s">
        <v>641</v>
      </c>
      <c r="M107" s="2" t="str">
        <f>IF(TRIM(C107)="","Missing",IF(AND(LEN(TRIM(C107))=10,SUMPRODUCT(--(CODE(MID(TRIM(C107),{1,2,3,4,5,10},1))&gt;=65),--(CODE(MID(TRIM(C107),{1,2,3,4,5,10},1))&lt;=90))=6,ISNUMBER(--MID(TRIM(C107),6,4))),"Valid","Invalid"))</f>
        <v>Valid</v>
      </c>
      <c r="N107" s="2" t="str">
        <f t="shared" si="8"/>
        <v>Valid</v>
      </c>
      <c r="O107" s="2" t="str">
        <f t="shared" si="9"/>
        <v>Valid</v>
      </c>
      <c r="P107" s="2" t="str">
        <f t="shared" si="10"/>
        <v>Valid</v>
      </c>
      <c r="Q107" s="2" t="str">
        <f t="shared" si="11"/>
        <v>Valid</v>
      </c>
      <c r="R107" s="2" t="str">
        <f>IF(TRIM(H107)="","Missing",IF(AND(LEN(TRIM(H107))=11,SUMPRODUCT(--(CODE(MID(TRIM(H107),{1,2,3,4},1))&gt;=65),--(CODE(MID(TRIM(H107),{1,2,3,4},1))&lt;=90))=4,MID(TRIM(H107),5,1)="0"),"Valid","Invalid"))</f>
        <v>Valid</v>
      </c>
      <c r="S107" s="2" t="str">
        <f t="shared" si="12"/>
        <v>Valid</v>
      </c>
      <c r="T107" s="2" t="str">
        <f t="shared" si="13"/>
        <v>Valid</v>
      </c>
      <c r="U107" s="2">
        <f t="shared" si="14"/>
        <v>0</v>
      </c>
      <c r="V107" s="2" t="str">
        <f t="shared" si="15"/>
        <v>917655647292</v>
      </c>
    </row>
    <row r="108" spans="1:22" x14ac:dyDescent="0.35">
      <c r="A108" s="2" t="s">
        <v>1002</v>
      </c>
      <c r="B108" s="2" t="s">
        <v>1003</v>
      </c>
      <c r="C108" s="2"/>
      <c r="D108" s="2" t="s">
        <v>1004</v>
      </c>
      <c r="E108" s="2" t="s">
        <v>1005</v>
      </c>
      <c r="F108" s="2" t="s">
        <v>2108</v>
      </c>
      <c r="G108" s="15" t="s">
        <v>1007</v>
      </c>
      <c r="H108" s="2" t="s">
        <v>1008</v>
      </c>
      <c r="I108" s="2" t="s">
        <v>130</v>
      </c>
      <c r="J108" s="2" t="s">
        <v>164</v>
      </c>
      <c r="K108" s="2" t="s">
        <v>121</v>
      </c>
      <c r="L108" s="2" t="s">
        <v>1009</v>
      </c>
      <c r="M108" s="2" t="str">
        <f>IF(TRIM(C108)="","Missing",IF(AND(LEN(TRIM(C108))=10,SUMPRODUCT(--(CODE(MID(TRIM(C108),{1,2,3,4,5,10},1))&gt;=65),--(CODE(MID(TRIM(C108),{1,2,3,4,5,10},1))&lt;=90))=6,ISNUMBER(--MID(TRIM(C108),6,4))),"Valid","Invalid"))</f>
        <v>Missing</v>
      </c>
      <c r="N108" s="2" t="str">
        <f t="shared" si="8"/>
        <v>PAN Mismatch</v>
      </c>
      <c r="O108" s="2" t="str">
        <f t="shared" si="9"/>
        <v>Valid</v>
      </c>
      <c r="P108" s="2" t="str">
        <f t="shared" si="10"/>
        <v>Valid</v>
      </c>
      <c r="Q108" s="2" t="str">
        <f t="shared" si="11"/>
        <v>Valid</v>
      </c>
      <c r="R108" s="2" t="str">
        <f>IF(TRIM(H108)="","Missing",IF(AND(LEN(TRIM(H108))=11,SUMPRODUCT(--(CODE(MID(TRIM(H108),{1,2,3,4},1))&gt;=65),--(CODE(MID(TRIM(H108),{1,2,3,4},1))&lt;=90))=4,MID(TRIM(H108),5,1)="0"),"Valid","Invalid"))</f>
        <v>Invalid</v>
      </c>
      <c r="S108" s="2" t="str">
        <f t="shared" si="12"/>
        <v>Valid</v>
      </c>
      <c r="T108" s="2" t="str">
        <f t="shared" si="13"/>
        <v>Valid</v>
      </c>
      <c r="U108" s="2">
        <f t="shared" si="14"/>
        <v>3</v>
      </c>
      <c r="V108" s="2" t="str">
        <f t="shared" si="15"/>
        <v>918558845061</v>
      </c>
    </row>
    <row r="109" spans="1:22" x14ac:dyDescent="0.35">
      <c r="A109" s="2" t="s">
        <v>969</v>
      </c>
      <c r="B109" s="2" t="s">
        <v>970</v>
      </c>
      <c r="C109" s="2" t="s">
        <v>971</v>
      </c>
      <c r="D109" s="2" t="s">
        <v>972</v>
      </c>
      <c r="E109" s="2" t="s">
        <v>2109</v>
      </c>
      <c r="F109" s="2" t="s">
        <v>2110</v>
      </c>
      <c r="G109" s="15" t="s">
        <v>975</v>
      </c>
      <c r="H109" s="2" t="s">
        <v>976</v>
      </c>
      <c r="I109" s="2" t="s">
        <v>130</v>
      </c>
      <c r="J109" s="2" t="s">
        <v>359</v>
      </c>
      <c r="K109" s="2" t="s">
        <v>121</v>
      </c>
      <c r="L109" s="2" t="s">
        <v>977</v>
      </c>
      <c r="M109" s="2" t="str">
        <f>IF(TRIM(C109)="","Missing",IF(AND(LEN(TRIM(C109))=10,SUMPRODUCT(--(CODE(MID(TRIM(C109),{1,2,3,4,5,10},1))&gt;=65),--(CODE(MID(TRIM(C109),{1,2,3,4,5,10},1))&lt;=90))=6,ISNUMBER(--MID(TRIM(C109),6,4))),"Valid","Invalid"))</f>
        <v>Valid</v>
      </c>
      <c r="N109" s="2" t="str">
        <f t="shared" si="8"/>
        <v>Valid</v>
      </c>
      <c r="O109" s="2" t="str">
        <f t="shared" si="9"/>
        <v>Valid</v>
      </c>
      <c r="P109" s="2" t="str">
        <f t="shared" si="10"/>
        <v>Valid</v>
      </c>
      <c r="Q109" s="2" t="str">
        <f t="shared" si="11"/>
        <v>Valid</v>
      </c>
      <c r="R109" s="2" t="str">
        <f>IF(TRIM(H109)="","Missing",IF(AND(LEN(TRIM(H109))=11,SUMPRODUCT(--(CODE(MID(TRIM(H109),{1,2,3,4},1))&gt;=65),--(CODE(MID(TRIM(H109),{1,2,3,4},1))&lt;=90))=4,MID(TRIM(H109),5,1)="0"),"Valid","Invalid"))</f>
        <v>Valid</v>
      </c>
      <c r="S109" s="2" t="str">
        <f t="shared" si="12"/>
        <v>Valid</v>
      </c>
      <c r="T109" s="2" t="str">
        <f t="shared" si="13"/>
        <v>Valid</v>
      </c>
      <c r="U109" s="2">
        <f t="shared" si="14"/>
        <v>0</v>
      </c>
      <c r="V109" s="2" t="str">
        <f t="shared" si="15"/>
        <v>919598762202</v>
      </c>
    </row>
    <row r="110" spans="1:22" x14ac:dyDescent="0.35">
      <c r="A110" s="2" t="s">
        <v>701</v>
      </c>
      <c r="B110" s="2" t="s">
        <v>702</v>
      </c>
      <c r="C110" s="2" t="s">
        <v>703</v>
      </c>
      <c r="D110" s="2" t="s">
        <v>704</v>
      </c>
      <c r="E110" s="2" t="s">
        <v>705</v>
      </c>
      <c r="F110" s="2" t="s">
        <v>2111</v>
      </c>
      <c r="G110" s="15"/>
      <c r="H110" s="2"/>
      <c r="I110" s="2" t="s">
        <v>130</v>
      </c>
      <c r="J110" s="2" t="s">
        <v>141</v>
      </c>
      <c r="K110" s="2" t="s">
        <v>142</v>
      </c>
      <c r="L110" s="2" t="s">
        <v>707</v>
      </c>
      <c r="M110" s="2" t="str">
        <f>IF(TRIM(C110)="","Missing",IF(AND(LEN(TRIM(C110))=10,SUMPRODUCT(--(CODE(MID(TRIM(C110),{1,2,3,4,5,10},1))&gt;=65),--(CODE(MID(TRIM(C110),{1,2,3,4,5,10},1))&lt;=90))=6,ISNUMBER(--MID(TRIM(C110),6,4))),"Valid","Invalid"))</f>
        <v>Valid</v>
      </c>
      <c r="N110" s="2" t="str">
        <f t="shared" si="8"/>
        <v>Valid</v>
      </c>
      <c r="O110" s="2" t="str">
        <f t="shared" si="9"/>
        <v>Valid</v>
      </c>
      <c r="P110" s="2" t="str">
        <f t="shared" si="10"/>
        <v>Valid</v>
      </c>
      <c r="Q110" s="2" t="str">
        <f t="shared" si="11"/>
        <v>Missing</v>
      </c>
      <c r="R110" s="2" t="str">
        <f>IF(TRIM(H110)="","Missing",IF(AND(LEN(TRIM(H110))=11,SUMPRODUCT(--(CODE(MID(TRIM(H110),{1,2,3,4},1))&gt;=65),--(CODE(MID(TRIM(H110),{1,2,3,4},1))&lt;=90))=4,MID(TRIM(H110),5,1)="0"),"Valid","Invalid"))</f>
        <v>Missing</v>
      </c>
      <c r="S110" s="2" t="str">
        <f t="shared" si="12"/>
        <v>Valid</v>
      </c>
      <c r="T110" s="2" t="str">
        <f t="shared" si="13"/>
        <v>Valid</v>
      </c>
      <c r="U110" s="2">
        <f t="shared" si="14"/>
        <v>2</v>
      </c>
      <c r="V110" s="2" t="str">
        <f t="shared" si="15"/>
        <v>916557784872</v>
      </c>
    </row>
    <row r="111" spans="1:22" x14ac:dyDescent="0.35">
      <c r="A111" s="2" t="s">
        <v>1688</v>
      </c>
      <c r="B111" s="2" t="s">
        <v>1689</v>
      </c>
      <c r="C111" s="2" t="s">
        <v>1690</v>
      </c>
      <c r="D111" s="2" t="s">
        <v>1691</v>
      </c>
      <c r="E111" s="2" t="s">
        <v>1692</v>
      </c>
      <c r="F111" s="2" t="s">
        <v>2112</v>
      </c>
      <c r="G111" s="15" t="s">
        <v>1694</v>
      </c>
      <c r="H111" s="2" t="s">
        <v>1695</v>
      </c>
      <c r="I111" s="2" t="s">
        <v>130</v>
      </c>
      <c r="J111" s="2" t="s">
        <v>141</v>
      </c>
      <c r="K111" s="2" t="s">
        <v>121</v>
      </c>
      <c r="L111" s="2" t="s">
        <v>675</v>
      </c>
      <c r="M111" s="2" t="str">
        <f>IF(TRIM(C111)="","Missing",IF(AND(LEN(TRIM(C111))=10,SUMPRODUCT(--(CODE(MID(TRIM(C111),{1,2,3,4,5,10},1))&gt;=65),--(CODE(MID(TRIM(C111),{1,2,3,4,5,10},1))&lt;=90))=6,ISNUMBER(--MID(TRIM(C111),6,4))),"Valid","Invalid"))</f>
        <v>Valid</v>
      </c>
      <c r="N111" s="2" t="str">
        <f t="shared" si="8"/>
        <v>Valid</v>
      </c>
      <c r="O111" s="2" t="str">
        <f t="shared" si="9"/>
        <v>Valid</v>
      </c>
      <c r="P111" s="2" t="str">
        <f t="shared" si="10"/>
        <v>Valid</v>
      </c>
      <c r="Q111" s="2" t="str">
        <f t="shared" si="11"/>
        <v>Valid</v>
      </c>
      <c r="R111" s="2" t="str">
        <f>IF(TRIM(H111)="","Missing",IF(AND(LEN(TRIM(H111))=11,SUMPRODUCT(--(CODE(MID(TRIM(H111),{1,2,3,4},1))&gt;=65),--(CODE(MID(TRIM(H111),{1,2,3,4},1))&lt;=90))=4,MID(TRIM(H111),5,1)="0"),"Valid","Invalid"))</f>
        <v>Valid</v>
      </c>
      <c r="S111" s="2" t="str">
        <f t="shared" si="12"/>
        <v>Valid</v>
      </c>
      <c r="T111" s="2" t="str">
        <f t="shared" si="13"/>
        <v>Valid</v>
      </c>
      <c r="U111" s="2">
        <f t="shared" si="14"/>
        <v>0</v>
      </c>
      <c r="V111" s="2" t="str">
        <f t="shared" si="15"/>
        <v>919493085368</v>
      </c>
    </row>
    <row r="112" spans="1:22" x14ac:dyDescent="0.35">
      <c r="A112" s="2" t="s">
        <v>1227</v>
      </c>
      <c r="B112" s="2" t="s">
        <v>1228</v>
      </c>
      <c r="C112" s="2"/>
      <c r="D112" s="2" t="s">
        <v>478</v>
      </c>
      <c r="E112" s="2" t="s">
        <v>479</v>
      </c>
      <c r="F112" s="2" t="s">
        <v>2113</v>
      </c>
      <c r="G112" s="15" t="s">
        <v>481</v>
      </c>
      <c r="H112" s="2" t="s">
        <v>482</v>
      </c>
      <c r="I112" s="2" t="s">
        <v>130</v>
      </c>
      <c r="J112" s="2" t="s">
        <v>174</v>
      </c>
      <c r="K112" s="2" t="s">
        <v>121</v>
      </c>
      <c r="L112" s="2" t="s">
        <v>1229</v>
      </c>
      <c r="M112" s="2" t="str">
        <f>IF(TRIM(C112)="","Missing",IF(AND(LEN(TRIM(C112))=10,SUMPRODUCT(--(CODE(MID(TRIM(C112),{1,2,3,4,5,10},1))&gt;=65),--(CODE(MID(TRIM(C112),{1,2,3,4,5,10},1))&lt;=90))=6,ISNUMBER(--MID(TRIM(C112),6,4))),"Valid","Invalid"))</f>
        <v>Missing</v>
      </c>
      <c r="N112" s="2" t="str">
        <f t="shared" si="8"/>
        <v>PAN Mismatch</v>
      </c>
      <c r="O112" s="2" t="str">
        <f t="shared" si="9"/>
        <v>Valid</v>
      </c>
      <c r="P112" s="2" t="str">
        <f t="shared" si="10"/>
        <v>Valid</v>
      </c>
      <c r="Q112" s="2" t="str">
        <f t="shared" si="11"/>
        <v>Valid</v>
      </c>
      <c r="R112" s="2" t="str">
        <f>IF(TRIM(H112)="","Missing",IF(AND(LEN(TRIM(H112))=11,SUMPRODUCT(--(CODE(MID(TRIM(H112),{1,2,3,4},1))&gt;=65),--(CODE(MID(TRIM(H112),{1,2,3,4},1))&lt;=90))=4,MID(TRIM(H112),5,1)="0"),"Valid","Invalid"))</f>
        <v>Valid</v>
      </c>
      <c r="S112" s="2" t="str">
        <f t="shared" si="12"/>
        <v>Valid</v>
      </c>
      <c r="T112" s="2" t="str">
        <f t="shared" si="13"/>
        <v>Valid</v>
      </c>
      <c r="U112" s="2">
        <f t="shared" si="14"/>
        <v>2</v>
      </c>
      <c r="V112" s="2" t="str">
        <f t="shared" si="15"/>
        <v>917144270312</v>
      </c>
    </row>
    <row r="113" spans="1:22" x14ac:dyDescent="0.35">
      <c r="A113" s="2" t="s">
        <v>1616</v>
      </c>
      <c r="B113" s="2" t="s">
        <v>1617</v>
      </c>
      <c r="C113" s="2" t="s">
        <v>1618</v>
      </c>
      <c r="D113" s="2" t="s">
        <v>1619</v>
      </c>
      <c r="E113" s="2" t="s">
        <v>1620</v>
      </c>
      <c r="F113" s="2" t="s">
        <v>2114</v>
      </c>
      <c r="G113" s="15" t="s">
        <v>1622</v>
      </c>
      <c r="H113" s="2" t="s">
        <v>1623</v>
      </c>
      <c r="I113" s="2" t="s">
        <v>130</v>
      </c>
      <c r="J113" s="2" t="s">
        <v>359</v>
      </c>
      <c r="K113" s="2" t="s">
        <v>121</v>
      </c>
      <c r="L113" s="2" t="s">
        <v>1624</v>
      </c>
      <c r="M113" s="2" t="str">
        <f>IF(TRIM(C113)="","Missing",IF(AND(LEN(TRIM(C113))=10,SUMPRODUCT(--(CODE(MID(TRIM(C113),{1,2,3,4,5,10},1))&gt;=65),--(CODE(MID(TRIM(C113),{1,2,3,4,5,10},1))&lt;=90))=6,ISNUMBER(--MID(TRIM(C113),6,4))),"Valid","Invalid"))</f>
        <v>Valid</v>
      </c>
      <c r="N113" s="2" t="str">
        <f t="shared" si="8"/>
        <v>Valid</v>
      </c>
      <c r="O113" s="2" t="str">
        <f t="shared" si="9"/>
        <v>Valid</v>
      </c>
      <c r="P113" s="2" t="str">
        <f t="shared" si="10"/>
        <v>Valid</v>
      </c>
      <c r="Q113" s="2" t="str">
        <f t="shared" si="11"/>
        <v>Valid</v>
      </c>
      <c r="R113" s="2" t="str">
        <f>IF(TRIM(H113)="","Missing",IF(AND(LEN(TRIM(H113))=11,SUMPRODUCT(--(CODE(MID(TRIM(H113),{1,2,3,4},1))&gt;=65),--(CODE(MID(TRIM(H113),{1,2,3,4},1))&lt;=90))=4,MID(TRIM(H113),5,1)="0"),"Valid","Invalid"))</f>
        <v>Valid</v>
      </c>
      <c r="S113" s="2" t="str">
        <f t="shared" si="12"/>
        <v>Valid</v>
      </c>
      <c r="T113" s="2" t="str">
        <f t="shared" si="13"/>
        <v>Valid</v>
      </c>
      <c r="U113" s="2">
        <f t="shared" si="14"/>
        <v>0</v>
      </c>
      <c r="V113" s="2" t="str">
        <f t="shared" si="15"/>
        <v>916837645208</v>
      </c>
    </row>
    <row r="114" spans="1:22" x14ac:dyDescent="0.35">
      <c r="A114" s="2" t="s">
        <v>1182</v>
      </c>
      <c r="B114" s="2" t="s">
        <v>1183</v>
      </c>
      <c r="C114" s="2" t="s">
        <v>1184</v>
      </c>
      <c r="D114" s="2" t="s">
        <v>1185</v>
      </c>
      <c r="E114" s="2" t="s">
        <v>2115</v>
      </c>
      <c r="F114" s="2" t="s">
        <v>2116</v>
      </c>
      <c r="G114" s="15" t="s">
        <v>1188</v>
      </c>
      <c r="H114" s="2" t="s">
        <v>2117</v>
      </c>
      <c r="I114" s="2" t="s">
        <v>130</v>
      </c>
      <c r="J114" s="2" t="s">
        <v>164</v>
      </c>
      <c r="K114" s="2" t="s">
        <v>121</v>
      </c>
      <c r="L114" s="2" t="s">
        <v>1190</v>
      </c>
      <c r="M114" s="2" t="str">
        <f>IF(TRIM(C114)="","Missing",IF(AND(LEN(TRIM(C114))=10,SUMPRODUCT(--(CODE(MID(TRIM(C114),{1,2,3,4,5,10},1))&gt;=65),--(CODE(MID(TRIM(C114),{1,2,3,4,5,10},1))&lt;=90))=6,ISNUMBER(--MID(TRIM(C114),6,4))),"Valid","Invalid"))</f>
        <v>Valid</v>
      </c>
      <c r="N114" s="2" t="str">
        <f t="shared" si="8"/>
        <v>Valid</v>
      </c>
      <c r="O114" s="2" t="str">
        <f t="shared" si="9"/>
        <v>Valid</v>
      </c>
      <c r="P114" s="2" t="str">
        <f t="shared" si="10"/>
        <v>Valid</v>
      </c>
      <c r="Q114" s="2" t="str">
        <f t="shared" si="11"/>
        <v>Valid</v>
      </c>
      <c r="R114" s="2" t="str">
        <f>IF(TRIM(H114)="","Missing",IF(AND(LEN(TRIM(H114))=11,SUMPRODUCT(--(CODE(MID(TRIM(H114),{1,2,3,4},1))&gt;=65),--(CODE(MID(TRIM(H114),{1,2,3,4},1))&lt;=90))=4,MID(TRIM(H114),5,1)="0"),"Valid","Invalid"))</f>
        <v>Valid</v>
      </c>
      <c r="S114" s="2" t="str">
        <f t="shared" si="12"/>
        <v>Valid</v>
      </c>
      <c r="T114" s="2" t="str">
        <f t="shared" si="13"/>
        <v>Valid</v>
      </c>
      <c r="U114" s="2">
        <f t="shared" si="14"/>
        <v>0</v>
      </c>
      <c r="V114" s="2" t="str">
        <f t="shared" si="15"/>
        <v>916528127358</v>
      </c>
    </row>
    <row r="115" spans="1:22" x14ac:dyDescent="0.35">
      <c r="A115" s="2" t="s">
        <v>1045</v>
      </c>
      <c r="B115" s="2" t="s">
        <v>1046</v>
      </c>
      <c r="C115" s="2" t="s">
        <v>1047</v>
      </c>
      <c r="D115" s="2" t="s">
        <v>1048</v>
      </c>
      <c r="E115" s="2" t="s">
        <v>1049</v>
      </c>
      <c r="F115" s="2" t="s">
        <v>2118</v>
      </c>
      <c r="G115" s="15" t="s">
        <v>1051</v>
      </c>
      <c r="H115" s="2" t="s">
        <v>1052</v>
      </c>
      <c r="I115" s="2" t="s">
        <v>130</v>
      </c>
      <c r="J115" s="2" t="s">
        <v>164</v>
      </c>
      <c r="K115" s="2" t="s">
        <v>121</v>
      </c>
      <c r="L115" s="2" t="s">
        <v>1053</v>
      </c>
      <c r="M115" s="2" t="str">
        <f>IF(TRIM(C115)="","Missing",IF(AND(LEN(TRIM(C115))=10,SUMPRODUCT(--(CODE(MID(TRIM(C115),{1,2,3,4,5,10},1))&gt;=65),--(CODE(MID(TRIM(C115),{1,2,3,4,5,10},1))&lt;=90))=6,ISNUMBER(--MID(TRIM(C115),6,4))),"Valid","Invalid"))</f>
        <v>Valid</v>
      </c>
      <c r="N115" s="2" t="str">
        <f t="shared" si="8"/>
        <v>Valid</v>
      </c>
      <c r="O115" s="2" t="str">
        <f t="shared" si="9"/>
        <v>Valid</v>
      </c>
      <c r="P115" s="2" t="str">
        <f t="shared" si="10"/>
        <v>Valid</v>
      </c>
      <c r="Q115" s="2" t="str">
        <f t="shared" si="11"/>
        <v>Valid</v>
      </c>
      <c r="R115" s="2" t="str">
        <f>IF(TRIM(H115)="","Missing",IF(AND(LEN(TRIM(H115))=11,SUMPRODUCT(--(CODE(MID(TRIM(H115),{1,2,3,4},1))&gt;=65),--(CODE(MID(TRIM(H115),{1,2,3,4},1))&lt;=90))=4,MID(TRIM(H115),5,1)="0"),"Valid","Invalid"))</f>
        <v>Valid</v>
      </c>
      <c r="S115" s="2" t="str">
        <f t="shared" si="12"/>
        <v>Valid</v>
      </c>
      <c r="T115" s="2" t="str">
        <f t="shared" si="13"/>
        <v>Valid</v>
      </c>
      <c r="U115" s="2">
        <f t="shared" si="14"/>
        <v>0</v>
      </c>
      <c r="V115" s="2" t="str">
        <f t="shared" si="15"/>
        <v>917095935186</v>
      </c>
    </row>
    <row r="116" spans="1:22" x14ac:dyDescent="0.35">
      <c r="A116" s="2" t="s">
        <v>1828</v>
      </c>
      <c r="B116" s="2" t="s">
        <v>1829</v>
      </c>
      <c r="C116" s="2" t="s">
        <v>1830</v>
      </c>
      <c r="D116" s="2" t="s">
        <v>1831</v>
      </c>
      <c r="E116" s="2" t="s">
        <v>1832</v>
      </c>
      <c r="F116" s="2" t="s">
        <v>2119</v>
      </c>
      <c r="G116" s="15" t="s">
        <v>1834</v>
      </c>
      <c r="H116" s="2" t="s">
        <v>1835</v>
      </c>
      <c r="I116" s="2" t="s">
        <v>130</v>
      </c>
      <c r="J116" s="2" t="s">
        <v>174</v>
      </c>
      <c r="K116" s="2" t="s">
        <v>121</v>
      </c>
      <c r="L116" s="2" t="s">
        <v>1836</v>
      </c>
      <c r="M116" s="2" t="str">
        <f>IF(TRIM(C116)="","Missing",IF(AND(LEN(TRIM(C116))=10,SUMPRODUCT(--(CODE(MID(TRIM(C116),{1,2,3,4,5,10},1))&gt;=65),--(CODE(MID(TRIM(C116),{1,2,3,4,5,10},1))&lt;=90))=6,ISNUMBER(--MID(TRIM(C116),6,4))),"Valid","Invalid"))</f>
        <v>Valid</v>
      </c>
      <c r="N116" s="2" t="str">
        <f t="shared" si="8"/>
        <v>Valid</v>
      </c>
      <c r="O116" s="2" t="str">
        <f t="shared" si="9"/>
        <v>Valid</v>
      </c>
      <c r="P116" s="2" t="str">
        <f t="shared" si="10"/>
        <v>Valid</v>
      </c>
      <c r="Q116" s="2" t="str">
        <f t="shared" si="11"/>
        <v>Valid</v>
      </c>
      <c r="R116" s="2" t="str">
        <f>IF(TRIM(H116)="","Missing",IF(AND(LEN(TRIM(H116))=11,SUMPRODUCT(--(CODE(MID(TRIM(H116),{1,2,3,4},1))&gt;=65),--(CODE(MID(TRIM(H116),{1,2,3,4},1))&lt;=90))=4,MID(TRIM(H116),5,1)="0"),"Valid","Invalid"))</f>
        <v>Valid</v>
      </c>
      <c r="S116" s="2" t="str">
        <f t="shared" si="12"/>
        <v>Valid</v>
      </c>
      <c r="T116" s="2" t="str">
        <f t="shared" si="13"/>
        <v>Valid</v>
      </c>
      <c r="U116" s="2">
        <f t="shared" si="14"/>
        <v>0</v>
      </c>
      <c r="V116" s="2" t="str">
        <f t="shared" si="15"/>
        <v>916037170586</v>
      </c>
    </row>
    <row r="117" spans="1:22" x14ac:dyDescent="0.35">
      <c r="A117" s="2" t="s">
        <v>1956</v>
      </c>
      <c r="B117" s="2" t="s">
        <v>1957</v>
      </c>
      <c r="C117" s="2" t="s">
        <v>1958</v>
      </c>
      <c r="D117" s="2" t="s">
        <v>1959</v>
      </c>
      <c r="E117" s="2" t="s">
        <v>1960</v>
      </c>
      <c r="F117" s="2" t="s">
        <v>2120</v>
      </c>
      <c r="G117" s="15" t="s">
        <v>1962</v>
      </c>
      <c r="H117" s="2" t="s">
        <v>2121</v>
      </c>
      <c r="I117" s="2" t="s">
        <v>130</v>
      </c>
      <c r="J117" s="2" t="s">
        <v>141</v>
      </c>
      <c r="K117" s="2" t="s">
        <v>142</v>
      </c>
      <c r="L117" s="2" t="s">
        <v>1964</v>
      </c>
      <c r="M117" s="2" t="str">
        <f>IF(TRIM(C117)="","Missing",IF(AND(LEN(TRIM(C117))=10,SUMPRODUCT(--(CODE(MID(TRIM(C117),{1,2,3,4,5,10},1))&gt;=65),--(CODE(MID(TRIM(C117),{1,2,3,4,5,10},1))&lt;=90))=6,ISNUMBER(--MID(TRIM(C117),6,4))),"Valid","Invalid"))</f>
        <v>Valid</v>
      </c>
      <c r="N117" s="2" t="str">
        <f t="shared" si="8"/>
        <v>Valid</v>
      </c>
      <c r="O117" s="2" t="str">
        <f t="shared" si="9"/>
        <v>Valid</v>
      </c>
      <c r="P117" s="2" t="str">
        <f t="shared" si="10"/>
        <v>Valid</v>
      </c>
      <c r="Q117" s="2" t="str">
        <f t="shared" si="11"/>
        <v>Valid</v>
      </c>
      <c r="R117" s="2" t="str">
        <f>IF(TRIM(H117)="","Missing",IF(AND(LEN(TRIM(H117))=11,SUMPRODUCT(--(CODE(MID(TRIM(H117),{1,2,3,4},1))&gt;=65),--(CODE(MID(TRIM(H117),{1,2,3,4},1))&lt;=90))=4,MID(TRIM(H117),5,1)="0"),"Valid","Invalid"))</f>
        <v>Valid</v>
      </c>
      <c r="S117" s="2" t="str">
        <f t="shared" si="12"/>
        <v>Valid</v>
      </c>
      <c r="T117" s="2" t="str">
        <f t="shared" si="13"/>
        <v>Valid</v>
      </c>
      <c r="U117" s="2">
        <f t="shared" si="14"/>
        <v>0</v>
      </c>
      <c r="V117" s="2" t="str">
        <f t="shared" si="15"/>
        <v>918289755855</v>
      </c>
    </row>
    <row r="118" spans="1:22" x14ac:dyDescent="0.35">
      <c r="A118" s="2" t="s">
        <v>555</v>
      </c>
      <c r="B118" s="2" t="s">
        <v>556</v>
      </c>
      <c r="C118" s="2" t="s">
        <v>557</v>
      </c>
      <c r="D118" s="2" t="s">
        <v>558</v>
      </c>
      <c r="E118" s="2" t="s">
        <v>559</v>
      </c>
      <c r="F118" s="2" t="s">
        <v>2122</v>
      </c>
      <c r="G118" s="15" t="s">
        <v>561</v>
      </c>
      <c r="H118" s="2" t="s">
        <v>562</v>
      </c>
      <c r="I118" s="2" t="s">
        <v>130</v>
      </c>
      <c r="J118" s="2" t="s">
        <v>141</v>
      </c>
      <c r="K118" s="2" t="s">
        <v>121</v>
      </c>
      <c r="L118" s="2" t="s">
        <v>564</v>
      </c>
      <c r="M118" s="2" t="str">
        <f>IF(TRIM(C118)="","Missing",IF(AND(LEN(TRIM(C118))=10,SUMPRODUCT(--(CODE(MID(TRIM(C118),{1,2,3,4,5,10},1))&gt;=65),--(CODE(MID(TRIM(C118),{1,2,3,4,5,10},1))&lt;=90))=6,ISNUMBER(--MID(TRIM(C118),6,4))),"Valid","Invalid"))</f>
        <v>Valid</v>
      </c>
      <c r="N118" s="2" t="str">
        <f t="shared" si="8"/>
        <v>Valid</v>
      </c>
      <c r="O118" s="2" t="str">
        <f t="shared" si="9"/>
        <v>Valid</v>
      </c>
      <c r="P118" s="2" t="str">
        <f t="shared" si="10"/>
        <v>Valid</v>
      </c>
      <c r="Q118" s="2" t="str">
        <f t="shared" si="11"/>
        <v>Valid</v>
      </c>
      <c r="R118" s="2" t="str">
        <f>IF(TRIM(H118)="","Missing",IF(AND(LEN(TRIM(H118))=11,SUMPRODUCT(--(CODE(MID(TRIM(H118),{1,2,3,4},1))&gt;=65),--(CODE(MID(TRIM(H118),{1,2,3,4},1))&lt;=90))=4,MID(TRIM(H118),5,1)="0"),"Valid","Invalid"))</f>
        <v>Valid</v>
      </c>
      <c r="S118" s="2" t="str">
        <f t="shared" si="12"/>
        <v>Valid</v>
      </c>
      <c r="T118" s="2" t="str">
        <f t="shared" si="13"/>
        <v>Valid</v>
      </c>
      <c r="U118" s="2">
        <f t="shared" si="14"/>
        <v>0</v>
      </c>
      <c r="V118" s="2" t="str">
        <f t="shared" si="15"/>
        <v>916752245933</v>
      </c>
    </row>
    <row r="119" spans="1:22" x14ac:dyDescent="0.35">
      <c r="A119" s="2" t="s">
        <v>1560</v>
      </c>
      <c r="B119" s="2" t="s">
        <v>1561</v>
      </c>
      <c r="C119" s="2" t="s">
        <v>1562</v>
      </c>
      <c r="D119" s="2" t="s">
        <v>1563</v>
      </c>
      <c r="E119" s="2" t="s">
        <v>2123</v>
      </c>
      <c r="F119" s="2" t="s">
        <v>2124</v>
      </c>
      <c r="G119" s="15" t="s">
        <v>1566</v>
      </c>
      <c r="H119" s="2" t="s">
        <v>1567</v>
      </c>
      <c r="I119" s="2" t="s">
        <v>130</v>
      </c>
      <c r="J119" s="2" t="s">
        <v>174</v>
      </c>
      <c r="K119" s="2" t="s">
        <v>121</v>
      </c>
      <c r="L119" s="2" t="s">
        <v>1568</v>
      </c>
      <c r="M119" s="2" t="str">
        <f>IF(TRIM(C119)="","Missing",IF(AND(LEN(TRIM(C119))=10,SUMPRODUCT(--(CODE(MID(TRIM(C119),{1,2,3,4,5,10},1))&gt;=65),--(CODE(MID(TRIM(C119),{1,2,3,4,5,10},1))&lt;=90))=6,ISNUMBER(--MID(TRIM(C119),6,4))),"Valid","Invalid"))</f>
        <v>Valid</v>
      </c>
      <c r="N119" s="2" t="str">
        <f t="shared" si="8"/>
        <v>Valid</v>
      </c>
      <c r="O119" s="2" t="str">
        <f t="shared" si="9"/>
        <v>Valid</v>
      </c>
      <c r="P119" s="2" t="str">
        <f t="shared" si="10"/>
        <v>Valid</v>
      </c>
      <c r="Q119" s="2" t="str">
        <f t="shared" si="11"/>
        <v>Valid</v>
      </c>
      <c r="R119" s="2" t="str">
        <f>IF(TRIM(H119)="","Missing",IF(AND(LEN(TRIM(H119))=11,SUMPRODUCT(--(CODE(MID(TRIM(H119),{1,2,3,4},1))&gt;=65),--(CODE(MID(TRIM(H119),{1,2,3,4},1))&lt;=90))=4,MID(TRIM(H119),5,1)="0"),"Valid","Invalid"))</f>
        <v>Valid</v>
      </c>
      <c r="S119" s="2" t="str">
        <f t="shared" si="12"/>
        <v>Valid</v>
      </c>
      <c r="T119" s="2" t="str">
        <f t="shared" si="13"/>
        <v>Valid</v>
      </c>
      <c r="U119" s="2">
        <f t="shared" si="14"/>
        <v>0</v>
      </c>
      <c r="V119" s="2" t="str">
        <f t="shared" si="15"/>
        <v>917583206799</v>
      </c>
    </row>
    <row r="120" spans="1:22" x14ac:dyDescent="0.35">
      <c r="A120" s="2" t="s">
        <v>1643</v>
      </c>
      <c r="B120" s="2" t="s">
        <v>1644</v>
      </c>
      <c r="C120" s="2" t="s">
        <v>1645</v>
      </c>
      <c r="D120" s="2" t="s">
        <v>1646</v>
      </c>
      <c r="E120" s="2" t="s">
        <v>1647</v>
      </c>
      <c r="F120" s="2" t="s">
        <v>2125</v>
      </c>
      <c r="G120" s="15" t="s">
        <v>1649</v>
      </c>
      <c r="H120" s="2" t="s">
        <v>1650</v>
      </c>
      <c r="I120" s="2" t="s">
        <v>130</v>
      </c>
      <c r="J120" s="2" t="s">
        <v>359</v>
      </c>
      <c r="K120" s="2" t="s">
        <v>121</v>
      </c>
      <c r="L120" s="2" t="s">
        <v>1651</v>
      </c>
      <c r="M120" s="2" t="str">
        <f>IF(TRIM(C120)="","Missing",IF(AND(LEN(TRIM(C120))=10,SUMPRODUCT(--(CODE(MID(TRIM(C120),{1,2,3,4,5,10},1))&gt;=65),--(CODE(MID(TRIM(C120),{1,2,3,4,5,10},1))&lt;=90))=6,ISNUMBER(--MID(TRIM(C120),6,4))),"Valid","Invalid"))</f>
        <v>Valid</v>
      </c>
      <c r="N120" s="2" t="str">
        <f t="shared" si="8"/>
        <v>Valid</v>
      </c>
      <c r="O120" s="2" t="str">
        <f t="shared" si="9"/>
        <v>Valid</v>
      </c>
      <c r="P120" s="2" t="str">
        <f t="shared" si="10"/>
        <v>Valid</v>
      </c>
      <c r="Q120" s="2" t="str">
        <f t="shared" si="11"/>
        <v>Valid</v>
      </c>
      <c r="R120" s="2" t="str">
        <f>IF(TRIM(H120)="","Missing",IF(AND(LEN(TRIM(H120))=11,SUMPRODUCT(--(CODE(MID(TRIM(H120),{1,2,3,4},1))&gt;=65),--(CODE(MID(TRIM(H120),{1,2,3,4},1))&lt;=90))=4,MID(TRIM(H120),5,1)="0"),"Valid","Invalid"))</f>
        <v>Invalid</v>
      </c>
      <c r="S120" s="2" t="str">
        <f t="shared" si="12"/>
        <v>Valid</v>
      </c>
      <c r="T120" s="2" t="str">
        <f t="shared" si="13"/>
        <v>Valid</v>
      </c>
      <c r="U120" s="2">
        <f t="shared" si="14"/>
        <v>1</v>
      </c>
      <c r="V120" s="2" t="str">
        <f t="shared" si="15"/>
        <v>916465911665</v>
      </c>
    </row>
    <row r="121" spans="1:22" x14ac:dyDescent="0.35">
      <c r="A121" s="2" t="s">
        <v>1845</v>
      </c>
      <c r="B121" s="2" t="s">
        <v>1846</v>
      </c>
      <c r="C121" s="2"/>
      <c r="D121" s="2" t="s">
        <v>1847</v>
      </c>
      <c r="E121" s="2" t="s">
        <v>1848</v>
      </c>
      <c r="F121" s="2" t="s">
        <v>2126</v>
      </c>
      <c r="G121" s="15" t="s">
        <v>1850</v>
      </c>
      <c r="H121" s="2" t="s">
        <v>1851</v>
      </c>
      <c r="I121" s="2" t="s">
        <v>130</v>
      </c>
      <c r="J121" s="2" t="s">
        <v>174</v>
      </c>
      <c r="K121" s="2" t="s">
        <v>121</v>
      </c>
      <c r="L121" s="2" t="s">
        <v>1852</v>
      </c>
      <c r="M121" s="2" t="str">
        <f>IF(TRIM(C121)="","Missing",IF(AND(LEN(TRIM(C121))=10,SUMPRODUCT(--(CODE(MID(TRIM(C121),{1,2,3,4,5,10},1))&gt;=65),--(CODE(MID(TRIM(C121),{1,2,3,4,5,10},1))&lt;=90))=6,ISNUMBER(--MID(TRIM(C121),6,4))),"Valid","Invalid"))</f>
        <v>Missing</v>
      </c>
      <c r="N121" s="2" t="str">
        <f t="shared" si="8"/>
        <v>PAN Mismatch</v>
      </c>
      <c r="O121" s="2" t="str">
        <f t="shared" si="9"/>
        <v>Valid</v>
      </c>
      <c r="P121" s="2" t="str">
        <f t="shared" si="10"/>
        <v>Valid</v>
      </c>
      <c r="Q121" s="2" t="str">
        <f t="shared" si="11"/>
        <v>Valid</v>
      </c>
      <c r="R121" s="2" t="str">
        <f>IF(TRIM(H121)="","Missing",IF(AND(LEN(TRIM(H121))=11,SUMPRODUCT(--(CODE(MID(TRIM(H121),{1,2,3,4},1))&gt;=65),--(CODE(MID(TRIM(H121),{1,2,3,4},1))&lt;=90))=4,MID(TRIM(H121),5,1)="0"),"Valid","Invalid"))</f>
        <v>Valid</v>
      </c>
      <c r="S121" s="2" t="str">
        <f t="shared" si="12"/>
        <v>Valid</v>
      </c>
      <c r="T121" s="2" t="str">
        <f t="shared" si="13"/>
        <v>Valid</v>
      </c>
      <c r="U121" s="2">
        <f t="shared" si="14"/>
        <v>2</v>
      </c>
      <c r="V121" s="2" t="str">
        <f t="shared" si="15"/>
        <v>917884879206</v>
      </c>
    </row>
    <row r="122" spans="1:22" x14ac:dyDescent="0.35">
      <c r="A122" s="2" t="s">
        <v>422</v>
      </c>
      <c r="B122" s="2" t="s">
        <v>423</v>
      </c>
      <c r="C122" s="2" t="s">
        <v>424</v>
      </c>
      <c r="D122" s="2" t="s">
        <v>425</v>
      </c>
      <c r="E122" s="2" t="s">
        <v>426</v>
      </c>
      <c r="F122" s="2" t="s">
        <v>2127</v>
      </c>
      <c r="G122" s="15" t="s">
        <v>428</v>
      </c>
      <c r="H122" s="2" t="s">
        <v>429</v>
      </c>
      <c r="I122" s="2" t="s">
        <v>130</v>
      </c>
      <c r="J122" s="2" t="s">
        <v>174</v>
      </c>
      <c r="K122" s="2" t="s">
        <v>121</v>
      </c>
      <c r="L122" s="2" t="s">
        <v>430</v>
      </c>
      <c r="M122" s="2" t="str">
        <f>IF(TRIM(C122)="","Missing",IF(AND(LEN(TRIM(C122))=10,SUMPRODUCT(--(CODE(MID(TRIM(C122),{1,2,3,4,5,10},1))&gt;=65),--(CODE(MID(TRIM(C122),{1,2,3,4,5,10},1))&lt;=90))=6,ISNUMBER(--MID(TRIM(C122),6,4))),"Valid","Invalid"))</f>
        <v>Valid</v>
      </c>
      <c r="N122" s="2" t="str">
        <f t="shared" si="8"/>
        <v>PAN Mismatch</v>
      </c>
      <c r="O122" s="2" t="str">
        <f t="shared" si="9"/>
        <v>Valid</v>
      </c>
      <c r="P122" s="2" t="str">
        <f t="shared" si="10"/>
        <v>Valid</v>
      </c>
      <c r="Q122" s="2" t="str">
        <f t="shared" si="11"/>
        <v>Valid</v>
      </c>
      <c r="R122" s="2" t="str">
        <f>IF(TRIM(H122)="","Missing",IF(AND(LEN(TRIM(H122))=11,SUMPRODUCT(--(CODE(MID(TRIM(H122),{1,2,3,4},1))&gt;=65),--(CODE(MID(TRIM(H122),{1,2,3,4},1))&lt;=90))=4,MID(TRIM(H122),5,1)="0"),"Valid","Invalid"))</f>
        <v>Valid</v>
      </c>
      <c r="S122" s="2" t="str">
        <f t="shared" si="12"/>
        <v>Valid</v>
      </c>
      <c r="T122" s="2" t="str">
        <f t="shared" si="13"/>
        <v>Valid</v>
      </c>
      <c r="U122" s="2">
        <f t="shared" si="14"/>
        <v>1</v>
      </c>
      <c r="V122" s="2" t="str">
        <f t="shared" si="15"/>
        <v>916384576205</v>
      </c>
    </row>
    <row r="123" spans="1:22" x14ac:dyDescent="0.35">
      <c r="A123" s="2" t="s">
        <v>1462</v>
      </c>
      <c r="B123" s="2" t="s">
        <v>1463</v>
      </c>
      <c r="C123" s="2" t="s">
        <v>1464</v>
      </c>
      <c r="D123" s="2" t="s">
        <v>1465</v>
      </c>
      <c r="E123" s="2"/>
      <c r="F123" s="2" t="s">
        <v>2128</v>
      </c>
      <c r="G123" s="15" t="s">
        <v>1467</v>
      </c>
      <c r="H123" s="2" t="s">
        <v>1468</v>
      </c>
      <c r="I123" s="2" t="s">
        <v>130</v>
      </c>
      <c r="J123" s="2" t="s">
        <v>141</v>
      </c>
      <c r="K123" s="2" t="s">
        <v>121</v>
      </c>
      <c r="L123" s="2" t="s">
        <v>1469</v>
      </c>
      <c r="M123" s="2" t="str">
        <f>IF(TRIM(C123)="","Missing",IF(AND(LEN(TRIM(C123))=10,SUMPRODUCT(--(CODE(MID(TRIM(C123),{1,2,3,4,5,10},1))&gt;=65),--(CODE(MID(TRIM(C123),{1,2,3,4,5,10},1))&lt;=90))=6,ISNUMBER(--MID(TRIM(C123),6,4))),"Valid","Invalid"))</f>
        <v>Valid</v>
      </c>
      <c r="N123" s="2" t="str">
        <f t="shared" si="8"/>
        <v>Valid</v>
      </c>
      <c r="O123" s="2" t="str">
        <f t="shared" si="9"/>
        <v>Missing</v>
      </c>
      <c r="P123" s="2" t="str">
        <f t="shared" si="10"/>
        <v>Valid</v>
      </c>
      <c r="Q123" s="2" t="str">
        <f t="shared" si="11"/>
        <v>Valid</v>
      </c>
      <c r="R123" s="2" t="str">
        <f>IF(TRIM(H123)="","Missing",IF(AND(LEN(TRIM(H123))=11,SUMPRODUCT(--(CODE(MID(TRIM(H123),{1,2,3,4},1))&gt;=65),--(CODE(MID(TRIM(H123),{1,2,3,4},1))&lt;=90))=4,MID(TRIM(H123),5,1)="0"),"Valid","Invalid"))</f>
        <v>Valid</v>
      </c>
      <c r="S123" s="2" t="str">
        <f t="shared" si="12"/>
        <v>Valid</v>
      </c>
      <c r="T123" s="2" t="str">
        <f t="shared" si="13"/>
        <v>Valid</v>
      </c>
      <c r="U123" s="2">
        <f t="shared" si="14"/>
        <v>1</v>
      </c>
      <c r="V123" s="2" t="str">
        <f t="shared" si="15"/>
        <v>917482629251</v>
      </c>
    </row>
    <row r="124" spans="1:22" x14ac:dyDescent="0.35">
      <c r="A124" s="2" t="s">
        <v>1758</v>
      </c>
      <c r="B124" s="2" t="s">
        <v>1759</v>
      </c>
      <c r="C124" s="2" t="s">
        <v>1760</v>
      </c>
      <c r="D124" s="2" t="s">
        <v>1761</v>
      </c>
      <c r="E124" s="2" t="s">
        <v>1762</v>
      </c>
      <c r="F124" s="2" t="s">
        <v>2129</v>
      </c>
      <c r="G124" s="15" t="s">
        <v>1764</v>
      </c>
      <c r="H124" s="2" t="s">
        <v>1765</v>
      </c>
      <c r="I124" s="2" t="s">
        <v>130</v>
      </c>
      <c r="J124" s="2" t="s">
        <v>141</v>
      </c>
      <c r="K124" s="2" t="s">
        <v>121</v>
      </c>
      <c r="L124" s="2" t="s">
        <v>1766</v>
      </c>
      <c r="M124" s="2" t="str">
        <f>IF(TRIM(C124)="","Missing",IF(AND(LEN(TRIM(C124))=10,SUMPRODUCT(--(CODE(MID(TRIM(C124),{1,2,3,4,5,10},1))&gt;=65),--(CODE(MID(TRIM(C124),{1,2,3,4,5,10},1))&lt;=90))=6,ISNUMBER(--MID(TRIM(C124),6,4))),"Valid","Invalid"))</f>
        <v>Valid</v>
      </c>
      <c r="N124" s="2" t="str">
        <f t="shared" si="8"/>
        <v>Valid</v>
      </c>
      <c r="O124" s="2" t="str">
        <f t="shared" si="9"/>
        <v>Valid</v>
      </c>
      <c r="P124" s="2" t="str">
        <f t="shared" si="10"/>
        <v>Valid</v>
      </c>
      <c r="Q124" s="2" t="str">
        <f t="shared" si="11"/>
        <v>Valid</v>
      </c>
      <c r="R124" s="2" t="str">
        <f>IF(TRIM(H124)="","Missing",IF(AND(LEN(TRIM(H124))=11,SUMPRODUCT(--(CODE(MID(TRIM(H124),{1,2,3,4},1))&gt;=65),--(CODE(MID(TRIM(H124),{1,2,3,4},1))&lt;=90))=4,MID(TRIM(H124),5,1)="0"),"Valid","Invalid"))</f>
        <v>Valid</v>
      </c>
      <c r="S124" s="2" t="str">
        <f t="shared" si="12"/>
        <v>Valid</v>
      </c>
      <c r="T124" s="2" t="str">
        <f t="shared" si="13"/>
        <v>Valid</v>
      </c>
      <c r="U124" s="2">
        <f t="shared" si="14"/>
        <v>0</v>
      </c>
      <c r="V124" s="2" t="str">
        <f t="shared" si="15"/>
        <v>917677223306</v>
      </c>
    </row>
    <row r="125" spans="1:22" x14ac:dyDescent="0.35">
      <c r="A125" s="2" t="s">
        <v>774</v>
      </c>
      <c r="B125" s="2" t="s">
        <v>775</v>
      </c>
      <c r="C125" s="2" t="s">
        <v>776</v>
      </c>
      <c r="D125" s="2" t="s">
        <v>777</v>
      </c>
      <c r="E125" s="2" t="s">
        <v>2130</v>
      </c>
      <c r="F125" s="2" t="s">
        <v>2131</v>
      </c>
      <c r="G125" s="15" t="s">
        <v>780</v>
      </c>
      <c r="H125" s="2" t="s">
        <v>781</v>
      </c>
      <c r="I125" s="2" t="s">
        <v>130</v>
      </c>
      <c r="J125" s="2" t="s">
        <v>141</v>
      </c>
      <c r="K125" s="2" t="s">
        <v>121</v>
      </c>
      <c r="L125" s="2" t="s">
        <v>782</v>
      </c>
      <c r="M125" s="2" t="str">
        <f>IF(TRIM(C125)="","Missing",IF(AND(LEN(TRIM(C125))=10,SUMPRODUCT(--(CODE(MID(TRIM(C125),{1,2,3,4,5,10},1))&gt;=65),--(CODE(MID(TRIM(C125),{1,2,3,4,5,10},1))&lt;=90))=6,ISNUMBER(--MID(TRIM(C125),6,4))),"Valid","Invalid"))</f>
        <v>Valid</v>
      </c>
      <c r="N125" s="2" t="str">
        <f t="shared" si="8"/>
        <v>Valid</v>
      </c>
      <c r="O125" s="2" t="str">
        <f t="shared" si="9"/>
        <v>Valid</v>
      </c>
      <c r="P125" s="2" t="str">
        <f t="shared" si="10"/>
        <v>Valid</v>
      </c>
      <c r="Q125" s="2" t="str">
        <f t="shared" si="11"/>
        <v>Valid</v>
      </c>
      <c r="R125" s="2" t="str">
        <f>IF(TRIM(H125)="","Missing",IF(AND(LEN(TRIM(H125))=11,SUMPRODUCT(--(CODE(MID(TRIM(H125),{1,2,3,4},1))&gt;=65),--(CODE(MID(TRIM(H125),{1,2,3,4},1))&lt;=90))=4,MID(TRIM(H125),5,1)="0"),"Valid","Invalid"))</f>
        <v>Valid</v>
      </c>
      <c r="S125" s="2" t="str">
        <f t="shared" si="12"/>
        <v>Valid</v>
      </c>
      <c r="T125" s="2" t="str">
        <f t="shared" si="13"/>
        <v>Valid</v>
      </c>
      <c r="U125" s="2">
        <f t="shared" si="14"/>
        <v>0</v>
      </c>
      <c r="V125" s="2" t="str">
        <f t="shared" si="15"/>
        <v>919086803476</v>
      </c>
    </row>
    <row r="126" spans="1:22" x14ac:dyDescent="0.35">
      <c r="A126" s="2" t="s">
        <v>255</v>
      </c>
      <c r="B126" s="2" t="s">
        <v>256</v>
      </c>
      <c r="C126" s="2" t="s">
        <v>257</v>
      </c>
      <c r="D126" s="2" t="s">
        <v>258</v>
      </c>
      <c r="E126" s="2" t="s">
        <v>2132</v>
      </c>
      <c r="F126" s="2" t="s">
        <v>2133</v>
      </c>
      <c r="G126" s="15" t="s">
        <v>261</v>
      </c>
      <c r="H126" s="2" t="s">
        <v>262</v>
      </c>
      <c r="I126" s="2" t="s">
        <v>130</v>
      </c>
      <c r="J126" s="2" t="s">
        <v>141</v>
      </c>
      <c r="K126" s="2" t="s">
        <v>142</v>
      </c>
      <c r="L126" s="2" t="s">
        <v>263</v>
      </c>
      <c r="M126" s="2" t="str">
        <f>IF(TRIM(C126)="","Missing",IF(AND(LEN(TRIM(C126))=10,SUMPRODUCT(--(CODE(MID(TRIM(C126),{1,2,3,4,5,10},1))&gt;=65),--(CODE(MID(TRIM(C126),{1,2,3,4,5,10},1))&lt;=90))=6,ISNUMBER(--MID(TRIM(C126),6,4))),"Valid","Invalid"))</f>
        <v>Valid</v>
      </c>
      <c r="N126" s="2" t="str">
        <f t="shared" si="8"/>
        <v>Valid</v>
      </c>
      <c r="O126" s="2" t="str">
        <f t="shared" si="9"/>
        <v>Valid</v>
      </c>
      <c r="P126" s="2" t="str">
        <f t="shared" si="10"/>
        <v>Valid</v>
      </c>
      <c r="Q126" s="2" t="str">
        <f t="shared" si="11"/>
        <v>Valid</v>
      </c>
      <c r="R126" s="2" t="str">
        <f>IF(TRIM(H126)="","Missing",IF(AND(LEN(TRIM(H126))=11,SUMPRODUCT(--(CODE(MID(TRIM(H126),{1,2,3,4},1))&gt;=65),--(CODE(MID(TRIM(H126),{1,2,3,4},1))&lt;=90))=4,MID(TRIM(H126),5,1)="0"),"Valid","Invalid"))</f>
        <v>Valid</v>
      </c>
      <c r="S126" s="2" t="str">
        <f t="shared" si="12"/>
        <v>Valid</v>
      </c>
      <c r="T126" s="2" t="str">
        <f t="shared" si="13"/>
        <v>Valid</v>
      </c>
      <c r="U126" s="2">
        <f t="shared" si="14"/>
        <v>0</v>
      </c>
      <c r="V126" s="2" t="str">
        <f t="shared" si="15"/>
        <v>916175186892</v>
      </c>
    </row>
    <row r="127" spans="1:22" x14ac:dyDescent="0.35">
      <c r="A127" s="2" t="s">
        <v>405</v>
      </c>
      <c r="B127" s="2" t="s">
        <v>406</v>
      </c>
      <c r="C127" s="2" t="s">
        <v>407</v>
      </c>
      <c r="D127" s="2" t="s">
        <v>408</v>
      </c>
      <c r="E127" s="2" t="s">
        <v>409</v>
      </c>
      <c r="F127" s="2"/>
      <c r="G127" s="15" t="s">
        <v>410</v>
      </c>
      <c r="H127" s="2" t="s">
        <v>411</v>
      </c>
      <c r="I127" s="2" t="s">
        <v>130</v>
      </c>
      <c r="J127" s="2" t="s">
        <v>174</v>
      </c>
      <c r="K127" s="2" t="s">
        <v>121</v>
      </c>
      <c r="L127" s="2" t="s">
        <v>413</v>
      </c>
      <c r="M127" s="2" t="str">
        <f>IF(TRIM(C127)="","Missing",IF(AND(LEN(TRIM(C127))=10,SUMPRODUCT(--(CODE(MID(TRIM(C127),{1,2,3,4,5,10},1))&gt;=65),--(CODE(MID(TRIM(C127),{1,2,3,4,5,10},1))&lt;=90))=6,ISNUMBER(--MID(TRIM(C127),6,4))),"Valid","Invalid"))</f>
        <v>Valid</v>
      </c>
      <c r="N127" s="2" t="str">
        <f t="shared" si="8"/>
        <v>Valid</v>
      </c>
      <c r="O127" s="2" t="str">
        <f t="shared" si="9"/>
        <v>Valid</v>
      </c>
      <c r="P127" s="2" t="str">
        <f t="shared" si="10"/>
        <v>Missing</v>
      </c>
      <c r="Q127" s="2" t="str">
        <f t="shared" si="11"/>
        <v>Valid</v>
      </c>
      <c r="R127" s="2" t="str">
        <f>IF(TRIM(H127)="","Missing",IF(AND(LEN(TRIM(H127))=11,SUMPRODUCT(--(CODE(MID(TRIM(H127),{1,2,3,4},1))&gt;=65),--(CODE(MID(TRIM(H127),{1,2,3,4},1))&lt;=90))=4,MID(TRIM(H127),5,1)="0"),"Valid","Invalid"))</f>
        <v>Valid</v>
      </c>
      <c r="S127" s="2" t="str">
        <f t="shared" si="12"/>
        <v>Valid</v>
      </c>
      <c r="T127" s="2" t="str">
        <f t="shared" si="13"/>
        <v>Valid</v>
      </c>
      <c r="U127" s="2">
        <f t="shared" si="14"/>
        <v>1</v>
      </c>
      <c r="V127" s="2" t="str">
        <f t="shared" si="15"/>
        <v/>
      </c>
    </row>
    <row r="128" spans="1:22" x14ac:dyDescent="0.35">
      <c r="A128" s="2" t="s">
        <v>1583</v>
      </c>
      <c r="B128" s="2" t="s">
        <v>1584</v>
      </c>
      <c r="C128" s="2" t="s">
        <v>1585</v>
      </c>
      <c r="D128" s="2" t="s">
        <v>1586</v>
      </c>
      <c r="E128" s="2" t="s">
        <v>1587</v>
      </c>
      <c r="F128" s="2" t="s">
        <v>2134</v>
      </c>
      <c r="G128" s="15" t="s">
        <v>1589</v>
      </c>
      <c r="H128" s="2" t="s">
        <v>1590</v>
      </c>
      <c r="I128" s="2" t="s">
        <v>130</v>
      </c>
      <c r="J128" s="2" t="s">
        <v>164</v>
      </c>
      <c r="K128" s="2" t="s">
        <v>121</v>
      </c>
      <c r="L128" s="2" t="s">
        <v>263</v>
      </c>
      <c r="M128" s="2" t="e">
        <f>IF(TRIM(C128)="","Missing",IF(AND(LEN(TRIM(C128))=10,SUMPRODUCT(--(CODE(MID(TRIM(C128),{1,2,3,4,5,10},1))&gt;=65),--(CODE(MID(TRIM(C128),{1,2,3,4,5,10},1))&lt;=90))=6,ISNUMBER(--MID(TRIM(C128),6,4))),"Valid","Invalid"))</f>
        <v>#VALUE!</v>
      </c>
      <c r="N128" s="2" t="str">
        <f t="shared" si="8"/>
        <v>PAN Mismatch</v>
      </c>
      <c r="O128" s="2" t="str">
        <f t="shared" si="9"/>
        <v>Valid</v>
      </c>
      <c r="P128" s="2" t="str">
        <f t="shared" si="10"/>
        <v>Valid</v>
      </c>
      <c r="Q128" s="2" t="str">
        <f t="shared" si="11"/>
        <v>Valid</v>
      </c>
      <c r="R128" s="2" t="str">
        <f>IF(TRIM(H128)="","Missing",IF(AND(LEN(TRIM(H128))=11,SUMPRODUCT(--(CODE(MID(TRIM(H128),{1,2,3,4},1))&gt;=65),--(CODE(MID(TRIM(H128),{1,2,3,4},1))&lt;=90))=4,MID(TRIM(H128),5,1)="0"),"Valid","Invalid"))</f>
        <v>Valid</v>
      </c>
      <c r="S128" s="2" t="str">
        <f t="shared" si="12"/>
        <v>Valid</v>
      </c>
      <c r="T128" s="2" t="str">
        <f t="shared" si="13"/>
        <v>Valid</v>
      </c>
      <c r="U128" s="2">
        <f t="shared" si="14"/>
        <v>2</v>
      </c>
      <c r="V128" s="2" t="str">
        <f t="shared" si="15"/>
        <v>918721458683</v>
      </c>
    </row>
    <row r="129" spans="1:22" x14ac:dyDescent="0.35">
      <c r="A129" s="2" t="s">
        <v>1257</v>
      </c>
      <c r="B129" s="2" t="s">
        <v>1258</v>
      </c>
      <c r="C129" s="2" t="s">
        <v>1259</v>
      </c>
      <c r="D129" s="2"/>
      <c r="E129" s="2" t="s">
        <v>1260</v>
      </c>
      <c r="F129" s="2" t="s">
        <v>2135</v>
      </c>
      <c r="G129" s="15" t="s">
        <v>1262</v>
      </c>
      <c r="H129" s="2"/>
      <c r="I129" s="2" t="s">
        <v>130</v>
      </c>
      <c r="J129" s="2" t="s">
        <v>141</v>
      </c>
      <c r="K129" s="2" t="s">
        <v>121</v>
      </c>
      <c r="L129" s="2" t="s">
        <v>1263</v>
      </c>
      <c r="M129" s="2" t="str">
        <f>IF(TRIM(C129)="","Missing",IF(AND(LEN(TRIM(C129))=10,SUMPRODUCT(--(CODE(MID(TRIM(C129),{1,2,3,4,5,10},1))&gt;=65),--(CODE(MID(TRIM(C129),{1,2,3,4,5,10},1))&lt;=90))=6,ISNUMBER(--MID(TRIM(C129),6,4))),"Valid","Invalid"))</f>
        <v>Valid</v>
      </c>
      <c r="N129" s="2" t="str">
        <f t="shared" si="8"/>
        <v>Missing</v>
      </c>
      <c r="O129" s="2" t="str">
        <f t="shared" si="9"/>
        <v>Valid</v>
      </c>
      <c r="P129" s="2" t="str">
        <f t="shared" si="10"/>
        <v>Valid</v>
      </c>
      <c r="Q129" s="2" t="str">
        <f t="shared" si="11"/>
        <v>Valid</v>
      </c>
      <c r="R129" s="2" t="str">
        <f>IF(TRIM(H129)="","Missing",IF(AND(LEN(TRIM(H129))=11,SUMPRODUCT(--(CODE(MID(TRIM(H129),{1,2,3,4},1))&gt;=65),--(CODE(MID(TRIM(H129),{1,2,3,4},1))&lt;=90))=4,MID(TRIM(H129),5,1)="0"),"Valid","Invalid"))</f>
        <v>Missing</v>
      </c>
      <c r="S129" s="2" t="str">
        <f t="shared" si="12"/>
        <v>Valid</v>
      </c>
      <c r="T129" s="2" t="str">
        <f t="shared" si="13"/>
        <v>Valid</v>
      </c>
      <c r="U129" s="2">
        <f t="shared" si="14"/>
        <v>2</v>
      </c>
      <c r="V129" s="2" t="str">
        <f t="shared" si="15"/>
        <v>917966055830</v>
      </c>
    </row>
    <row r="130" spans="1:22" x14ac:dyDescent="0.35">
      <c r="A130" s="2" t="s">
        <v>1173</v>
      </c>
      <c r="B130" s="2" t="s">
        <v>1174</v>
      </c>
      <c r="C130" s="2" t="s">
        <v>1175</v>
      </c>
      <c r="D130" s="2" t="s">
        <v>1176</v>
      </c>
      <c r="E130" s="2" t="s">
        <v>1177</v>
      </c>
      <c r="F130" s="2" t="s">
        <v>2136</v>
      </c>
      <c r="G130" s="15" t="s">
        <v>1179</v>
      </c>
      <c r="H130" s="2" t="s">
        <v>1180</v>
      </c>
      <c r="I130" s="2" t="s">
        <v>130</v>
      </c>
      <c r="J130" s="2" t="s">
        <v>141</v>
      </c>
      <c r="K130" s="2" t="s">
        <v>142</v>
      </c>
      <c r="L130" s="2" t="s">
        <v>1181</v>
      </c>
      <c r="M130" s="2" t="e">
        <f>IF(TRIM(C130)="","Missing",IF(AND(LEN(TRIM(C130))=10,SUMPRODUCT(--(CODE(MID(TRIM(C130),{1,2,3,4,5,10},1))&gt;=65),--(CODE(MID(TRIM(C130),{1,2,3,4,5,10},1))&lt;=90))=6,ISNUMBER(--MID(TRIM(C130),6,4))),"Valid","Invalid"))</f>
        <v>#VALUE!</v>
      </c>
      <c r="N130" s="2" t="str">
        <f t="shared" ref="N130:N193" si="16">IF(TRIM(D130)="","Missing",IF(AND(LEN(TRIM(D130))=15,MID(TRIM(D130),14,1)="Z"),IF(AND(TRIM(C130)&lt;&gt;"",MID(TRIM(D130),3,10)=TRIM(C130)),"Valid","PAN Mismatch"),"Invalid"))</f>
        <v>PAN Mismatch</v>
      </c>
      <c r="O130" s="2" t="str">
        <f t="shared" ref="O130:O193" si="17">IF(TRIM(E130)="","Missing",IF(AND(ISNUMBER(FIND("@",E130)),ISERROR(FIND(" ",TRIM(E130))),IFERROR(FIND(".",E130,FIND("@",E130)),0)&gt;0),"Valid","Invalid"))</f>
        <v>Valid</v>
      </c>
      <c r="P130" s="2" t="str">
        <f t="shared" ref="P130:P193" si="18">IF(TRIM(F130)="","Missing",IFERROR(IF(AND(ISNUMBER(--V130),OR(LEN(V130)=10,AND(LEN(V130)=12,LEFT(V130,2)="91")),VALUE(LEFT(RIGHT(V130,10),1))&gt;=6),"Valid","Invalid"),"Invalid"))</f>
        <v>Valid</v>
      </c>
      <c r="Q130" s="2" t="str">
        <f t="shared" ref="Q130:Q193" si="19">IF(TRIM(G130)="","Missing",IFERROR(IF(AND(ISNUMBER(--TRIM(G130)),LEN(TRIM(G130))&gt;=9,LEN(TRIM(G130))&lt;=18,ISERROR(FIND(".",G130))),"Valid","Invalid"),"Invalid"))</f>
        <v>Valid</v>
      </c>
      <c r="R130" s="2" t="str">
        <f>IF(TRIM(H130)="","Missing",IF(AND(LEN(TRIM(H130))=11,SUMPRODUCT(--(CODE(MID(TRIM(H130),{1,2,3,4},1))&gt;=65),--(CODE(MID(TRIM(H130),{1,2,3,4},1))&lt;=90))=4,MID(TRIM(H130),5,1)="0"),"Valid","Invalid"))</f>
        <v>Valid</v>
      </c>
      <c r="S130" s="2" t="str">
        <f t="shared" ref="S130:S193" si="20">IF(TRIM(I130)="","Missing",IF(EXACT(TRIM(I130),"India"),"Valid","Invalid"))</f>
        <v>Valid</v>
      </c>
      <c r="T130" s="2" t="str">
        <f t="shared" ref="T130:T193" si="21">IF(TRIM(J130)="","Missing",IF(OR(EXACT(TRIM(J130),"Net 15"),EXACT(TRIM(J130),"Net 30"),EXACT(TRIM(J130),"Net 45"),EXACT(TRIM(J130),"Net 60")),"Valid","Invalid"))</f>
        <v>Valid</v>
      </c>
      <c r="U130" s="2">
        <f t="shared" ref="U130:U193" si="22">COUNTIF(M130:T130,"&lt;&gt;Valid")</f>
        <v>2</v>
      </c>
      <c r="V130" s="2" t="str">
        <f t="shared" ref="V130:V193" si="23">SUBSTITUTE(SUBSTITUTE(SUBSTITUTE(F130," ",""),"-",""),"+","")</f>
        <v>916780782357</v>
      </c>
    </row>
    <row r="131" spans="1:22" x14ac:dyDescent="0.35">
      <c r="A131" s="2" t="s">
        <v>156</v>
      </c>
      <c r="B131" s="2" t="s">
        <v>2137</v>
      </c>
      <c r="C131" s="2" t="s">
        <v>158</v>
      </c>
      <c r="D131" s="2" t="s">
        <v>159</v>
      </c>
      <c r="E131" s="2" t="s">
        <v>160</v>
      </c>
      <c r="F131" s="2" t="s">
        <v>2138</v>
      </c>
      <c r="G131" s="15" t="s">
        <v>162</v>
      </c>
      <c r="H131" s="2" t="s">
        <v>163</v>
      </c>
      <c r="I131" s="2" t="s">
        <v>130</v>
      </c>
      <c r="J131" s="2" t="s">
        <v>164</v>
      </c>
      <c r="K131" s="2" t="s">
        <v>121</v>
      </c>
      <c r="L131" s="2" t="s">
        <v>165</v>
      </c>
      <c r="M131" s="2" t="str">
        <f>IF(TRIM(C131)="","Missing",IF(AND(LEN(TRIM(C131))=10,SUMPRODUCT(--(CODE(MID(TRIM(C131),{1,2,3,4,5,10},1))&gt;=65),--(CODE(MID(TRIM(C131),{1,2,3,4,5,10},1))&lt;=90))=6,ISNUMBER(--MID(TRIM(C131),6,4))),"Valid","Invalid"))</f>
        <v>Valid</v>
      </c>
      <c r="N131" s="2" t="str">
        <f t="shared" si="16"/>
        <v>Invalid</v>
      </c>
      <c r="O131" s="2" t="str">
        <f t="shared" si="17"/>
        <v>Valid</v>
      </c>
      <c r="P131" s="2" t="str">
        <f t="shared" si="18"/>
        <v>Valid</v>
      </c>
      <c r="Q131" s="2" t="str">
        <f t="shared" si="19"/>
        <v>Valid</v>
      </c>
      <c r="R131" s="2" t="str">
        <f>IF(TRIM(H131)="","Missing",IF(AND(LEN(TRIM(H131))=11,SUMPRODUCT(--(CODE(MID(TRIM(H131),{1,2,3,4},1))&gt;=65),--(CODE(MID(TRIM(H131),{1,2,3,4},1))&lt;=90))=4,MID(TRIM(H131),5,1)="0"),"Valid","Invalid"))</f>
        <v>Valid</v>
      </c>
      <c r="S131" s="2" t="str">
        <f t="shared" si="20"/>
        <v>Valid</v>
      </c>
      <c r="T131" s="2" t="str">
        <f t="shared" si="21"/>
        <v>Valid</v>
      </c>
      <c r="U131" s="2">
        <f t="shared" si="22"/>
        <v>1</v>
      </c>
      <c r="V131" s="2" t="str">
        <f t="shared" si="23"/>
        <v>918224109881</v>
      </c>
    </row>
    <row r="132" spans="1:22" x14ac:dyDescent="0.35">
      <c r="A132" s="2" t="s">
        <v>788</v>
      </c>
      <c r="B132" s="2" t="s">
        <v>789</v>
      </c>
      <c r="C132" s="2" t="s">
        <v>790</v>
      </c>
      <c r="D132" s="2" t="s">
        <v>791</v>
      </c>
      <c r="E132" s="2" t="s">
        <v>792</v>
      </c>
      <c r="F132" s="2" t="s">
        <v>2139</v>
      </c>
      <c r="G132" s="15" t="s">
        <v>794</v>
      </c>
      <c r="H132" s="2" t="s">
        <v>795</v>
      </c>
      <c r="I132" s="2" t="s">
        <v>130</v>
      </c>
      <c r="J132" s="2" t="s">
        <v>164</v>
      </c>
      <c r="K132" s="2" t="s">
        <v>121</v>
      </c>
      <c r="L132" s="2" t="s">
        <v>796</v>
      </c>
      <c r="M132" s="2" t="str">
        <f>IF(TRIM(C132)="","Missing",IF(AND(LEN(TRIM(C132))=10,SUMPRODUCT(--(CODE(MID(TRIM(C132),{1,2,3,4,5,10},1))&gt;=65),--(CODE(MID(TRIM(C132),{1,2,3,4,5,10},1))&lt;=90))=6,ISNUMBER(--MID(TRIM(C132),6,4))),"Valid","Invalid"))</f>
        <v>Valid</v>
      </c>
      <c r="N132" s="2" t="str">
        <f t="shared" si="16"/>
        <v>Valid</v>
      </c>
      <c r="O132" s="2" t="str">
        <f t="shared" si="17"/>
        <v>Valid</v>
      </c>
      <c r="P132" s="2" t="str">
        <f t="shared" si="18"/>
        <v>Valid</v>
      </c>
      <c r="Q132" s="2" t="str">
        <f t="shared" si="19"/>
        <v>Valid</v>
      </c>
      <c r="R132" s="2" t="str">
        <f>IF(TRIM(H132)="","Missing",IF(AND(LEN(TRIM(H132))=11,SUMPRODUCT(--(CODE(MID(TRIM(H132),{1,2,3,4},1))&gt;=65),--(CODE(MID(TRIM(H132),{1,2,3,4},1))&lt;=90))=4,MID(TRIM(H132),5,1)="0"),"Valid","Invalid"))</f>
        <v>Valid</v>
      </c>
      <c r="S132" s="2" t="str">
        <f t="shared" si="20"/>
        <v>Valid</v>
      </c>
      <c r="T132" s="2" t="str">
        <f t="shared" si="21"/>
        <v>Valid</v>
      </c>
      <c r="U132" s="2">
        <f t="shared" si="22"/>
        <v>0</v>
      </c>
      <c r="V132" s="2" t="str">
        <f t="shared" si="23"/>
        <v>918538179217</v>
      </c>
    </row>
    <row r="133" spans="1:22" x14ac:dyDescent="0.35">
      <c r="A133" s="2" t="s">
        <v>546</v>
      </c>
      <c r="B133" s="2" t="s">
        <v>547</v>
      </c>
      <c r="C133" s="2" t="s">
        <v>548</v>
      </c>
      <c r="D133" s="2" t="s">
        <v>549</v>
      </c>
      <c r="E133" s="2" t="s">
        <v>550</v>
      </c>
      <c r="F133" s="2" t="s">
        <v>2140</v>
      </c>
      <c r="G133" s="15" t="s">
        <v>552</v>
      </c>
      <c r="H133" s="2" t="s">
        <v>553</v>
      </c>
      <c r="I133" s="2" t="s">
        <v>130</v>
      </c>
      <c r="J133" s="2" t="s">
        <v>164</v>
      </c>
      <c r="K133" s="2" t="s">
        <v>121</v>
      </c>
      <c r="L133" s="2" t="s">
        <v>554</v>
      </c>
      <c r="M133" s="2" t="str">
        <f>IF(TRIM(C133)="","Missing",IF(AND(LEN(TRIM(C133))=10,SUMPRODUCT(--(CODE(MID(TRIM(C133),{1,2,3,4,5,10},1))&gt;=65),--(CODE(MID(TRIM(C133),{1,2,3,4,5,10},1))&lt;=90))=6,ISNUMBER(--MID(TRIM(C133),6,4))),"Valid","Invalid"))</f>
        <v>Valid</v>
      </c>
      <c r="N133" s="2" t="str">
        <f t="shared" si="16"/>
        <v>PAN Mismatch</v>
      </c>
      <c r="O133" s="2" t="str">
        <f t="shared" si="17"/>
        <v>Valid</v>
      </c>
      <c r="P133" s="2" t="str">
        <f t="shared" si="18"/>
        <v>Valid</v>
      </c>
      <c r="Q133" s="2" t="str">
        <f t="shared" si="19"/>
        <v>Valid</v>
      </c>
      <c r="R133" s="2" t="str">
        <f>IF(TRIM(H133)="","Missing",IF(AND(LEN(TRIM(H133))=11,SUMPRODUCT(--(CODE(MID(TRIM(H133),{1,2,3,4},1))&gt;=65),--(CODE(MID(TRIM(H133),{1,2,3,4},1))&lt;=90))=4,MID(TRIM(H133),5,1)="0"),"Valid","Invalid"))</f>
        <v>Valid</v>
      </c>
      <c r="S133" s="2" t="str">
        <f t="shared" si="20"/>
        <v>Valid</v>
      </c>
      <c r="T133" s="2" t="str">
        <f t="shared" si="21"/>
        <v>Valid</v>
      </c>
      <c r="U133" s="2">
        <f t="shared" si="22"/>
        <v>1</v>
      </c>
      <c r="V133" s="2" t="str">
        <f t="shared" si="23"/>
        <v>918814876963</v>
      </c>
    </row>
    <row r="134" spans="1:22" x14ac:dyDescent="0.35">
      <c r="A134" s="2" t="s">
        <v>1666</v>
      </c>
      <c r="B134" s="2" t="s">
        <v>1667</v>
      </c>
      <c r="C134" s="2" t="s">
        <v>1668</v>
      </c>
      <c r="D134" s="2" t="s">
        <v>1669</v>
      </c>
      <c r="E134" s="2" t="s">
        <v>1670</v>
      </c>
      <c r="F134" s="2" t="s">
        <v>2141</v>
      </c>
      <c r="G134" s="15" t="s">
        <v>1672</v>
      </c>
      <c r="H134" s="2" t="s">
        <v>1673</v>
      </c>
      <c r="I134" s="2" t="s">
        <v>130</v>
      </c>
      <c r="J134" s="2" t="s">
        <v>359</v>
      </c>
      <c r="K134" s="2" t="s">
        <v>121</v>
      </c>
      <c r="L134" s="2" t="s">
        <v>1674</v>
      </c>
      <c r="M134" s="2" t="str">
        <f>IF(TRIM(C134)="","Missing",IF(AND(LEN(TRIM(C134))=10,SUMPRODUCT(--(CODE(MID(TRIM(C134),{1,2,3,4,5,10},1))&gt;=65),--(CODE(MID(TRIM(C134),{1,2,3,4,5,10},1))&lt;=90))=6,ISNUMBER(--MID(TRIM(C134),6,4))),"Valid","Invalid"))</f>
        <v>Valid</v>
      </c>
      <c r="N134" s="2" t="str">
        <f t="shared" si="16"/>
        <v>Valid</v>
      </c>
      <c r="O134" s="2" t="str">
        <f t="shared" si="17"/>
        <v>Valid</v>
      </c>
      <c r="P134" s="2" t="str">
        <f t="shared" si="18"/>
        <v>Valid</v>
      </c>
      <c r="Q134" s="2" t="str">
        <f t="shared" si="19"/>
        <v>Valid</v>
      </c>
      <c r="R134" s="2" t="str">
        <f>IF(TRIM(H134)="","Missing",IF(AND(LEN(TRIM(H134))=11,SUMPRODUCT(--(CODE(MID(TRIM(H134),{1,2,3,4},1))&gt;=65),--(CODE(MID(TRIM(H134),{1,2,3,4},1))&lt;=90))=4,MID(TRIM(H134),5,1)="0"),"Valid","Invalid"))</f>
        <v>Valid</v>
      </c>
      <c r="S134" s="2" t="str">
        <f t="shared" si="20"/>
        <v>Valid</v>
      </c>
      <c r="T134" s="2" t="str">
        <f t="shared" si="21"/>
        <v>Valid</v>
      </c>
      <c r="U134" s="2">
        <f t="shared" si="22"/>
        <v>0</v>
      </c>
      <c r="V134" s="2" t="str">
        <f t="shared" si="23"/>
        <v>919013290227</v>
      </c>
    </row>
    <row r="135" spans="1:22" x14ac:dyDescent="0.35">
      <c r="A135" s="2" t="s">
        <v>565</v>
      </c>
      <c r="B135" s="2" t="s">
        <v>566</v>
      </c>
      <c r="C135" s="2" t="s">
        <v>2142</v>
      </c>
      <c r="D135" s="2" t="s">
        <v>568</v>
      </c>
      <c r="E135" s="2" t="s">
        <v>569</v>
      </c>
      <c r="F135" s="2" t="s">
        <v>2143</v>
      </c>
      <c r="G135" s="15" t="s">
        <v>571</v>
      </c>
      <c r="H135" s="2" t="s">
        <v>572</v>
      </c>
      <c r="I135" s="2" t="s">
        <v>130</v>
      </c>
      <c r="J135" s="2" t="s">
        <v>164</v>
      </c>
      <c r="K135" s="2" t="s">
        <v>121</v>
      </c>
      <c r="L135" s="2" t="s">
        <v>573</v>
      </c>
      <c r="M135" s="2" t="str">
        <f>IF(TRIM(C135)="","Missing",IF(AND(LEN(TRIM(C135))=10,SUMPRODUCT(--(CODE(MID(TRIM(C135),{1,2,3,4,5,10},1))&gt;=65),--(CODE(MID(TRIM(C135),{1,2,3,4,5,10},1))&lt;=90))=6,ISNUMBER(--MID(TRIM(C135),6,4))),"Valid","Invalid"))</f>
        <v>Valid</v>
      </c>
      <c r="N135" s="2" t="str">
        <f t="shared" si="16"/>
        <v>Valid</v>
      </c>
      <c r="O135" s="2" t="str">
        <f t="shared" si="17"/>
        <v>Valid</v>
      </c>
      <c r="P135" s="2" t="str">
        <f t="shared" si="18"/>
        <v>Valid</v>
      </c>
      <c r="Q135" s="2" t="str">
        <f t="shared" si="19"/>
        <v>Valid</v>
      </c>
      <c r="R135" s="2" t="str">
        <f>IF(TRIM(H135)="","Missing",IF(AND(LEN(TRIM(H135))=11,SUMPRODUCT(--(CODE(MID(TRIM(H135),{1,2,3,4},1))&gt;=65),--(CODE(MID(TRIM(H135),{1,2,3,4},1))&lt;=90))=4,MID(TRIM(H135),5,1)="0"),"Valid","Invalid"))</f>
        <v>Valid</v>
      </c>
      <c r="S135" s="2" t="str">
        <f t="shared" si="20"/>
        <v>Valid</v>
      </c>
      <c r="T135" s="2" t="str">
        <f t="shared" si="21"/>
        <v>Valid</v>
      </c>
      <c r="U135" s="2">
        <f t="shared" si="22"/>
        <v>0</v>
      </c>
      <c r="V135" s="2" t="str">
        <f t="shared" si="23"/>
        <v>919666832723</v>
      </c>
    </row>
    <row r="136" spans="1:22" x14ac:dyDescent="0.35">
      <c r="A136" s="2" t="s">
        <v>537</v>
      </c>
      <c r="B136" s="2" t="s">
        <v>538</v>
      </c>
      <c r="C136" s="2" t="s">
        <v>539</v>
      </c>
      <c r="D136" s="2" t="s">
        <v>540</v>
      </c>
      <c r="E136" s="2" t="s">
        <v>2144</v>
      </c>
      <c r="F136" s="2" t="s">
        <v>2145</v>
      </c>
      <c r="G136" s="15" t="s">
        <v>543</v>
      </c>
      <c r="H136" s="2" t="s">
        <v>544</v>
      </c>
      <c r="I136" s="2" t="s">
        <v>130</v>
      </c>
      <c r="J136" s="2" t="s">
        <v>164</v>
      </c>
      <c r="K136" s="2" t="s">
        <v>121</v>
      </c>
      <c r="L136" s="2" t="s">
        <v>545</v>
      </c>
      <c r="M136" s="2" t="str">
        <f>IF(TRIM(C136)="","Missing",IF(AND(LEN(TRIM(C136))=10,SUMPRODUCT(--(CODE(MID(TRIM(C136),{1,2,3,4,5,10},1))&gt;=65),--(CODE(MID(TRIM(C136),{1,2,3,4,5,10},1))&lt;=90))=6,ISNUMBER(--MID(TRIM(C136),6,4))),"Valid","Invalid"))</f>
        <v>Valid</v>
      </c>
      <c r="N136" s="2" t="str">
        <f t="shared" si="16"/>
        <v>Valid</v>
      </c>
      <c r="O136" s="2" t="str">
        <f t="shared" si="17"/>
        <v>Valid</v>
      </c>
      <c r="P136" s="2" t="str">
        <f t="shared" si="18"/>
        <v>Valid</v>
      </c>
      <c r="Q136" s="2" t="str">
        <f t="shared" si="19"/>
        <v>Valid</v>
      </c>
      <c r="R136" s="2" t="str">
        <f>IF(TRIM(H136)="","Missing",IF(AND(LEN(TRIM(H136))=11,SUMPRODUCT(--(CODE(MID(TRIM(H136),{1,2,3,4},1))&gt;=65),--(CODE(MID(TRIM(H136),{1,2,3,4},1))&lt;=90))=4,MID(TRIM(H136),5,1)="0"),"Valid","Invalid"))</f>
        <v>Valid</v>
      </c>
      <c r="S136" s="2" t="str">
        <f t="shared" si="20"/>
        <v>Valid</v>
      </c>
      <c r="T136" s="2" t="str">
        <f t="shared" si="21"/>
        <v>Valid</v>
      </c>
      <c r="U136" s="2">
        <f t="shared" si="22"/>
        <v>0</v>
      </c>
      <c r="V136" s="2" t="str">
        <f t="shared" si="23"/>
        <v>919895009751</v>
      </c>
    </row>
    <row r="137" spans="1:22" x14ac:dyDescent="0.35">
      <c r="A137" s="2" t="s">
        <v>624</v>
      </c>
      <c r="B137" s="2" t="s">
        <v>625</v>
      </c>
      <c r="C137" s="2" t="s">
        <v>626</v>
      </c>
      <c r="D137" s="2" t="s">
        <v>627</v>
      </c>
      <c r="E137" s="2" t="s">
        <v>2146</v>
      </c>
      <c r="F137" s="2" t="s">
        <v>2147</v>
      </c>
      <c r="G137" s="15" t="s">
        <v>630</v>
      </c>
      <c r="H137" s="2" t="s">
        <v>631</v>
      </c>
      <c r="I137" s="2" t="s">
        <v>130</v>
      </c>
      <c r="J137" s="2" t="s">
        <v>174</v>
      </c>
      <c r="K137" s="2" t="s">
        <v>121</v>
      </c>
      <c r="L137" s="2" t="s">
        <v>632</v>
      </c>
      <c r="M137" s="2" t="str">
        <f>IF(TRIM(C137)="","Missing",IF(AND(LEN(TRIM(C137))=10,SUMPRODUCT(--(CODE(MID(TRIM(C137),{1,2,3,4,5,10},1))&gt;=65),--(CODE(MID(TRIM(C137),{1,2,3,4,5,10},1))&lt;=90))=6,ISNUMBER(--MID(TRIM(C137),6,4))),"Valid","Invalid"))</f>
        <v>Valid</v>
      </c>
      <c r="N137" s="2" t="str">
        <f t="shared" si="16"/>
        <v>Valid</v>
      </c>
      <c r="O137" s="2" t="str">
        <f t="shared" si="17"/>
        <v>Valid</v>
      </c>
      <c r="P137" s="2" t="str">
        <f t="shared" si="18"/>
        <v>Valid</v>
      </c>
      <c r="Q137" s="2" t="str">
        <f t="shared" si="19"/>
        <v>Valid</v>
      </c>
      <c r="R137" s="2" t="str">
        <f>IF(TRIM(H137)="","Missing",IF(AND(LEN(TRIM(H137))=11,SUMPRODUCT(--(CODE(MID(TRIM(H137),{1,2,3,4},1))&gt;=65),--(CODE(MID(TRIM(H137),{1,2,3,4},1))&lt;=90))=4,MID(TRIM(H137),5,1)="0"),"Valid","Invalid"))</f>
        <v>Valid</v>
      </c>
      <c r="S137" s="2" t="str">
        <f t="shared" si="20"/>
        <v>Valid</v>
      </c>
      <c r="T137" s="2" t="str">
        <f t="shared" si="21"/>
        <v>Valid</v>
      </c>
      <c r="U137" s="2">
        <f t="shared" si="22"/>
        <v>0</v>
      </c>
      <c r="V137" s="2" t="str">
        <f t="shared" si="23"/>
        <v>916792904904</v>
      </c>
    </row>
    <row r="138" spans="1:22" x14ac:dyDescent="0.35">
      <c r="A138" s="2" t="s">
        <v>930</v>
      </c>
      <c r="B138" s="2" t="s">
        <v>931</v>
      </c>
      <c r="C138" s="2" t="s">
        <v>932</v>
      </c>
      <c r="D138" s="2" t="s">
        <v>933</v>
      </c>
      <c r="E138" s="2" t="s">
        <v>934</v>
      </c>
      <c r="F138" s="2" t="s">
        <v>2148</v>
      </c>
      <c r="G138" s="15" t="s">
        <v>936</v>
      </c>
      <c r="H138" s="2" t="s">
        <v>937</v>
      </c>
      <c r="I138" s="2" t="s">
        <v>130</v>
      </c>
      <c r="J138" s="2" t="s">
        <v>141</v>
      </c>
      <c r="K138" s="2" t="s">
        <v>121</v>
      </c>
      <c r="L138" s="2" t="s">
        <v>938</v>
      </c>
      <c r="M138" s="2" t="str">
        <f>IF(TRIM(C138)="","Missing",IF(AND(LEN(TRIM(C138))=10,SUMPRODUCT(--(CODE(MID(TRIM(C138),{1,2,3,4,5,10},1))&gt;=65),--(CODE(MID(TRIM(C138),{1,2,3,4,5,10},1))&lt;=90))=6,ISNUMBER(--MID(TRIM(C138),6,4))),"Valid","Invalid"))</f>
        <v>Valid</v>
      </c>
      <c r="N138" s="2" t="str">
        <f t="shared" si="16"/>
        <v>Valid</v>
      </c>
      <c r="O138" s="2" t="str">
        <f t="shared" si="17"/>
        <v>Valid</v>
      </c>
      <c r="P138" s="2" t="str">
        <f t="shared" si="18"/>
        <v>Valid</v>
      </c>
      <c r="Q138" s="2" t="str">
        <f t="shared" si="19"/>
        <v>Valid</v>
      </c>
      <c r="R138" s="2" t="str">
        <f>IF(TRIM(H138)="","Missing",IF(AND(LEN(TRIM(H138))=11,SUMPRODUCT(--(CODE(MID(TRIM(H138),{1,2,3,4},1))&gt;=65),--(CODE(MID(TRIM(H138),{1,2,3,4},1))&lt;=90))=4,MID(TRIM(H138),5,1)="0"),"Valid","Invalid"))</f>
        <v>Valid</v>
      </c>
      <c r="S138" s="2" t="str">
        <f t="shared" si="20"/>
        <v>Valid</v>
      </c>
      <c r="T138" s="2" t="str">
        <f t="shared" si="21"/>
        <v>Valid</v>
      </c>
      <c r="U138" s="2">
        <f t="shared" si="22"/>
        <v>0</v>
      </c>
      <c r="V138" s="2" t="str">
        <f t="shared" si="23"/>
        <v>917395041027</v>
      </c>
    </row>
    <row r="139" spans="1:22" x14ac:dyDescent="0.35">
      <c r="A139" s="2" t="s">
        <v>518</v>
      </c>
      <c r="B139" s="2" t="s">
        <v>519</v>
      </c>
      <c r="C139" s="2" t="s">
        <v>520</v>
      </c>
      <c r="D139" s="2" t="s">
        <v>521</v>
      </c>
      <c r="E139" s="2" t="s">
        <v>522</v>
      </c>
      <c r="F139" s="2" t="s">
        <v>2149</v>
      </c>
      <c r="G139" s="15" t="s">
        <v>524</v>
      </c>
      <c r="H139" s="2" t="s">
        <v>525</v>
      </c>
      <c r="I139" s="2" t="s">
        <v>130</v>
      </c>
      <c r="J139" s="2" t="s">
        <v>359</v>
      </c>
      <c r="K139" s="2" t="s">
        <v>121</v>
      </c>
      <c r="L139" s="2" t="s">
        <v>527</v>
      </c>
      <c r="M139" s="2" t="str">
        <f>IF(TRIM(C139)="","Missing",IF(AND(LEN(TRIM(C139))=10,SUMPRODUCT(--(CODE(MID(TRIM(C139),{1,2,3,4,5,10},1))&gt;=65),--(CODE(MID(TRIM(C139),{1,2,3,4,5,10},1))&lt;=90))=6,ISNUMBER(--MID(TRIM(C139),6,4))),"Valid","Invalid"))</f>
        <v>Valid</v>
      </c>
      <c r="N139" s="2" t="str">
        <f t="shared" si="16"/>
        <v>Valid</v>
      </c>
      <c r="O139" s="2" t="str">
        <f t="shared" si="17"/>
        <v>Valid</v>
      </c>
      <c r="P139" s="2" t="str">
        <f t="shared" si="18"/>
        <v>Valid</v>
      </c>
      <c r="Q139" s="2" t="str">
        <f t="shared" si="19"/>
        <v>Valid</v>
      </c>
      <c r="R139" s="2" t="str">
        <f>IF(TRIM(H139)="","Missing",IF(AND(LEN(TRIM(H139))=11,SUMPRODUCT(--(CODE(MID(TRIM(H139),{1,2,3,4},1))&gt;=65),--(CODE(MID(TRIM(H139),{1,2,3,4},1))&lt;=90))=4,MID(TRIM(H139),5,1)="0"),"Valid","Invalid"))</f>
        <v>Valid</v>
      </c>
      <c r="S139" s="2" t="str">
        <f t="shared" si="20"/>
        <v>Valid</v>
      </c>
      <c r="T139" s="2" t="str">
        <f t="shared" si="21"/>
        <v>Valid</v>
      </c>
      <c r="U139" s="2">
        <f t="shared" si="22"/>
        <v>0</v>
      </c>
      <c r="V139" s="2" t="str">
        <f t="shared" si="23"/>
        <v>917938525800</v>
      </c>
    </row>
    <row r="140" spans="1:22" x14ac:dyDescent="0.35">
      <c r="A140" s="2" t="s">
        <v>1797</v>
      </c>
      <c r="B140" s="2" t="s">
        <v>1798</v>
      </c>
      <c r="C140" s="2" t="s">
        <v>1799</v>
      </c>
      <c r="D140" s="2" t="s">
        <v>1800</v>
      </c>
      <c r="E140" s="2" t="s">
        <v>1801</v>
      </c>
      <c r="F140" s="2" t="s">
        <v>2150</v>
      </c>
      <c r="G140" s="15" t="s">
        <v>1803</v>
      </c>
      <c r="H140" s="2" t="s">
        <v>2151</v>
      </c>
      <c r="I140" s="2" t="s">
        <v>130</v>
      </c>
      <c r="J140" s="2" t="s">
        <v>141</v>
      </c>
      <c r="K140" s="2" t="s">
        <v>121</v>
      </c>
      <c r="L140" s="2" t="s">
        <v>1805</v>
      </c>
      <c r="M140" s="2" t="str">
        <f>IF(TRIM(C140)="","Missing",IF(AND(LEN(TRIM(C140))=10,SUMPRODUCT(--(CODE(MID(TRIM(C140),{1,2,3,4,5,10},1))&gt;=65),--(CODE(MID(TRIM(C140),{1,2,3,4,5,10},1))&lt;=90))=6,ISNUMBER(--MID(TRIM(C140),6,4))),"Valid","Invalid"))</f>
        <v>Valid</v>
      </c>
      <c r="N140" s="2" t="str">
        <f t="shared" si="16"/>
        <v>PAN Mismatch</v>
      </c>
      <c r="O140" s="2" t="str">
        <f t="shared" si="17"/>
        <v>Valid</v>
      </c>
      <c r="P140" s="2" t="str">
        <f t="shared" si="18"/>
        <v>Valid</v>
      </c>
      <c r="Q140" s="2" t="str">
        <f t="shared" si="19"/>
        <v>Valid</v>
      </c>
      <c r="R140" s="2" t="str">
        <f>IF(TRIM(H140)="","Missing",IF(AND(LEN(TRIM(H140))=11,SUMPRODUCT(--(CODE(MID(TRIM(H140),{1,2,3,4},1))&gt;=65),--(CODE(MID(TRIM(H140),{1,2,3,4},1))&lt;=90))=4,MID(TRIM(H140),5,1)="0"),"Valid","Invalid"))</f>
        <v>Valid</v>
      </c>
      <c r="S140" s="2" t="str">
        <f t="shared" si="20"/>
        <v>Valid</v>
      </c>
      <c r="T140" s="2" t="str">
        <f t="shared" si="21"/>
        <v>Valid</v>
      </c>
      <c r="U140" s="2">
        <f t="shared" si="22"/>
        <v>1</v>
      </c>
      <c r="V140" s="2" t="str">
        <f t="shared" si="23"/>
        <v>919465421406</v>
      </c>
    </row>
    <row r="141" spans="1:22" x14ac:dyDescent="0.35">
      <c r="A141" s="2" t="s">
        <v>887</v>
      </c>
      <c r="B141" s="2" t="s">
        <v>888</v>
      </c>
      <c r="C141" s="2" t="s">
        <v>889</v>
      </c>
      <c r="D141" s="2" t="s">
        <v>890</v>
      </c>
      <c r="E141" s="2" t="s">
        <v>891</v>
      </c>
      <c r="F141" s="2" t="s">
        <v>2152</v>
      </c>
      <c r="G141" s="15" t="s">
        <v>893</v>
      </c>
      <c r="H141" s="2" t="s">
        <v>894</v>
      </c>
      <c r="I141" s="2" t="s">
        <v>130</v>
      </c>
      <c r="J141" s="2" t="s">
        <v>141</v>
      </c>
      <c r="K141" s="2" t="s">
        <v>121</v>
      </c>
      <c r="L141" s="2" t="s">
        <v>895</v>
      </c>
      <c r="M141" s="2" t="e">
        <f>IF(TRIM(C141)="","Missing",IF(AND(LEN(TRIM(C141))=10,SUMPRODUCT(--(CODE(MID(TRIM(C141),{1,2,3,4,5,10},1))&gt;=65),--(CODE(MID(TRIM(C141),{1,2,3,4,5,10},1))&lt;=90))=6,ISNUMBER(--MID(TRIM(C141),6,4))),"Valid","Invalid"))</f>
        <v>#VALUE!</v>
      </c>
      <c r="N141" s="2" t="str">
        <f t="shared" si="16"/>
        <v>PAN Mismatch</v>
      </c>
      <c r="O141" s="2" t="str">
        <f t="shared" si="17"/>
        <v>Valid</v>
      </c>
      <c r="P141" s="2" t="str">
        <f t="shared" si="18"/>
        <v>Valid</v>
      </c>
      <c r="Q141" s="2" t="str">
        <f t="shared" si="19"/>
        <v>Valid</v>
      </c>
      <c r="R141" s="2" t="str">
        <f>IF(TRIM(H141)="","Missing",IF(AND(LEN(TRIM(H141))=11,SUMPRODUCT(--(CODE(MID(TRIM(H141),{1,2,3,4},1))&gt;=65),--(CODE(MID(TRIM(H141),{1,2,3,4},1))&lt;=90))=4,MID(TRIM(H141),5,1)="0"),"Valid","Invalid"))</f>
        <v>Valid</v>
      </c>
      <c r="S141" s="2" t="str">
        <f t="shared" si="20"/>
        <v>Valid</v>
      </c>
      <c r="T141" s="2" t="str">
        <f t="shared" si="21"/>
        <v>Valid</v>
      </c>
      <c r="U141" s="2">
        <f t="shared" si="22"/>
        <v>2</v>
      </c>
      <c r="V141" s="2" t="str">
        <f t="shared" si="23"/>
        <v>919425690877</v>
      </c>
    </row>
    <row r="142" spans="1:22" x14ac:dyDescent="0.35">
      <c r="A142" s="2" t="s">
        <v>1440</v>
      </c>
      <c r="B142" s="2" t="s">
        <v>1441</v>
      </c>
      <c r="C142" s="2" t="s">
        <v>1442</v>
      </c>
      <c r="D142" s="2" t="s">
        <v>1443</v>
      </c>
      <c r="E142" s="2" t="s">
        <v>1444</v>
      </c>
      <c r="F142" s="2" t="s">
        <v>2153</v>
      </c>
      <c r="G142" s="15" t="s">
        <v>1446</v>
      </c>
      <c r="H142" s="2" t="s">
        <v>2154</v>
      </c>
      <c r="I142" s="2" t="s">
        <v>130</v>
      </c>
      <c r="J142" s="2" t="s">
        <v>359</v>
      </c>
      <c r="K142" s="2" t="s">
        <v>142</v>
      </c>
      <c r="L142" s="2" t="s">
        <v>1448</v>
      </c>
      <c r="M142" s="2" t="str">
        <f>IF(TRIM(C142)="","Missing",IF(AND(LEN(TRIM(C142))=10,SUMPRODUCT(--(CODE(MID(TRIM(C142),{1,2,3,4,5,10},1))&gt;=65),--(CODE(MID(TRIM(C142),{1,2,3,4,5,10},1))&lt;=90))=6,ISNUMBER(--MID(TRIM(C142),6,4))),"Valid","Invalid"))</f>
        <v>Valid</v>
      </c>
      <c r="N142" s="2" t="str">
        <f t="shared" si="16"/>
        <v>Valid</v>
      </c>
      <c r="O142" s="2" t="str">
        <f t="shared" si="17"/>
        <v>Valid</v>
      </c>
      <c r="P142" s="2" t="str">
        <f t="shared" si="18"/>
        <v>Valid</v>
      </c>
      <c r="Q142" s="2" t="str">
        <f t="shared" si="19"/>
        <v>Valid</v>
      </c>
      <c r="R142" s="2" t="str">
        <f>IF(TRIM(H142)="","Missing",IF(AND(LEN(TRIM(H142))=11,SUMPRODUCT(--(CODE(MID(TRIM(H142),{1,2,3,4},1))&gt;=65),--(CODE(MID(TRIM(H142),{1,2,3,4},1))&lt;=90))=4,MID(TRIM(H142),5,1)="0"),"Valid","Invalid"))</f>
        <v>Valid</v>
      </c>
      <c r="S142" s="2" t="str">
        <f t="shared" si="20"/>
        <v>Valid</v>
      </c>
      <c r="T142" s="2" t="str">
        <f t="shared" si="21"/>
        <v>Valid</v>
      </c>
      <c r="U142" s="2">
        <f t="shared" si="22"/>
        <v>0</v>
      </c>
      <c r="V142" s="2" t="str">
        <f t="shared" si="23"/>
        <v>916732030937</v>
      </c>
    </row>
    <row r="143" spans="1:22" x14ac:dyDescent="0.35">
      <c r="A143" s="2" t="s">
        <v>655</v>
      </c>
      <c r="B143" s="2" t="s">
        <v>656</v>
      </c>
      <c r="C143" s="2" t="s">
        <v>657</v>
      </c>
      <c r="D143" s="2" t="s">
        <v>658</v>
      </c>
      <c r="E143" s="2"/>
      <c r="F143" s="2" t="s">
        <v>2155</v>
      </c>
      <c r="G143" s="15" t="s">
        <v>660</v>
      </c>
      <c r="H143" s="2" t="s">
        <v>2156</v>
      </c>
      <c r="I143" s="2" t="s">
        <v>130</v>
      </c>
      <c r="J143" s="2" t="s">
        <v>174</v>
      </c>
      <c r="K143" s="2" t="s">
        <v>121</v>
      </c>
      <c r="L143" s="2" t="s">
        <v>662</v>
      </c>
      <c r="M143" s="2" t="str">
        <f>IF(TRIM(C143)="","Missing",IF(AND(LEN(TRIM(C143))=10,SUMPRODUCT(--(CODE(MID(TRIM(C143),{1,2,3,4,5,10},1))&gt;=65),--(CODE(MID(TRIM(C143),{1,2,3,4,5,10},1))&lt;=90))=6,ISNUMBER(--MID(TRIM(C143),6,4))),"Valid","Invalid"))</f>
        <v>Valid</v>
      </c>
      <c r="N143" s="2" t="str">
        <f t="shared" si="16"/>
        <v>Valid</v>
      </c>
      <c r="O143" s="2" t="str">
        <f t="shared" si="17"/>
        <v>Missing</v>
      </c>
      <c r="P143" s="2" t="str">
        <f t="shared" si="18"/>
        <v>Valid</v>
      </c>
      <c r="Q143" s="2" t="str">
        <f t="shared" si="19"/>
        <v>Valid</v>
      </c>
      <c r="R143" s="2" t="str">
        <f>IF(TRIM(H143)="","Missing",IF(AND(LEN(TRIM(H143))=11,SUMPRODUCT(--(CODE(MID(TRIM(H143),{1,2,3,4},1))&gt;=65),--(CODE(MID(TRIM(H143),{1,2,3,4},1))&lt;=90))=4,MID(TRIM(H143),5,1)="0"),"Valid","Invalid"))</f>
        <v>Valid</v>
      </c>
      <c r="S143" s="2" t="str">
        <f t="shared" si="20"/>
        <v>Valid</v>
      </c>
      <c r="T143" s="2" t="str">
        <f t="shared" si="21"/>
        <v>Valid</v>
      </c>
      <c r="U143" s="2">
        <f t="shared" si="22"/>
        <v>1</v>
      </c>
      <c r="V143" s="2" t="str">
        <f t="shared" si="23"/>
        <v>916792911179</v>
      </c>
    </row>
    <row r="144" spans="1:22" x14ac:dyDescent="0.35">
      <c r="A144" s="2" t="s">
        <v>1861</v>
      </c>
      <c r="B144" s="2" t="s">
        <v>1862</v>
      </c>
      <c r="C144" s="2" t="s">
        <v>1863</v>
      </c>
      <c r="D144" s="2" t="s">
        <v>1864</v>
      </c>
      <c r="E144" s="2" t="s">
        <v>1865</v>
      </c>
      <c r="F144" s="2" t="s">
        <v>2157</v>
      </c>
      <c r="G144" s="15" t="s">
        <v>1867</v>
      </c>
      <c r="H144" s="2" t="s">
        <v>1868</v>
      </c>
      <c r="I144" s="2" t="s">
        <v>130</v>
      </c>
      <c r="J144" s="2" t="s">
        <v>174</v>
      </c>
      <c r="K144" s="2" t="s">
        <v>121</v>
      </c>
      <c r="L144" s="2" t="s">
        <v>1869</v>
      </c>
      <c r="M144" s="2" t="str">
        <f>IF(TRIM(C144)="","Missing",IF(AND(LEN(TRIM(C144))=10,SUMPRODUCT(--(CODE(MID(TRIM(C144),{1,2,3,4,5,10},1))&gt;=65),--(CODE(MID(TRIM(C144),{1,2,3,4,5,10},1))&lt;=90))=6,ISNUMBER(--MID(TRIM(C144),6,4))),"Valid","Invalid"))</f>
        <v>Valid</v>
      </c>
      <c r="N144" s="2" t="str">
        <f t="shared" si="16"/>
        <v>Valid</v>
      </c>
      <c r="O144" s="2" t="str">
        <f t="shared" si="17"/>
        <v>Valid</v>
      </c>
      <c r="P144" s="2" t="str">
        <f t="shared" si="18"/>
        <v>Valid</v>
      </c>
      <c r="Q144" s="2" t="str">
        <f t="shared" si="19"/>
        <v>Valid</v>
      </c>
      <c r="R144" s="2" t="str">
        <f>IF(TRIM(H144)="","Missing",IF(AND(LEN(TRIM(H144))=11,SUMPRODUCT(--(CODE(MID(TRIM(H144),{1,2,3,4},1))&gt;=65),--(CODE(MID(TRIM(H144),{1,2,3,4},1))&lt;=90))=4,MID(TRIM(H144),5,1)="0"),"Valid","Invalid"))</f>
        <v>Valid</v>
      </c>
      <c r="S144" s="2" t="str">
        <f t="shared" si="20"/>
        <v>Valid</v>
      </c>
      <c r="T144" s="2" t="str">
        <f t="shared" si="21"/>
        <v>Valid</v>
      </c>
      <c r="U144" s="2">
        <f t="shared" si="22"/>
        <v>0</v>
      </c>
      <c r="V144" s="2" t="str">
        <f t="shared" si="23"/>
        <v>916710021946</v>
      </c>
    </row>
    <row r="145" spans="1:22" x14ac:dyDescent="0.35">
      <c r="A145" s="2" t="s">
        <v>1289</v>
      </c>
      <c r="B145" s="2" t="s">
        <v>1290</v>
      </c>
      <c r="C145" s="2" t="s">
        <v>1291</v>
      </c>
      <c r="D145" s="2" t="s">
        <v>1292</v>
      </c>
      <c r="E145" s="2" t="s">
        <v>1293</v>
      </c>
      <c r="F145" s="2"/>
      <c r="G145" s="15" t="s">
        <v>1294</v>
      </c>
      <c r="H145" s="2" t="s">
        <v>1295</v>
      </c>
      <c r="I145" s="2" t="s">
        <v>130</v>
      </c>
      <c r="J145" s="2" t="s">
        <v>141</v>
      </c>
      <c r="K145" s="2" t="s">
        <v>121</v>
      </c>
      <c r="L145" s="2" t="s">
        <v>1296</v>
      </c>
      <c r="M145" s="2" t="str">
        <f>IF(TRIM(C145)="","Missing",IF(AND(LEN(TRIM(C145))=10,SUMPRODUCT(--(CODE(MID(TRIM(C145),{1,2,3,4,5,10},1))&gt;=65),--(CODE(MID(TRIM(C145),{1,2,3,4,5,10},1))&lt;=90))=6,ISNUMBER(--MID(TRIM(C145),6,4))),"Valid","Invalid"))</f>
        <v>Valid</v>
      </c>
      <c r="N145" s="2" t="str">
        <f t="shared" si="16"/>
        <v>Valid</v>
      </c>
      <c r="O145" s="2" t="str">
        <f t="shared" si="17"/>
        <v>Valid</v>
      </c>
      <c r="P145" s="2" t="str">
        <f t="shared" si="18"/>
        <v>Missing</v>
      </c>
      <c r="Q145" s="2" t="str">
        <f t="shared" si="19"/>
        <v>Valid</v>
      </c>
      <c r="R145" s="2" t="str">
        <f>IF(TRIM(H145)="","Missing",IF(AND(LEN(TRIM(H145))=11,SUMPRODUCT(--(CODE(MID(TRIM(H145),{1,2,3,4},1))&gt;=65),--(CODE(MID(TRIM(H145),{1,2,3,4},1))&lt;=90))=4,MID(TRIM(H145),5,1)="0"),"Valid","Invalid"))</f>
        <v>Valid</v>
      </c>
      <c r="S145" s="2" t="str">
        <f t="shared" si="20"/>
        <v>Valid</v>
      </c>
      <c r="T145" s="2" t="str">
        <f t="shared" si="21"/>
        <v>Valid</v>
      </c>
      <c r="U145" s="2">
        <f t="shared" si="22"/>
        <v>1</v>
      </c>
      <c r="V145" s="2" t="str">
        <f t="shared" si="23"/>
        <v/>
      </c>
    </row>
    <row r="146" spans="1:22" x14ac:dyDescent="0.35">
      <c r="A146" s="2" t="s">
        <v>1010</v>
      </c>
      <c r="B146" s="2" t="s">
        <v>1011</v>
      </c>
      <c r="C146" s="2" t="s">
        <v>1012</v>
      </c>
      <c r="D146" s="2" t="s">
        <v>1013</v>
      </c>
      <c r="E146" s="2" t="s">
        <v>1014</v>
      </c>
      <c r="F146" s="2" t="s">
        <v>2158</v>
      </c>
      <c r="G146" s="15" t="s">
        <v>1016</v>
      </c>
      <c r="H146" s="2" t="s">
        <v>1017</v>
      </c>
      <c r="I146" s="2" t="s">
        <v>130</v>
      </c>
      <c r="J146" s="2" t="s">
        <v>141</v>
      </c>
      <c r="K146" s="2" t="s">
        <v>121</v>
      </c>
      <c r="L146" s="2" t="s">
        <v>1018</v>
      </c>
      <c r="M146" s="2" t="str">
        <f>IF(TRIM(C146)="","Missing",IF(AND(LEN(TRIM(C146))=10,SUMPRODUCT(--(CODE(MID(TRIM(C146),{1,2,3,4,5,10},1))&gt;=65),--(CODE(MID(TRIM(C146),{1,2,3,4,5,10},1))&lt;=90))=6,ISNUMBER(--MID(TRIM(C146),6,4))),"Valid","Invalid"))</f>
        <v>Valid</v>
      </c>
      <c r="N146" s="2" t="str">
        <f t="shared" si="16"/>
        <v>Valid</v>
      </c>
      <c r="O146" s="2" t="str">
        <f t="shared" si="17"/>
        <v>Valid</v>
      </c>
      <c r="P146" s="2" t="str">
        <f t="shared" si="18"/>
        <v>Valid</v>
      </c>
      <c r="Q146" s="2" t="str">
        <f t="shared" si="19"/>
        <v>Valid</v>
      </c>
      <c r="R146" s="2" t="str">
        <f>IF(TRIM(H146)="","Missing",IF(AND(LEN(TRIM(H146))=11,SUMPRODUCT(--(CODE(MID(TRIM(H146),{1,2,3,4},1))&gt;=65),--(CODE(MID(TRIM(H146),{1,2,3,4},1))&lt;=90))=4,MID(TRIM(H146),5,1)="0"),"Valid","Invalid"))</f>
        <v>Valid</v>
      </c>
      <c r="S146" s="2" t="str">
        <f t="shared" si="20"/>
        <v>Valid</v>
      </c>
      <c r="T146" s="2" t="str">
        <f t="shared" si="21"/>
        <v>Valid</v>
      </c>
      <c r="U146" s="2">
        <f t="shared" si="22"/>
        <v>0</v>
      </c>
      <c r="V146" s="2" t="str">
        <f t="shared" si="23"/>
        <v>919970623972</v>
      </c>
    </row>
    <row r="147" spans="1:22" x14ac:dyDescent="0.35">
      <c r="A147" s="2" t="s">
        <v>1882</v>
      </c>
      <c r="B147" s="2" t="s">
        <v>1883</v>
      </c>
      <c r="C147" s="2" t="s">
        <v>2159</v>
      </c>
      <c r="D147" s="2" t="s">
        <v>1885</v>
      </c>
      <c r="E147" s="2" t="s">
        <v>1886</v>
      </c>
      <c r="F147" s="2" t="s">
        <v>2160</v>
      </c>
      <c r="G147" s="15" t="s">
        <v>1888</v>
      </c>
      <c r="H147" s="2" t="s">
        <v>2161</v>
      </c>
      <c r="I147" s="2" t="s">
        <v>130</v>
      </c>
      <c r="J147" s="2" t="s">
        <v>174</v>
      </c>
      <c r="K147" s="2" t="s">
        <v>121</v>
      </c>
      <c r="L147" s="2" t="s">
        <v>1890</v>
      </c>
      <c r="M147" s="2" t="str">
        <f>IF(TRIM(C147)="","Missing",IF(AND(LEN(TRIM(C147))=10,SUMPRODUCT(--(CODE(MID(TRIM(C147),{1,2,3,4,5,10},1))&gt;=65),--(CODE(MID(TRIM(C147),{1,2,3,4,5,10},1))&lt;=90))=6,ISNUMBER(--MID(TRIM(C147),6,4))),"Valid","Invalid"))</f>
        <v>Valid</v>
      </c>
      <c r="N147" s="2" t="str">
        <f t="shared" si="16"/>
        <v>Valid</v>
      </c>
      <c r="O147" s="2" t="str">
        <f t="shared" si="17"/>
        <v>Valid</v>
      </c>
      <c r="P147" s="2" t="str">
        <f t="shared" si="18"/>
        <v>Valid</v>
      </c>
      <c r="Q147" s="2" t="str">
        <f t="shared" si="19"/>
        <v>Valid</v>
      </c>
      <c r="R147" s="2" t="str">
        <f>IF(TRIM(H147)="","Missing",IF(AND(LEN(TRIM(H147))=11,SUMPRODUCT(--(CODE(MID(TRIM(H147),{1,2,3,4},1))&gt;=65),--(CODE(MID(TRIM(H147),{1,2,3,4},1))&lt;=90))=4,MID(TRIM(H147),5,1)="0"),"Valid","Invalid"))</f>
        <v>Valid</v>
      </c>
      <c r="S147" s="2" t="str">
        <f t="shared" si="20"/>
        <v>Valid</v>
      </c>
      <c r="T147" s="2" t="str">
        <f t="shared" si="21"/>
        <v>Valid</v>
      </c>
      <c r="U147" s="2">
        <f t="shared" si="22"/>
        <v>0</v>
      </c>
      <c r="V147" s="2" t="str">
        <f t="shared" si="23"/>
        <v>916633569392</v>
      </c>
    </row>
    <row r="148" spans="1:22" x14ac:dyDescent="0.35">
      <c r="A148" s="2" t="s">
        <v>739</v>
      </c>
      <c r="B148" s="2" t="s">
        <v>740</v>
      </c>
      <c r="C148" s="2" t="s">
        <v>741</v>
      </c>
      <c r="D148" s="2"/>
      <c r="E148" s="2" t="s">
        <v>742</v>
      </c>
      <c r="F148" s="2" t="s">
        <v>2162</v>
      </c>
      <c r="G148" s="15" t="s">
        <v>744</v>
      </c>
      <c r="H148" s="2" t="s">
        <v>745</v>
      </c>
      <c r="I148" s="2" t="s">
        <v>130</v>
      </c>
      <c r="J148" s="2" t="s">
        <v>359</v>
      </c>
      <c r="K148" s="2" t="s">
        <v>121</v>
      </c>
      <c r="L148" s="2" t="s">
        <v>232</v>
      </c>
      <c r="M148" s="2" t="str">
        <f>IF(TRIM(C148)="","Missing",IF(AND(LEN(TRIM(C148))=10,SUMPRODUCT(--(CODE(MID(TRIM(C148),{1,2,3,4,5,10},1))&gt;=65),--(CODE(MID(TRIM(C148),{1,2,3,4,5,10},1))&lt;=90))=6,ISNUMBER(--MID(TRIM(C148),6,4))),"Valid","Invalid"))</f>
        <v>Valid</v>
      </c>
      <c r="N148" s="2" t="str">
        <f t="shared" si="16"/>
        <v>Missing</v>
      </c>
      <c r="O148" s="2" t="str">
        <f t="shared" si="17"/>
        <v>Valid</v>
      </c>
      <c r="P148" s="2" t="str">
        <f t="shared" si="18"/>
        <v>Valid</v>
      </c>
      <c r="Q148" s="2" t="str">
        <f t="shared" si="19"/>
        <v>Valid</v>
      </c>
      <c r="R148" s="2" t="str">
        <f>IF(TRIM(H148)="","Missing",IF(AND(LEN(TRIM(H148))=11,SUMPRODUCT(--(CODE(MID(TRIM(H148),{1,2,3,4},1))&gt;=65),--(CODE(MID(TRIM(H148),{1,2,3,4},1))&lt;=90))=4,MID(TRIM(H148),5,1)="0"),"Valid","Invalid"))</f>
        <v>Valid</v>
      </c>
      <c r="S148" s="2" t="str">
        <f t="shared" si="20"/>
        <v>Valid</v>
      </c>
      <c r="T148" s="2" t="str">
        <f t="shared" si="21"/>
        <v>Valid</v>
      </c>
      <c r="U148" s="2">
        <f t="shared" si="22"/>
        <v>1</v>
      </c>
      <c r="V148" s="2" t="str">
        <f t="shared" si="23"/>
        <v>919262570165</v>
      </c>
    </row>
    <row r="149" spans="1:22" x14ac:dyDescent="0.35">
      <c r="A149" s="2" t="s">
        <v>684</v>
      </c>
      <c r="B149" s="2" t="s">
        <v>685</v>
      </c>
      <c r="C149" s="2" t="s">
        <v>686</v>
      </c>
      <c r="D149" s="2" t="s">
        <v>687</v>
      </c>
      <c r="E149" s="2" t="s">
        <v>2163</v>
      </c>
      <c r="F149" s="2" t="s">
        <v>689</v>
      </c>
      <c r="G149" s="15" t="s">
        <v>690</v>
      </c>
      <c r="H149" s="2" t="s">
        <v>691</v>
      </c>
      <c r="I149" s="2" t="s">
        <v>130</v>
      </c>
      <c r="J149" s="2" t="s">
        <v>141</v>
      </c>
      <c r="K149" s="2" t="s">
        <v>121</v>
      </c>
      <c r="L149" s="2" t="s">
        <v>692</v>
      </c>
      <c r="M149" s="2" t="str">
        <f>IF(TRIM(C149)="","Missing",IF(AND(LEN(TRIM(C149))=10,SUMPRODUCT(--(CODE(MID(TRIM(C149),{1,2,3,4,5,10},1))&gt;=65),--(CODE(MID(TRIM(C149),{1,2,3,4,5,10},1))&lt;=90))=6,ISNUMBER(--MID(TRIM(C149),6,4))),"Valid","Invalid"))</f>
        <v>Valid</v>
      </c>
      <c r="N149" s="2" t="str">
        <f t="shared" si="16"/>
        <v>Valid</v>
      </c>
      <c r="O149" s="2" t="str">
        <f t="shared" si="17"/>
        <v>Valid</v>
      </c>
      <c r="P149" s="2" t="str">
        <f t="shared" si="18"/>
        <v>Invalid</v>
      </c>
      <c r="Q149" s="2" t="str">
        <f t="shared" si="19"/>
        <v>Valid</v>
      </c>
      <c r="R149" s="2" t="str">
        <f>IF(TRIM(H149)="","Missing",IF(AND(LEN(TRIM(H149))=11,SUMPRODUCT(--(CODE(MID(TRIM(H149),{1,2,3,4},1))&gt;=65),--(CODE(MID(TRIM(H149),{1,2,3,4},1))&lt;=90))=4,MID(TRIM(H149),5,1)="0"),"Valid","Invalid"))</f>
        <v>Valid</v>
      </c>
      <c r="S149" s="2" t="str">
        <f t="shared" si="20"/>
        <v>Valid</v>
      </c>
      <c r="T149" s="2" t="str">
        <f t="shared" si="21"/>
        <v>Valid</v>
      </c>
      <c r="U149" s="2">
        <f t="shared" si="22"/>
        <v>1</v>
      </c>
      <c r="V149" s="2" t="str">
        <f t="shared" si="23"/>
        <v>735548640</v>
      </c>
    </row>
    <row r="150" spans="1:22" x14ac:dyDescent="0.35">
      <c r="A150" s="2" t="s">
        <v>449</v>
      </c>
      <c r="B150" s="2" t="s">
        <v>450</v>
      </c>
      <c r="C150" s="2" t="s">
        <v>2164</v>
      </c>
      <c r="D150" s="2" t="s">
        <v>452</v>
      </c>
      <c r="E150" s="2"/>
      <c r="F150" s="2" t="s">
        <v>2165</v>
      </c>
      <c r="G150" s="15" t="s">
        <v>454</v>
      </c>
      <c r="H150" s="2" t="s">
        <v>455</v>
      </c>
      <c r="I150" s="2" t="s">
        <v>130</v>
      </c>
      <c r="J150" s="2" t="s">
        <v>174</v>
      </c>
      <c r="K150" s="2" t="s">
        <v>121</v>
      </c>
      <c r="L150" s="2" t="s">
        <v>456</v>
      </c>
      <c r="M150" s="2" t="str">
        <f>IF(TRIM(C150)="","Missing",IF(AND(LEN(TRIM(C150))=10,SUMPRODUCT(--(CODE(MID(TRIM(C150),{1,2,3,4,5,10},1))&gt;=65),--(CODE(MID(TRIM(C150),{1,2,3,4,5,10},1))&lt;=90))=6,ISNUMBER(--MID(TRIM(C150),6,4))),"Valid","Invalid"))</f>
        <v>Valid</v>
      </c>
      <c r="N150" s="2" t="str">
        <f t="shared" si="16"/>
        <v>Valid</v>
      </c>
      <c r="O150" s="2" t="str">
        <f t="shared" si="17"/>
        <v>Missing</v>
      </c>
      <c r="P150" s="2" t="str">
        <f t="shared" si="18"/>
        <v>Valid</v>
      </c>
      <c r="Q150" s="2" t="str">
        <f t="shared" si="19"/>
        <v>Valid</v>
      </c>
      <c r="R150" s="2" t="str">
        <f>IF(TRIM(H150)="","Missing",IF(AND(LEN(TRIM(H150))=11,SUMPRODUCT(--(CODE(MID(TRIM(H150),{1,2,3,4},1))&gt;=65),--(CODE(MID(TRIM(H150),{1,2,3,4},1))&lt;=90))=4,MID(TRIM(H150),5,1)="0"),"Valid","Invalid"))</f>
        <v>Valid</v>
      </c>
      <c r="S150" s="2" t="str">
        <f t="shared" si="20"/>
        <v>Valid</v>
      </c>
      <c r="T150" s="2" t="str">
        <f t="shared" si="21"/>
        <v>Valid</v>
      </c>
      <c r="U150" s="2">
        <f t="shared" si="22"/>
        <v>1</v>
      </c>
      <c r="V150" s="2" t="str">
        <f t="shared" si="23"/>
        <v>919827567043</v>
      </c>
    </row>
    <row r="151" spans="1:22" x14ac:dyDescent="0.35">
      <c r="A151" s="2" t="s">
        <v>414</v>
      </c>
      <c r="B151" s="2" t="s">
        <v>415</v>
      </c>
      <c r="C151" s="2" t="s">
        <v>416</v>
      </c>
      <c r="D151" s="2" t="s">
        <v>417</v>
      </c>
      <c r="E151" s="2" t="s">
        <v>418</v>
      </c>
      <c r="F151" s="2" t="s">
        <v>2166</v>
      </c>
      <c r="G151" s="15"/>
      <c r="H151" s="2" t="s">
        <v>420</v>
      </c>
      <c r="I151" s="2" t="s">
        <v>130</v>
      </c>
      <c r="J151" s="2" t="s">
        <v>141</v>
      </c>
      <c r="K151" s="2" t="s">
        <v>121</v>
      </c>
      <c r="L151" s="2" t="s">
        <v>421</v>
      </c>
      <c r="M151" s="2" t="str">
        <f>IF(TRIM(C151)="","Missing",IF(AND(LEN(TRIM(C151))=10,SUMPRODUCT(--(CODE(MID(TRIM(C151),{1,2,3,4,5,10},1))&gt;=65),--(CODE(MID(TRIM(C151),{1,2,3,4,5,10},1))&lt;=90))=6,ISNUMBER(--MID(TRIM(C151),6,4))),"Valid","Invalid"))</f>
        <v>Valid</v>
      </c>
      <c r="N151" s="2" t="str">
        <f t="shared" si="16"/>
        <v>Valid</v>
      </c>
      <c r="O151" s="2" t="str">
        <f t="shared" si="17"/>
        <v>Valid</v>
      </c>
      <c r="P151" s="2" t="str">
        <f t="shared" si="18"/>
        <v>Valid</v>
      </c>
      <c r="Q151" s="2" t="str">
        <f t="shared" si="19"/>
        <v>Missing</v>
      </c>
      <c r="R151" s="2" t="str">
        <f>IF(TRIM(H151)="","Missing",IF(AND(LEN(TRIM(H151))=11,SUMPRODUCT(--(CODE(MID(TRIM(H151),{1,2,3,4},1))&gt;=65),--(CODE(MID(TRIM(H151),{1,2,3,4},1))&lt;=90))=4,MID(TRIM(H151),5,1)="0"),"Valid","Invalid"))</f>
        <v>Valid</v>
      </c>
      <c r="S151" s="2" t="str">
        <f t="shared" si="20"/>
        <v>Valid</v>
      </c>
      <c r="T151" s="2" t="str">
        <f t="shared" si="21"/>
        <v>Valid</v>
      </c>
      <c r="U151" s="2">
        <f t="shared" si="22"/>
        <v>1</v>
      </c>
      <c r="V151" s="2" t="str">
        <f t="shared" si="23"/>
        <v>917222310592</v>
      </c>
    </row>
    <row r="152" spans="1:22" x14ac:dyDescent="0.35">
      <c r="A152" s="2" t="s">
        <v>1230</v>
      </c>
      <c r="B152" s="2" t="s">
        <v>1231</v>
      </c>
      <c r="C152" s="2" t="s">
        <v>1232</v>
      </c>
      <c r="D152" s="2" t="s">
        <v>1233</v>
      </c>
      <c r="E152" s="2" t="s">
        <v>1234</v>
      </c>
      <c r="F152" s="2" t="s">
        <v>2167</v>
      </c>
      <c r="G152" s="15" t="s">
        <v>1236</v>
      </c>
      <c r="H152" s="2" t="s">
        <v>1237</v>
      </c>
      <c r="I152" s="2" t="s">
        <v>130</v>
      </c>
      <c r="J152" s="2" t="s">
        <v>174</v>
      </c>
      <c r="K152" s="2" t="s">
        <v>121</v>
      </c>
      <c r="L152" s="2" t="s">
        <v>1238</v>
      </c>
      <c r="M152" s="2" t="str">
        <f>IF(TRIM(C152)="","Missing",IF(AND(LEN(TRIM(C152))=10,SUMPRODUCT(--(CODE(MID(TRIM(C152),{1,2,3,4,5,10},1))&gt;=65),--(CODE(MID(TRIM(C152),{1,2,3,4,5,10},1))&lt;=90))=6,ISNUMBER(--MID(TRIM(C152),6,4))),"Valid","Invalid"))</f>
        <v>Valid</v>
      </c>
      <c r="N152" s="2" t="str">
        <f t="shared" si="16"/>
        <v>Valid</v>
      </c>
      <c r="O152" s="2" t="str">
        <f t="shared" si="17"/>
        <v>Valid</v>
      </c>
      <c r="P152" s="2" t="str">
        <f t="shared" si="18"/>
        <v>Valid</v>
      </c>
      <c r="Q152" s="2" t="str">
        <f t="shared" si="19"/>
        <v>Valid</v>
      </c>
      <c r="R152" s="2" t="str">
        <f>IF(TRIM(H152)="","Missing",IF(AND(LEN(TRIM(H152))=11,SUMPRODUCT(--(CODE(MID(TRIM(H152),{1,2,3,4},1))&gt;=65),--(CODE(MID(TRIM(H152),{1,2,3,4},1))&lt;=90))=4,MID(TRIM(H152),5,1)="0"),"Valid","Invalid"))</f>
        <v>Valid</v>
      </c>
      <c r="S152" s="2" t="str">
        <f t="shared" si="20"/>
        <v>Valid</v>
      </c>
      <c r="T152" s="2" t="str">
        <f t="shared" si="21"/>
        <v>Valid</v>
      </c>
      <c r="U152" s="2">
        <f t="shared" si="22"/>
        <v>0</v>
      </c>
      <c r="V152" s="2" t="str">
        <f t="shared" si="23"/>
        <v>916702814069</v>
      </c>
    </row>
    <row r="153" spans="1:22" x14ac:dyDescent="0.35">
      <c r="A153" s="2" t="s">
        <v>746</v>
      </c>
      <c r="B153" s="2" t="s">
        <v>747</v>
      </c>
      <c r="C153" s="2" t="s">
        <v>748</v>
      </c>
      <c r="D153" s="2" t="s">
        <v>749</v>
      </c>
      <c r="E153" s="2" t="s">
        <v>2168</v>
      </c>
      <c r="F153" s="2" t="s">
        <v>2169</v>
      </c>
      <c r="G153" s="15" t="s">
        <v>752</v>
      </c>
      <c r="H153" s="2" t="s">
        <v>753</v>
      </c>
      <c r="I153" s="2" t="s">
        <v>130</v>
      </c>
      <c r="J153" s="2" t="s">
        <v>164</v>
      </c>
      <c r="K153" s="2" t="s">
        <v>121</v>
      </c>
      <c r="L153" s="2" t="s">
        <v>754</v>
      </c>
      <c r="M153" s="2" t="str">
        <f>IF(TRIM(C153)="","Missing",IF(AND(LEN(TRIM(C153))=10,SUMPRODUCT(--(CODE(MID(TRIM(C153),{1,2,3,4,5,10},1))&gt;=65),--(CODE(MID(TRIM(C153),{1,2,3,4,5,10},1))&lt;=90))=6,ISNUMBER(--MID(TRIM(C153),6,4))),"Valid","Invalid"))</f>
        <v>Valid</v>
      </c>
      <c r="N153" s="2" t="str">
        <f t="shared" si="16"/>
        <v>Valid</v>
      </c>
      <c r="O153" s="2" t="str">
        <f t="shared" si="17"/>
        <v>Valid</v>
      </c>
      <c r="P153" s="2" t="str">
        <f t="shared" si="18"/>
        <v>Valid</v>
      </c>
      <c r="Q153" s="2" t="str">
        <f t="shared" si="19"/>
        <v>Valid</v>
      </c>
      <c r="R153" s="2" t="str">
        <f>IF(TRIM(H153)="","Missing",IF(AND(LEN(TRIM(H153))=11,SUMPRODUCT(--(CODE(MID(TRIM(H153),{1,2,3,4},1))&gt;=65),--(CODE(MID(TRIM(H153),{1,2,3,4},1))&lt;=90))=4,MID(TRIM(H153),5,1)="0"),"Valid","Invalid"))</f>
        <v>Valid</v>
      </c>
      <c r="S153" s="2" t="str">
        <f t="shared" si="20"/>
        <v>Valid</v>
      </c>
      <c r="T153" s="2" t="str">
        <f t="shared" si="21"/>
        <v>Valid</v>
      </c>
      <c r="U153" s="2">
        <f t="shared" si="22"/>
        <v>0</v>
      </c>
      <c r="V153" s="2" t="str">
        <f t="shared" si="23"/>
        <v>918478137674</v>
      </c>
    </row>
    <row r="154" spans="1:22" x14ac:dyDescent="0.35">
      <c r="A154" s="2" t="s">
        <v>1078</v>
      </c>
      <c r="B154" s="2" t="s">
        <v>1079</v>
      </c>
      <c r="C154" s="2"/>
      <c r="D154" s="2" t="s">
        <v>1080</v>
      </c>
      <c r="E154" s="2" t="s">
        <v>1081</v>
      </c>
      <c r="F154" s="2" t="s">
        <v>1082</v>
      </c>
      <c r="G154" s="15" t="s">
        <v>1083</v>
      </c>
      <c r="H154" s="2" t="s">
        <v>1084</v>
      </c>
      <c r="I154" s="2" t="s">
        <v>130</v>
      </c>
      <c r="J154" s="2" t="s">
        <v>359</v>
      </c>
      <c r="K154" s="2" t="s">
        <v>121</v>
      </c>
      <c r="L154" s="2" t="s">
        <v>1085</v>
      </c>
      <c r="M154" s="2" t="str">
        <f>IF(TRIM(C154)="","Missing",IF(AND(LEN(TRIM(C154))=10,SUMPRODUCT(--(CODE(MID(TRIM(C154),{1,2,3,4,5,10},1))&gt;=65),--(CODE(MID(TRIM(C154),{1,2,3,4,5,10},1))&lt;=90))=6,ISNUMBER(--MID(TRIM(C154),6,4))),"Valid","Invalid"))</f>
        <v>Missing</v>
      </c>
      <c r="N154" s="2" t="str">
        <f t="shared" si="16"/>
        <v>PAN Mismatch</v>
      </c>
      <c r="O154" s="2" t="str">
        <f t="shared" si="17"/>
        <v>Valid</v>
      </c>
      <c r="P154" s="2" t="str">
        <f t="shared" si="18"/>
        <v>Invalid</v>
      </c>
      <c r="Q154" s="2" t="str">
        <f t="shared" si="19"/>
        <v>Valid</v>
      </c>
      <c r="R154" s="2" t="str">
        <f>IF(TRIM(H154)="","Missing",IF(AND(LEN(TRIM(H154))=11,SUMPRODUCT(--(CODE(MID(TRIM(H154),{1,2,3,4},1))&gt;=65),--(CODE(MID(TRIM(H154),{1,2,3,4},1))&lt;=90))=4,MID(TRIM(H154),5,1)="0"),"Valid","Invalid"))</f>
        <v>Valid</v>
      </c>
      <c r="S154" s="2" t="str">
        <f t="shared" si="20"/>
        <v>Valid</v>
      </c>
      <c r="T154" s="2" t="str">
        <f t="shared" si="21"/>
        <v>Valid</v>
      </c>
      <c r="U154" s="2">
        <f t="shared" si="22"/>
        <v>3</v>
      </c>
      <c r="V154" s="2" t="str">
        <f t="shared" si="23"/>
        <v>878730024</v>
      </c>
    </row>
    <row r="155" spans="1:22" x14ac:dyDescent="0.35">
      <c r="A155" s="2" t="s">
        <v>272</v>
      </c>
      <c r="B155" s="2" t="s">
        <v>273</v>
      </c>
      <c r="C155" s="2" t="s">
        <v>274</v>
      </c>
      <c r="D155" s="2" t="s">
        <v>275</v>
      </c>
      <c r="E155" s="2" t="s">
        <v>2170</v>
      </c>
      <c r="F155" s="2" t="s">
        <v>2171</v>
      </c>
      <c r="G155" s="15" t="s">
        <v>278</v>
      </c>
      <c r="H155" s="2" t="s">
        <v>279</v>
      </c>
      <c r="I155" s="2" t="s">
        <v>130</v>
      </c>
      <c r="J155" s="2" t="s">
        <v>174</v>
      </c>
      <c r="K155" s="2" t="s">
        <v>121</v>
      </c>
      <c r="L155" s="2" t="s">
        <v>280</v>
      </c>
      <c r="M155" s="2" t="str">
        <f>IF(TRIM(C155)="","Missing",IF(AND(LEN(TRIM(C155))=10,SUMPRODUCT(--(CODE(MID(TRIM(C155),{1,2,3,4,5,10},1))&gt;=65),--(CODE(MID(TRIM(C155),{1,2,3,4,5,10},1))&lt;=90))=6,ISNUMBER(--MID(TRIM(C155),6,4))),"Valid","Invalid"))</f>
        <v>Valid</v>
      </c>
      <c r="N155" s="2" t="str">
        <f t="shared" si="16"/>
        <v>Valid</v>
      </c>
      <c r="O155" s="2" t="str">
        <f t="shared" si="17"/>
        <v>Valid</v>
      </c>
      <c r="P155" s="2" t="str">
        <f t="shared" si="18"/>
        <v>Valid</v>
      </c>
      <c r="Q155" s="2" t="str">
        <f t="shared" si="19"/>
        <v>Valid</v>
      </c>
      <c r="R155" s="2" t="str">
        <f>IF(TRIM(H155)="","Missing",IF(AND(LEN(TRIM(H155))=11,SUMPRODUCT(--(CODE(MID(TRIM(H155),{1,2,3,4},1))&gt;=65),--(CODE(MID(TRIM(H155),{1,2,3,4},1))&lt;=90))=4,MID(TRIM(H155),5,1)="0"),"Valid","Invalid"))</f>
        <v>Valid</v>
      </c>
      <c r="S155" s="2" t="str">
        <f t="shared" si="20"/>
        <v>Valid</v>
      </c>
      <c r="T155" s="2" t="str">
        <f t="shared" si="21"/>
        <v>Valid</v>
      </c>
      <c r="U155" s="2">
        <f t="shared" si="22"/>
        <v>0</v>
      </c>
      <c r="V155" s="2" t="str">
        <f t="shared" si="23"/>
        <v>918044818321</v>
      </c>
    </row>
    <row r="156" spans="1:22" x14ac:dyDescent="0.35">
      <c r="A156" s="2" t="s">
        <v>1191</v>
      </c>
      <c r="B156" s="2" t="s">
        <v>1192</v>
      </c>
      <c r="C156" s="2" t="s">
        <v>1193</v>
      </c>
      <c r="D156" s="2" t="s">
        <v>1194</v>
      </c>
      <c r="E156" s="2" t="s">
        <v>1195</v>
      </c>
      <c r="F156" s="2" t="s">
        <v>2172</v>
      </c>
      <c r="G156" s="15"/>
      <c r="H156" s="2" t="s">
        <v>1197</v>
      </c>
      <c r="I156" s="2" t="s">
        <v>130</v>
      </c>
      <c r="J156" s="2" t="s">
        <v>164</v>
      </c>
      <c r="K156" s="2" t="s">
        <v>142</v>
      </c>
      <c r="L156" s="2" t="s">
        <v>1198</v>
      </c>
      <c r="M156" s="2" t="e">
        <f>IF(TRIM(C156)="","Missing",IF(AND(LEN(TRIM(C156))=10,SUMPRODUCT(--(CODE(MID(TRIM(C156),{1,2,3,4,5,10},1))&gt;=65),--(CODE(MID(TRIM(C156),{1,2,3,4,5,10},1))&lt;=90))=6,ISNUMBER(--MID(TRIM(C156),6,4))),"Valid","Invalid"))</f>
        <v>#VALUE!</v>
      </c>
      <c r="N156" s="2" t="str">
        <f t="shared" si="16"/>
        <v>PAN Mismatch</v>
      </c>
      <c r="O156" s="2" t="str">
        <f t="shared" si="17"/>
        <v>Valid</v>
      </c>
      <c r="P156" s="2" t="str">
        <f t="shared" si="18"/>
        <v>Valid</v>
      </c>
      <c r="Q156" s="2" t="str">
        <f t="shared" si="19"/>
        <v>Missing</v>
      </c>
      <c r="R156" s="2" t="str">
        <f>IF(TRIM(H156)="","Missing",IF(AND(LEN(TRIM(H156))=11,SUMPRODUCT(--(CODE(MID(TRIM(H156),{1,2,3,4},1))&gt;=65),--(CODE(MID(TRIM(H156),{1,2,3,4},1))&lt;=90))=4,MID(TRIM(H156),5,1)="0"),"Valid","Invalid"))</f>
        <v>Valid</v>
      </c>
      <c r="S156" s="2" t="str">
        <f t="shared" si="20"/>
        <v>Valid</v>
      </c>
      <c r="T156" s="2" t="str">
        <f t="shared" si="21"/>
        <v>Valid</v>
      </c>
      <c r="U156" s="2">
        <f t="shared" si="22"/>
        <v>3</v>
      </c>
      <c r="V156" s="2" t="str">
        <f t="shared" si="23"/>
        <v>919112075452</v>
      </c>
    </row>
    <row r="157" spans="1:22" x14ac:dyDescent="0.35">
      <c r="A157" s="2" t="s">
        <v>325</v>
      </c>
      <c r="B157" s="2" t="s">
        <v>326</v>
      </c>
      <c r="C157" s="2" t="s">
        <v>327</v>
      </c>
      <c r="D157" s="2"/>
      <c r="E157" s="2" t="s">
        <v>2173</v>
      </c>
      <c r="F157" s="2" t="s">
        <v>2174</v>
      </c>
      <c r="G157" s="15" t="s">
        <v>330</v>
      </c>
      <c r="H157" s="2" t="s">
        <v>331</v>
      </c>
      <c r="I157" s="2" t="s">
        <v>130</v>
      </c>
      <c r="J157" s="2" t="s">
        <v>141</v>
      </c>
      <c r="K157" s="2" t="s">
        <v>121</v>
      </c>
      <c r="L157" s="2" t="s">
        <v>332</v>
      </c>
      <c r="M157" s="2" t="str">
        <f>IF(TRIM(C157)="","Missing",IF(AND(LEN(TRIM(C157))=10,SUMPRODUCT(--(CODE(MID(TRIM(C157),{1,2,3,4,5,10},1))&gt;=65),--(CODE(MID(TRIM(C157),{1,2,3,4,5,10},1))&lt;=90))=6,ISNUMBER(--MID(TRIM(C157),6,4))),"Valid","Invalid"))</f>
        <v>Valid</v>
      </c>
      <c r="N157" s="2" t="str">
        <f t="shared" si="16"/>
        <v>Missing</v>
      </c>
      <c r="O157" s="2" t="str">
        <f t="shared" si="17"/>
        <v>Valid</v>
      </c>
      <c r="P157" s="2" t="str">
        <f t="shared" si="18"/>
        <v>Valid</v>
      </c>
      <c r="Q157" s="2" t="str">
        <f t="shared" si="19"/>
        <v>Valid</v>
      </c>
      <c r="R157" s="2" t="str">
        <f>IF(TRIM(H157)="","Missing",IF(AND(LEN(TRIM(H157))=11,SUMPRODUCT(--(CODE(MID(TRIM(H157),{1,2,3,4},1))&gt;=65),--(CODE(MID(TRIM(H157),{1,2,3,4},1))&lt;=90))=4,MID(TRIM(H157),5,1)="0"),"Valid","Invalid"))</f>
        <v>Valid</v>
      </c>
      <c r="S157" s="2" t="str">
        <f t="shared" si="20"/>
        <v>Valid</v>
      </c>
      <c r="T157" s="2" t="str">
        <f t="shared" si="21"/>
        <v>Valid</v>
      </c>
      <c r="U157" s="2">
        <f t="shared" si="22"/>
        <v>1</v>
      </c>
      <c r="V157" s="2" t="str">
        <f t="shared" si="23"/>
        <v>916119393250</v>
      </c>
    </row>
    <row r="158" spans="1:22" x14ac:dyDescent="0.35">
      <c r="A158" s="2" t="s">
        <v>1524</v>
      </c>
      <c r="B158" s="2" t="s">
        <v>1525</v>
      </c>
      <c r="C158" s="2" t="s">
        <v>1526</v>
      </c>
      <c r="D158" s="2" t="s">
        <v>1527</v>
      </c>
      <c r="E158" s="2" t="s">
        <v>1528</v>
      </c>
      <c r="F158" s="2" t="s">
        <v>2175</v>
      </c>
      <c r="G158" s="15" t="s">
        <v>1530</v>
      </c>
      <c r="H158" s="2" t="s">
        <v>1531</v>
      </c>
      <c r="I158" s="2" t="s">
        <v>130</v>
      </c>
      <c r="J158" s="2" t="s">
        <v>141</v>
      </c>
      <c r="K158" s="2" t="s">
        <v>121</v>
      </c>
      <c r="L158" s="2" t="s">
        <v>1532</v>
      </c>
      <c r="M158" s="2" t="str">
        <f>IF(TRIM(C158)="","Missing",IF(AND(LEN(TRIM(C158))=10,SUMPRODUCT(--(CODE(MID(TRIM(C158),{1,2,3,4,5,10},1))&gt;=65),--(CODE(MID(TRIM(C158),{1,2,3,4,5,10},1))&lt;=90))=6,ISNUMBER(--MID(TRIM(C158),6,4))),"Valid","Invalid"))</f>
        <v>Valid</v>
      </c>
      <c r="N158" s="2" t="str">
        <f t="shared" si="16"/>
        <v>Valid</v>
      </c>
      <c r="O158" s="2" t="str">
        <f t="shared" si="17"/>
        <v>Invalid</v>
      </c>
      <c r="P158" s="2" t="str">
        <f t="shared" si="18"/>
        <v>Valid</v>
      </c>
      <c r="Q158" s="2" t="str">
        <f t="shared" si="19"/>
        <v>Valid</v>
      </c>
      <c r="R158" s="2" t="str">
        <f>IF(TRIM(H158)="","Missing",IF(AND(LEN(TRIM(H158))=11,SUMPRODUCT(--(CODE(MID(TRIM(H158),{1,2,3,4},1))&gt;=65),--(CODE(MID(TRIM(H158),{1,2,3,4},1))&lt;=90))=4,MID(TRIM(H158),5,1)="0"),"Valid","Invalid"))</f>
        <v>Valid</v>
      </c>
      <c r="S158" s="2" t="str">
        <f t="shared" si="20"/>
        <v>Valid</v>
      </c>
      <c r="T158" s="2" t="str">
        <f t="shared" si="21"/>
        <v>Valid</v>
      </c>
      <c r="U158" s="2">
        <f t="shared" si="22"/>
        <v>1</v>
      </c>
      <c r="V158" s="2" t="str">
        <f t="shared" si="23"/>
        <v>918663836151</v>
      </c>
    </row>
    <row r="159" spans="1:22" x14ac:dyDescent="0.35">
      <c r="A159" s="2" t="s">
        <v>663</v>
      </c>
      <c r="B159" s="2" t="s">
        <v>664</v>
      </c>
      <c r="C159" s="2" t="s">
        <v>2176</v>
      </c>
      <c r="D159" s="2" t="s">
        <v>666</v>
      </c>
      <c r="E159" s="2" t="s">
        <v>667</v>
      </c>
      <c r="F159" s="2" t="s">
        <v>2177</v>
      </c>
      <c r="G159" s="15" t="s">
        <v>669</v>
      </c>
      <c r="H159" s="2" t="s">
        <v>670</v>
      </c>
      <c r="I159" s="2" t="s">
        <v>130</v>
      </c>
      <c r="J159" s="2" t="s">
        <v>141</v>
      </c>
      <c r="K159" s="2" t="s">
        <v>121</v>
      </c>
      <c r="L159" s="2" t="s">
        <v>671</v>
      </c>
      <c r="M159" s="2" t="str">
        <f>IF(TRIM(C159)="","Missing",IF(AND(LEN(TRIM(C159))=10,SUMPRODUCT(--(CODE(MID(TRIM(C159),{1,2,3,4,5,10},1))&gt;=65),--(CODE(MID(TRIM(C159),{1,2,3,4,5,10},1))&lt;=90))=6,ISNUMBER(--MID(TRIM(C159),6,4))),"Valid","Invalid"))</f>
        <v>Valid</v>
      </c>
      <c r="N159" s="2" t="str">
        <f t="shared" si="16"/>
        <v>Valid</v>
      </c>
      <c r="O159" s="2" t="str">
        <f t="shared" si="17"/>
        <v>Valid</v>
      </c>
      <c r="P159" s="2" t="str">
        <f t="shared" si="18"/>
        <v>Valid</v>
      </c>
      <c r="Q159" s="2" t="str">
        <f t="shared" si="19"/>
        <v>Valid</v>
      </c>
      <c r="R159" s="2" t="str">
        <f>IF(TRIM(H159)="","Missing",IF(AND(LEN(TRIM(H159))=11,SUMPRODUCT(--(CODE(MID(TRIM(H159),{1,2,3,4},1))&gt;=65),--(CODE(MID(TRIM(H159),{1,2,3,4},1))&lt;=90))=4,MID(TRIM(H159),5,1)="0"),"Valid","Invalid"))</f>
        <v>Valid</v>
      </c>
      <c r="S159" s="2" t="str">
        <f t="shared" si="20"/>
        <v>Valid</v>
      </c>
      <c r="T159" s="2" t="str">
        <f t="shared" si="21"/>
        <v>Valid</v>
      </c>
      <c r="U159" s="2">
        <f t="shared" si="22"/>
        <v>0</v>
      </c>
      <c r="V159" s="2" t="str">
        <f t="shared" si="23"/>
        <v>916126691215</v>
      </c>
    </row>
    <row r="160" spans="1:22" x14ac:dyDescent="0.35">
      <c r="A160" s="2" t="s">
        <v>466</v>
      </c>
      <c r="B160" s="2" t="s">
        <v>467</v>
      </c>
      <c r="C160" s="2" t="s">
        <v>468</v>
      </c>
      <c r="D160" s="2" t="s">
        <v>469</v>
      </c>
      <c r="E160" s="2" t="s">
        <v>470</v>
      </c>
      <c r="F160" s="2" t="s">
        <v>2178</v>
      </c>
      <c r="G160" s="15" t="s">
        <v>472</v>
      </c>
      <c r="H160" s="2" t="s">
        <v>473</v>
      </c>
      <c r="I160" s="2" t="s">
        <v>130</v>
      </c>
      <c r="J160" s="2" t="s">
        <v>164</v>
      </c>
      <c r="K160" s="2" t="s">
        <v>121</v>
      </c>
      <c r="L160" s="2" t="s">
        <v>474</v>
      </c>
      <c r="M160" s="2" t="str">
        <f>IF(TRIM(C160)="","Missing",IF(AND(LEN(TRIM(C160))=10,SUMPRODUCT(--(CODE(MID(TRIM(C160),{1,2,3,4,5,10},1))&gt;=65),--(CODE(MID(TRIM(C160),{1,2,3,4,5,10},1))&lt;=90))=6,ISNUMBER(--MID(TRIM(C160),6,4))),"Valid","Invalid"))</f>
        <v>Valid</v>
      </c>
      <c r="N160" s="2" t="str">
        <f t="shared" si="16"/>
        <v>Valid</v>
      </c>
      <c r="O160" s="2" t="str">
        <f t="shared" si="17"/>
        <v>Valid</v>
      </c>
      <c r="P160" s="2" t="str">
        <f t="shared" si="18"/>
        <v>Valid</v>
      </c>
      <c r="Q160" s="2" t="str">
        <f t="shared" si="19"/>
        <v>Valid</v>
      </c>
      <c r="R160" s="2" t="str">
        <f>IF(TRIM(H160)="","Missing",IF(AND(LEN(TRIM(H160))=11,SUMPRODUCT(--(CODE(MID(TRIM(H160),{1,2,3,4},1))&gt;=65),--(CODE(MID(TRIM(H160),{1,2,3,4},1))&lt;=90))=4,MID(TRIM(H160),5,1)="0"),"Valid","Invalid"))</f>
        <v>Valid</v>
      </c>
      <c r="S160" s="2" t="str">
        <f t="shared" si="20"/>
        <v>Valid</v>
      </c>
      <c r="T160" s="2" t="str">
        <f t="shared" si="21"/>
        <v>Valid</v>
      </c>
      <c r="U160" s="2">
        <f t="shared" si="22"/>
        <v>0</v>
      </c>
      <c r="V160" s="2" t="str">
        <f t="shared" si="23"/>
        <v>919026952499</v>
      </c>
    </row>
    <row r="161" spans="1:22" x14ac:dyDescent="0.35">
      <c r="A161" s="2" t="s">
        <v>1127</v>
      </c>
      <c r="B161" s="2" t="s">
        <v>2179</v>
      </c>
      <c r="C161" s="2" t="s">
        <v>1129</v>
      </c>
      <c r="D161" s="2" t="s">
        <v>1130</v>
      </c>
      <c r="E161" s="2" t="s">
        <v>1131</v>
      </c>
      <c r="F161" s="2" t="s">
        <v>2180</v>
      </c>
      <c r="G161" s="15" t="s">
        <v>1133</v>
      </c>
      <c r="H161" s="2" t="s">
        <v>1134</v>
      </c>
      <c r="I161" s="2" t="s">
        <v>130</v>
      </c>
      <c r="J161" s="2" t="s">
        <v>359</v>
      </c>
      <c r="K161" s="2" t="s">
        <v>121</v>
      </c>
      <c r="L161" s="2" t="s">
        <v>1135</v>
      </c>
      <c r="M161" s="2" t="str">
        <f>IF(TRIM(C161)="","Missing",IF(AND(LEN(TRIM(C161))=10,SUMPRODUCT(--(CODE(MID(TRIM(C161),{1,2,3,4,5,10},1))&gt;=65),--(CODE(MID(TRIM(C161),{1,2,3,4,5,10},1))&lt;=90))=6,ISNUMBER(--MID(TRIM(C161),6,4))),"Valid","Invalid"))</f>
        <v>Valid</v>
      </c>
      <c r="N161" s="2" t="str">
        <f t="shared" si="16"/>
        <v>Valid</v>
      </c>
      <c r="O161" s="2" t="str">
        <f t="shared" si="17"/>
        <v>Valid</v>
      </c>
      <c r="P161" s="2" t="str">
        <f t="shared" si="18"/>
        <v>Valid</v>
      </c>
      <c r="Q161" s="2" t="str">
        <f t="shared" si="19"/>
        <v>Valid</v>
      </c>
      <c r="R161" s="2" t="str">
        <f>IF(TRIM(H161)="","Missing",IF(AND(LEN(TRIM(H161))=11,SUMPRODUCT(--(CODE(MID(TRIM(H161),{1,2,3,4},1))&gt;=65),--(CODE(MID(TRIM(H161),{1,2,3,4},1))&lt;=90))=4,MID(TRIM(H161),5,1)="0"),"Valid","Invalid"))</f>
        <v>Valid</v>
      </c>
      <c r="S161" s="2" t="str">
        <f t="shared" si="20"/>
        <v>Valid</v>
      </c>
      <c r="T161" s="2" t="str">
        <f t="shared" si="21"/>
        <v>Valid</v>
      </c>
      <c r="U161" s="2">
        <f t="shared" si="22"/>
        <v>0</v>
      </c>
      <c r="V161" s="2" t="str">
        <f t="shared" si="23"/>
        <v>919719788977</v>
      </c>
    </row>
    <row r="162" spans="1:22" x14ac:dyDescent="0.35">
      <c r="A162" s="2" t="s">
        <v>1019</v>
      </c>
      <c r="B162" s="2" t="s">
        <v>1020</v>
      </c>
      <c r="C162" s="2" t="s">
        <v>1021</v>
      </c>
      <c r="D162" s="2" t="s">
        <v>1123</v>
      </c>
      <c r="E162" s="2" t="s">
        <v>1022</v>
      </c>
      <c r="F162" s="2" t="s">
        <v>2181</v>
      </c>
      <c r="G162" s="15" t="s">
        <v>1024</v>
      </c>
      <c r="H162" s="2" t="s">
        <v>1025</v>
      </c>
      <c r="I162" s="2" t="s">
        <v>130</v>
      </c>
      <c r="J162" s="2" t="s">
        <v>174</v>
      </c>
      <c r="K162" s="2" t="s">
        <v>121</v>
      </c>
      <c r="L162" s="2" t="s">
        <v>1026</v>
      </c>
      <c r="M162" s="2" t="str">
        <f>IF(TRIM(C162)="","Missing",IF(AND(LEN(TRIM(C162))=10,SUMPRODUCT(--(CODE(MID(TRIM(C162),{1,2,3,4,5,10},1))&gt;=65),--(CODE(MID(TRIM(C162),{1,2,3,4,5,10},1))&lt;=90))=6,ISNUMBER(--MID(TRIM(C162),6,4))),"Valid","Invalid"))</f>
        <v>Valid</v>
      </c>
      <c r="N162" s="2" t="str">
        <f t="shared" si="16"/>
        <v>Valid</v>
      </c>
      <c r="O162" s="2" t="str">
        <f t="shared" si="17"/>
        <v>Valid</v>
      </c>
      <c r="P162" s="2" t="str">
        <f t="shared" si="18"/>
        <v>Valid</v>
      </c>
      <c r="Q162" s="2" t="str">
        <f t="shared" si="19"/>
        <v>Valid</v>
      </c>
      <c r="R162" s="2" t="str">
        <f>IF(TRIM(H162)="","Missing",IF(AND(LEN(TRIM(H162))=11,SUMPRODUCT(--(CODE(MID(TRIM(H162),{1,2,3,4},1))&gt;=65),--(CODE(MID(TRIM(H162),{1,2,3,4},1))&lt;=90))=4,MID(TRIM(H162),5,1)="0"),"Valid","Invalid"))</f>
        <v>Valid</v>
      </c>
      <c r="S162" s="2" t="str">
        <f t="shared" si="20"/>
        <v>Valid</v>
      </c>
      <c r="T162" s="2" t="str">
        <f t="shared" si="21"/>
        <v>Valid</v>
      </c>
      <c r="U162" s="2">
        <f t="shared" si="22"/>
        <v>0</v>
      </c>
      <c r="V162" s="2" t="str">
        <f t="shared" si="23"/>
        <v>918911415208</v>
      </c>
    </row>
    <row r="163" spans="1:22" x14ac:dyDescent="0.35">
      <c r="A163" s="2" t="s">
        <v>1070</v>
      </c>
      <c r="B163" s="2" t="s">
        <v>1071</v>
      </c>
      <c r="C163" s="2" t="s">
        <v>1072</v>
      </c>
      <c r="D163" s="2"/>
      <c r="E163" s="2" t="s">
        <v>1073</v>
      </c>
      <c r="F163" s="2" t="s">
        <v>2182</v>
      </c>
      <c r="G163" s="15" t="s">
        <v>1075</v>
      </c>
      <c r="H163" s="2" t="s">
        <v>1076</v>
      </c>
      <c r="I163" s="2" t="s">
        <v>130</v>
      </c>
      <c r="J163" s="2" t="s">
        <v>164</v>
      </c>
      <c r="K163" s="2" t="s">
        <v>121</v>
      </c>
      <c r="L163" s="2" t="s">
        <v>1077</v>
      </c>
      <c r="M163" s="2" t="str">
        <f>IF(TRIM(C163)="","Missing",IF(AND(LEN(TRIM(C163))=10,SUMPRODUCT(--(CODE(MID(TRIM(C163),{1,2,3,4,5,10},1))&gt;=65),--(CODE(MID(TRIM(C163),{1,2,3,4,5,10},1))&lt;=90))=6,ISNUMBER(--MID(TRIM(C163),6,4))),"Valid","Invalid"))</f>
        <v>Valid</v>
      </c>
      <c r="N163" s="2" t="str">
        <f t="shared" si="16"/>
        <v>Missing</v>
      </c>
      <c r="O163" s="2" t="str">
        <f t="shared" si="17"/>
        <v>Valid</v>
      </c>
      <c r="P163" s="2" t="str">
        <f t="shared" si="18"/>
        <v>Valid</v>
      </c>
      <c r="Q163" s="2" t="str">
        <f t="shared" si="19"/>
        <v>Valid</v>
      </c>
      <c r="R163" s="2" t="str">
        <f>IF(TRIM(H163)="","Missing",IF(AND(LEN(TRIM(H163))=11,SUMPRODUCT(--(CODE(MID(TRIM(H163),{1,2,3,4},1))&gt;=65),--(CODE(MID(TRIM(H163),{1,2,3,4},1))&lt;=90))=4,MID(TRIM(H163),5,1)="0"),"Valid","Invalid"))</f>
        <v>Valid</v>
      </c>
      <c r="S163" s="2" t="str">
        <f t="shared" si="20"/>
        <v>Valid</v>
      </c>
      <c r="T163" s="2" t="str">
        <f t="shared" si="21"/>
        <v>Valid</v>
      </c>
      <c r="U163" s="2">
        <f t="shared" si="22"/>
        <v>1</v>
      </c>
      <c r="V163" s="2" t="str">
        <f t="shared" si="23"/>
        <v>917440496391</v>
      </c>
    </row>
    <row r="164" spans="1:22" x14ac:dyDescent="0.35">
      <c r="A164" s="2" t="s">
        <v>1965</v>
      </c>
      <c r="B164" s="2" t="s">
        <v>1966</v>
      </c>
      <c r="C164" s="2" t="s">
        <v>1967</v>
      </c>
      <c r="D164" s="2" t="s">
        <v>1968</v>
      </c>
      <c r="E164" s="2" t="s">
        <v>1969</v>
      </c>
      <c r="F164" s="2" t="s">
        <v>2183</v>
      </c>
      <c r="G164" s="15" t="s">
        <v>1971</v>
      </c>
      <c r="H164" s="2" t="s">
        <v>1972</v>
      </c>
      <c r="I164" s="2" t="s">
        <v>130</v>
      </c>
      <c r="J164" s="2" t="s">
        <v>141</v>
      </c>
      <c r="K164" s="2" t="s">
        <v>121</v>
      </c>
      <c r="L164" s="2" t="s">
        <v>1973</v>
      </c>
      <c r="M164" s="2" t="str">
        <f>IF(TRIM(C164)="","Missing",IF(AND(LEN(TRIM(C164))=10,SUMPRODUCT(--(CODE(MID(TRIM(C164),{1,2,3,4,5,10},1))&gt;=65),--(CODE(MID(TRIM(C164),{1,2,3,4,5,10},1))&lt;=90))=6,ISNUMBER(--MID(TRIM(C164),6,4))),"Valid","Invalid"))</f>
        <v>Valid</v>
      </c>
      <c r="N164" s="2" t="str">
        <f t="shared" si="16"/>
        <v>Valid</v>
      </c>
      <c r="O164" s="2" t="str">
        <f t="shared" si="17"/>
        <v>Valid</v>
      </c>
      <c r="P164" s="2" t="str">
        <f t="shared" si="18"/>
        <v>Valid</v>
      </c>
      <c r="Q164" s="2" t="str">
        <f t="shared" si="19"/>
        <v>Valid</v>
      </c>
      <c r="R164" s="2" t="str">
        <f>IF(TRIM(H164)="","Missing",IF(AND(LEN(TRIM(H164))=11,SUMPRODUCT(--(CODE(MID(TRIM(H164),{1,2,3,4},1))&gt;=65),--(CODE(MID(TRIM(H164),{1,2,3,4},1))&lt;=90))=4,MID(TRIM(H164),5,1)="0"),"Valid","Invalid"))</f>
        <v>Valid</v>
      </c>
      <c r="S164" s="2" t="str">
        <f t="shared" si="20"/>
        <v>Valid</v>
      </c>
      <c r="T164" s="2" t="str">
        <f t="shared" si="21"/>
        <v>Valid</v>
      </c>
      <c r="U164" s="2">
        <f t="shared" si="22"/>
        <v>0</v>
      </c>
      <c r="V164" s="2" t="str">
        <f t="shared" si="23"/>
        <v>918820700159</v>
      </c>
    </row>
    <row r="165" spans="1:22" x14ac:dyDescent="0.35">
      <c r="A165" s="2" t="s">
        <v>1203</v>
      </c>
      <c r="B165" s="2" t="s">
        <v>1204</v>
      </c>
      <c r="C165" s="2" t="s">
        <v>1205</v>
      </c>
      <c r="D165" s="2" t="s">
        <v>1206</v>
      </c>
      <c r="E165" s="2" t="s">
        <v>1207</v>
      </c>
      <c r="F165" s="2" t="s">
        <v>2184</v>
      </c>
      <c r="G165" s="15" t="s">
        <v>1209</v>
      </c>
      <c r="H165" s="2"/>
      <c r="I165" s="2" t="s">
        <v>130</v>
      </c>
      <c r="J165" s="2" t="s">
        <v>164</v>
      </c>
      <c r="K165" s="2" t="s">
        <v>121</v>
      </c>
      <c r="L165" s="2" t="s">
        <v>1210</v>
      </c>
      <c r="M165" s="2" t="str">
        <f>IF(TRIM(C165)="","Missing",IF(AND(LEN(TRIM(C165))=10,SUMPRODUCT(--(CODE(MID(TRIM(C165),{1,2,3,4,5,10},1))&gt;=65),--(CODE(MID(TRIM(C165),{1,2,3,4,5,10},1))&lt;=90))=6,ISNUMBER(--MID(TRIM(C165),6,4))),"Valid","Invalid"))</f>
        <v>Valid</v>
      </c>
      <c r="N165" s="2" t="str">
        <f t="shared" si="16"/>
        <v>Valid</v>
      </c>
      <c r="O165" s="2" t="str">
        <f t="shared" si="17"/>
        <v>Valid</v>
      </c>
      <c r="P165" s="2" t="str">
        <f t="shared" si="18"/>
        <v>Valid</v>
      </c>
      <c r="Q165" s="2" t="str">
        <f t="shared" si="19"/>
        <v>Valid</v>
      </c>
      <c r="R165" s="2" t="str">
        <f>IF(TRIM(H165)="","Missing",IF(AND(LEN(TRIM(H165))=11,SUMPRODUCT(--(CODE(MID(TRIM(H165),{1,2,3,4},1))&gt;=65),--(CODE(MID(TRIM(H165),{1,2,3,4},1))&lt;=90))=4,MID(TRIM(H165),5,1)="0"),"Valid","Invalid"))</f>
        <v>Missing</v>
      </c>
      <c r="S165" s="2" t="str">
        <f t="shared" si="20"/>
        <v>Valid</v>
      </c>
      <c r="T165" s="2" t="str">
        <f t="shared" si="21"/>
        <v>Valid</v>
      </c>
      <c r="U165" s="2">
        <f t="shared" si="22"/>
        <v>1</v>
      </c>
      <c r="V165" s="2" t="str">
        <f t="shared" si="23"/>
        <v>919490785158</v>
      </c>
    </row>
    <row r="166" spans="1:22" x14ac:dyDescent="0.35">
      <c r="A166" s="2" t="s">
        <v>351</v>
      </c>
      <c r="B166" s="2" t="s">
        <v>352</v>
      </c>
      <c r="C166" s="2" t="s">
        <v>353</v>
      </c>
      <c r="D166" s="2" t="s">
        <v>354</v>
      </c>
      <c r="E166" s="2" t="s">
        <v>355</v>
      </c>
      <c r="F166" s="2" t="s">
        <v>2185</v>
      </c>
      <c r="G166" s="15" t="s">
        <v>357</v>
      </c>
      <c r="H166" s="2" t="s">
        <v>358</v>
      </c>
      <c r="I166" s="2" t="s">
        <v>130</v>
      </c>
      <c r="J166" s="2" t="s">
        <v>359</v>
      </c>
      <c r="K166" s="2" t="s">
        <v>121</v>
      </c>
      <c r="L166" s="2" t="s">
        <v>360</v>
      </c>
      <c r="M166" s="2" t="str">
        <f>IF(TRIM(C166)="","Missing",IF(AND(LEN(TRIM(C166))=10,SUMPRODUCT(--(CODE(MID(TRIM(C166),{1,2,3,4,5,10},1))&gt;=65),--(CODE(MID(TRIM(C166),{1,2,3,4,5,10},1))&lt;=90))=6,ISNUMBER(--MID(TRIM(C166),6,4))),"Valid","Invalid"))</f>
        <v>Valid</v>
      </c>
      <c r="N166" s="2" t="str">
        <f t="shared" si="16"/>
        <v>PAN Mismatch</v>
      </c>
      <c r="O166" s="2" t="str">
        <f t="shared" si="17"/>
        <v>Valid</v>
      </c>
      <c r="P166" s="2" t="str">
        <f t="shared" si="18"/>
        <v>Valid</v>
      </c>
      <c r="Q166" s="2" t="str">
        <f t="shared" si="19"/>
        <v>Valid</v>
      </c>
      <c r="R166" s="2" t="str">
        <f>IF(TRIM(H166)="","Missing",IF(AND(LEN(TRIM(H166))=11,SUMPRODUCT(--(CODE(MID(TRIM(H166),{1,2,3,4},1))&gt;=65),--(CODE(MID(TRIM(H166),{1,2,3,4},1))&lt;=90))=4,MID(TRIM(H166),5,1)="0"),"Valid","Invalid"))</f>
        <v>Valid</v>
      </c>
      <c r="S166" s="2" t="str">
        <f t="shared" si="20"/>
        <v>Valid</v>
      </c>
      <c r="T166" s="2" t="str">
        <f t="shared" si="21"/>
        <v>Valid</v>
      </c>
      <c r="U166" s="2">
        <f t="shared" si="22"/>
        <v>1</v>
      </c>
      <c r="V166" s="2" t="str">
        <f t="shared" si="23"/>
        <v>916417765612</v>
      </c>
    </row>
    <row r="167" spans="1:22" x14ac:dyDescent="0.35">
      <c r="A167" s="2" t="s">
        <v>155</v>
      </c>
      <c r="B167" s="2" t="s">
        <v>1908</v>
      </c>
      <c r="C167" s="2" t="s">
        <v>146</v>
      </c>
      <c r="D167" s="2" t="s">
        <v>147</v>
      </c>
      <c r="E167" s="2" t="s">
        <v>148</v>
      </c>
      <c r="F167" s="2" t="s">
        <v>2186</v>
      </c>
      <c r="G167" s="15" t="s">
        <v>150</v>
      </c>
      <c r="H167" s="2" t="s">
        <v>151</v>
      </c>
      <c r="I167" s="2" t="s">
        <v>130</v>
      </c>
      <c r="J167" s="2" t="s">
        <v>174</v>
      </c>
      <c r="K167" s="2" t="s">
        <v>121</v>
      </c>
      <c r="L167" s="2" t="s">
        <v>1911</v>
      </c>
      <c r="M167" s="2" t="str">
        <f>IF(TRIM(C167)="","Missing",IF(AND(LEN(TRIM(C167))=10,SUMPRODUCT(--(CODE(MID(TRIM(C167),{1,2,3,4,5,10},1))&gt;=65),--(CODE(MID(TRIM(C167),{1,2,3,4,5,10},1))&lt;=90))=6,ISNUMBER(--MID(TRIM(C167),6,4))),"Valid","Invalid"))</f>
        <v>Valid</v>
      </c>
      <c r="N167" s="2" t="str">
        <f t="shared" si="16"/>
        <v>Valid</v>
      </c>
      <c r="O167" s="2" t="str">
        <f t="shared" si="17"/>
        <v>Valid</v>
      </c>
      <c r="P167" s="2" t="str">
        <f t="shared" si="18"/>
        <v>Valid</v>
      </c>
      <c r="Q167" s="2" t="str">
        <f t="shared" si="19"/>
        <v>Valid</v>
      </c>
      <c r="R167" s="2" t="str">
        <f>IF(TRIM(H167)="","Missing",IF(AND(LEN(TRIM(H167))=11,SUMPRODUCT(--(CODE(MID(TRIM(H167),{1,2,3,4},1))&gt;=65),--(CODE(MID(TRIM(H167),{1,2,3,4},1))&lt;=90))=4,MID(TRIM(H167),5,1)="0"),"Valid","Invalid"))</f>
        <v>Valid</v>
      </c>
      <c r="S167" s="2" t="str">
        <f t="shared" si="20"/>
        <v>Valid</v>
      </c>
      <c r="T167" s="2" t="str">
        <f t="shared" si="21"/>
        <v>Valid</v>
      </c>
      <c r="U167" s="2">
        <f t="shared" si="22"/>
        <v>0</v>
      </c>
      <c r="V167" s="2" t="str">
        <f t="shared" si="23"/>
        <v>917954316526</v>
      </c>
    </row>
    <row r="168" spans="1:22" x14ac:dyDescent="0.35">
      <c r="A168" s="2" t="s">
        <v>1788</v>
      </c>
      <c r="B168" s="2" t="s">
        <v>1789</v>
      </c>
      <c r="C168" s="2" t="s">
        <v>1790</v>
      </c>
      <c r="D168" s="2" t="s">
        <v>1791</v>
      </c>
      <c r="E168" s="2" t="s">
        <v>1792</v>
      </c>
      <c r="F168" s="2" t="s">
        <v>2187</v>
      </c>
      <c r="G168" s="15" t="s">
        <v>1794</v>
      </c>
      <c r="H168" s="2" t="s">
        <v>1795</v>
      </c>
      <c r="I168" s="2" t="s">
        <v>130</v>
      </c>
      <c r="J168" s="2" t="s">
        <v>164</v>
      </c>
      <c r="K168" s="2" t="s">
        <v>121</v>
      </c>
      <c r="L168" s="2" t="s">
        <v>1796</v>
      </c>
      <c r="M168" s="2" t="str">
        <f>IF(TRIM(C168)="","Missing",IF(AND(LEN(TRIM(C168))=10,SUMPRODUCT(--(CODE(MID(TRIM(C168),{1,2,3,4,5,10},1))&gt;=65),--(CODE(MID(TRIM(C168),{1,2,3,4,5,10},1))&lt;=90))=6,ISNUMBER(--MID(TRIM(C168),6,4))),"Valid","Invalid"))</f>
        <v>Valid</v>
      </c>
      <c r="N168" s="2" t="str">
        <f t="shared" si="16"/>
        <v>Valid</v>
      </c>
      <c r="O168" s="2" t="str">
        <f t="shared" si="17"/>
        <v>Valid</v>
      </c>
      <c r="P168" s="2" t="str">
        <f t="shared" si="18"/>
        <v>Valid</v>
      </c>
      <c r="Q168" s="2" t="str">
        <f t="shared" si="19"/>
        <v>Valid</v>
      </c>
      <c r="R168" s="2" t="str">
        <f>IF(TRIM(H168)="","Missing",IF(AND(LEN(TRIM(H168))=11,SUMPRODUCT(--(CODE(MID(TRIM(H168),{1,2,3,4},1))&gt;=65),--(CODE(MID(TRIM(H168),{1,2,3,4},1))&lt;=90))=4,MID(TRIM(H168),5,1)="0"),"Valid","Invalid"))</f>
        <v>Valid</v>
      </c>
      <c r="S168" s="2" t="str">
        <f t="shared" si="20"/>
        <v>Valid</v>
      </c>
      <c r="T168" s="2" t="str">
        <f t="shared" si="21"/>
        <v>Valid</v>
      </c>
      <c r="U168" s="2">
        <f t="shared" si="22"/>
        <v>0</v>
      </c>
      <c r="V168" s="2" t="str">
        <f t="shared" si="23"/>
        <v>918762639343</v>
      </c>
    </row>
    <row r="169" spans="1:22" x14ac:dyDescent="0.35">
      <c r="A169" s="2" t="s">
        <v>1533</v>
      </c>
      <c r="B169" s="2" t="s">
        <v>1534</v>
      </c>
      <c r="C169" s="2" t="s">
        <v>1535</v>
      </c>
      <c r="D169" s="2" t="s">
        <v>1536</v>
      </c>
      <c r="E169" s="2" t="s">
        <v>2188</v>
      </c>
      <c r="F169" s="2" t="s">
        <v>2189</v>
      </c>
      <c r="G169" s="15" t="s">
        <v>1539</v>
      </c>
      <c r="H169" s="2" t="s">
        <v>1540</v>
      </c>
      <c r="I169" s="2" t="s">
        <v>130</v>
      </c>
      <c r="J169" s="2" t="s">
        <v>141</v>
      </c>
      <c r="K169" s="2" t="s">
        <v>121</v>
      </c>
      <c r="L169" s="2" t="s">
        <v>1541</v>
      </c>
      <c r="M169" s="2" t="str">
        <f>IF(TRIM(C169)="","Missing",IF(AND(LEN(TRIM(C169))=10,SUMPRODUCT(--(CODE(MID(TRIM(C169),{1,2,3,4,5,10},1))&gt;=65),--(CODE(MID(TRIM(C169),{1,2,3,4,5,10},1))&lt;=90))=6,ISNUMBER(--MID(TRIM(C169),6,4))),"Valid","Invalid"))</f>
        <v>Valid</v>
      </c>
      <c r="N169" s="2" t="str">
        <f t="shared" si="16"/>
        <v>Valid</v>
      </c>
      <c r="O169" s="2" t="str">
        <f t="shared" si="17"/>
        <v>Valid</v>
      </c>
      <c r="P169" s="2" t="str">
        <f t="shared" si="18"/>
        <v>Valid</v>
      </c>
      <c r="Q169" s="2" t="str">
        <f t="shared" si="19"/>
        <v>Valid</v>
      </c>
      <c r="R169" s="2" t="str">
        <f>IF(TRIM(H169)="","Missing",IF(AND(LEN(TRIM(H169))=11,SUMPRODUCT(--(CODE(MID(TRIM(H169),{1,2,3,4},1))&gt;=65),--(CODE(MID(TRIM(H169),{1,2,3,4},1))&lt;=90))=4,MID(TRIM(H169),5,1)="0"),"Valid","Invalid"))</f>
        <v>Valid</v>
      </c>
      <c r="S169" s="2" t="str">
        <f t="shared" si="20"/>
        <v>Valid</v>
      </c>
      <c r="T169" s="2" t="str">
        <f t="shared" si="21"/>
        <v>Valid</v>
      </c>
      <c r="U169" s="2">
        <f t="shared" si="22"/>
        <v>0</v>
      </c>
      <c r="V169" s="2" t="str">
        <f t="shared" si="23"/>
        <v>918896465280</v>
      </c>
    </row>
    <row r="170" spans="1:22" x14ac:dyDescent="0.35">
      <c r="A170" s="2" t="s">
        <v>1103</v>
      </c>
      <c r="B170" s="2" t="s">
        <v>1104</v>
      </c>
      <c r="C170" s="2" t="s">
        <v>1105</v>
      </c>
      <c r="D170" s="2" t="s">
        <v>1106</v>
      </c>
      <c r="E170" s="2" t="s">
        <v>2190</v>
      </c>
      <c r="F170" s="2" t="s">
        <v>2191</v>
      </c>
      <c r="G170" s="15" t="s">
        <v>1109</v>
      </c>
      <c r="H170" s="2" t="s">
        <v>1110</v>
      </c>
      <c r="I170" s="2" t="s">
        <v>130</v>
      </c>
      <c r="J170" s="2" t="s">
        <v>174</v>
      </c>
      <c r="K170" s="2" t="s">
        <v>121</v>
      </c>
      <c r="L170" s="2" t="s">
        <v>1111</v>
      </c>
      <c r="M170" s="2" t="str">
        <f>IF(TRIM(C170)="","Missing",IF(AND(LEN(TRIM(C170))=10,SUMPRODUCT(--(CODE(MID(TRIM(C170),{1,2,3,4,5,10},1))&gt;=65),--(CODE(MID(TRIM(C170),{1,2,3,4,5,10},1))&lt;=90))=6,ISNUMBER(--MID(TRIM(C170),6,4))),"Valid","Invalid"))</f>
        <v>Valid</v>
      </c>
      <c r="N170" s="2" t="str">
        <f t="shared" si="16"/>
        <v>Valid</v>
      </c>
      <c r="O170" s="2" t="str">
        <f t="shared" si="17"/>
        <v>Valid</v>
      </c>
      <c r="P170" s="2" t="str">
        <f t="shared" si="18"/>
        <v>Valid</v>
      </c>
      <c r="Q170" s="2" t="str">
        <f t="shared" si="19"/>
        <v>Valid</v>
      </c>
      <c r="R170" s="2" t="str">
        <f>IF(TRIM(H170)="","Missing",IF(AND(LEN(TRIM(H170))=11,SUMPRODUCT(--(CODE(MID(TRIM(H170),{1,2,3,4},1))&gt;=65),--(CODE(MID(TRIM(H170),{1,2,3,4},1))&lt;=90))=4,MID(TRIM(H170),5,1)="0"),"Valid","Invalid"))</f>
        <v>Valid</v>
      </c>
      <c r="S170" s="2" t="str">
        <f t="shared" si="20"/>
        <v>Valid</v>
      </c>
      <c r="T170" s="2" t="str">
        <f t="shared" si="21"/>
        <v>Valid</v>
      </c>
      <c r="U170" s="2">
        <f t="shared" si="22"/>
        <v>0</v>
      </c>
      <c r="V170" s="2" t="str">
        <f t="shared" si="23"/>
        <v>919032032074</v>
      </c>
    </row>
    <row r="171" spans="1:22" x14ac:dyDescent="0.35">
      <c r="A171" s="2" t="s">
        <v>642</v>
      </c>
      <c r="B171" s="2" t="s">
        <v>643</v>
      </c>
      <c r="C171" s="2" t="s">
        <v>644</v>
      </c>
      <c r="D171" s="2" t="s">
        <v>645</v>
      </c>
      <c r="E171" s="2" t="s">
        <v>646</v>
      </c>
      <c r="F171" s="2" t="s">
        <v>2192</v>
      </c>
      <c r="G171" s="15" t="s">
        <v>648</v>
      </c>
      <c r="H171" s="2" t="s">
        <v>649</v>
      </c>
      <c r="I171" s="2" t="s">
        <v>130</v>
      </c>
      <c r="J171" s="2" t="s">
        <v>359</v>
      </c>
      <c r="K171" s="2" t="s">
        <v>121</v>
      </c>
      <c r="L171" s="2" t="s">
        <v>650</v>
      </c>
      <c r="M171" s="2" t="str">
        <f>IF(TRIM(C171)="","Missing",IF(AND(LEN(TRIM(C171))=10,SUMPRODUCT(--(CODE(MID(TRIM(C171),{1,2,3,4,5,10},1))&gt;=65),--(CODE(MID(TRIM(C171),{1,2,3,4,5,10},1))&lt;=90))=6,ISNUMBER(--MID(TRIM(C171),6,4))),"Valid","Invalid"))</f>
        <v>Valid</v>
      </c>
      <c r="N171" s="2" t="str">
        <f t="shared" si="16"/>
        <v>Valid</v>
      </c>
      <c r="O171" s="2" t="str">
        <f t="shared" si="17"/>
        <v>Valid</v>
      </c>
      <c r="P171" s="2" t="str">
        <f t="shared" si="18"/>
        <v>Valid</v>
      </c>
      <c r="Q171" s="2" t="str">
        <f t="shared" si="19"/>
        <v>Valid</v>
      </c>
      <c r="R171" s="2" t="str">
        <f>IF(TRIM(H171)="","Missing",IF(AND(LEN(TRIM(H171))=11,SUMPRODUCT(--(CODE(MID(TRIM(H171),{1,2,3,4},1))&gt;=65),--(CODE(MID(TRIM(H171),{1,2,3,4},1))&lt;=90))=4,MID(TRIM(H171),5,1)="0"),"Valid","Invalid"))</f>
        <v>Valid</v>
      </c>
      <c r="S171" s="2" t="str">
        <f t="shared" si="20"/>
        <v>Valid</v>
      </c>
      <c r="T171" s="2" t="str">
        <f t="shared" si="21"/>
        <v>Valid</v>
      </c>
      <c r="U171" s="2">
        <f t="shared" si="22"/>
        <v>0</v>
      </c>
      <c r="V171" s="2" t="str">
        <f t="shared" si="23"/>
        <v>919150416591</v>
      </c>
    </row>
    <row r="172" spans="1:22" x14ac:dyDescent="0.35">
      <c r="A172" s="2" t="s">
        <v>234</v>
      </c>
      <c r="B172" s="2" t="s">
        <v>235</v>
      </c>
      <c r="C172" s="2" t="s">
        <v>236</v>
      </c>
      <c r="D172" s="2" t="s">
        <v>237</v>
      </c>
      <c r="E172" s="2" t="s">
        <v>2193</v>
      </c>
      <c r="F172" s="2" t="s">
        <v>2194</v>
      </c>
      <c r="G172" s="15" t="s">
        <v>240</v>
      </c>
      <c r="H172" s="2" t="s">
        <v>241</v>
      </c>
      <c r="I172" s="2" t="s">
        <v>130</v>
      </c>
      <c r="J172" s="2" t="s">
        <v>164</v>
      </c>
      <c r="K172" s="2" t="s">
        <v>142</v>
      </c>
      <c r="L172" s="2" t="s">
        <v>244</v>
      </c>
      <c r="M172" s="2" t="str">
        <f>IF(TRIM(C172)="","Missing",IF(AND(LEN(TRIM(C172))=10,SUMPRODUCT(--(CODE(MID(TRIM(C172),{1,2,3,4,5,10},1))&gt;=65),--(CODE(MID(TRIM(C172),{1,2,3,4,5,10},1))&lt;=90))=6,ISNUMBER(--MID(TRIM(C172),6,4))),"Valid","Invalid"))</f>
        <v>Valid</v>
      </c>
      <c r="N172" s="2" t="str">
        <f t="shared" si="16"/>
        <v>Valid</v>
      </c>
      <c r="O172" s="2" t="str">
        <f t="shared" si="17"/>
        <v>Valid</v>
      </c>
      <c r="P172" s="2" t="str">
        <f t="shared" si="18"/>
        <v>Valid</v>
      </c>
      <c r="Q172" s="2" t="str">
        <f t="shared" si="19"/>
        <v>Valid</v>
      </c>
      <c r="R172" s="2" t="str">
        <f>IF(TRIM(H172)="","Missing",IF(AND(LEN(TRIM(H172))=11,SUMPRODUCT(--(CODE(MID(TRIM(H172),{1,2,3,4},1))&gt;=65),--(CODE(MID(TRIM(H172),{1,2,3,4},1))&lt;=90))=4,MID(TRIM(H172),5,1)="0"),"Valid","Invalid"))</f>
        <v>Valid</v>
      </c>
      <c r="S172" s="2" t="str">
        <f t="shared" si="20"/>
        <v>Valid</v>
      </c>
      <c r="T172" s="2" t="str">
        <f t="shared" si="21"/>
        <v>Valid</v>
      </c>
      <c r="U172" s="2">
        <f t="shared" si="22"/>
        <v>0</v>
      </c>
      <c r="V172" s="2" t="str">
        <f t="shared" si="23"/>
        <v>919642147649</v>
      </c>
    </row>
    <row r="173" spans="1:22" x14ac:dyDescent="0.35">
      <c r="A173" s="2" t="s">
        <v>176</v>
      </c>
      <c r="B173" s="2" t="s">
        <v>177</v>
      </c>
      <c r="C173" s="2" t="s">
        <v>178</v>
      </c>
      <c r="D173" s="2" t="s">
        <v>179</v>
      </c>
      <c r="E173" s="2" t="s">
        <v>180</v>
      </c>
      <c r="F173" s="2" t="s">
        <v>2195</v>
      </c>
      <c r="G173" s="15" t="s">
        <v>182</v>
      </c>
      <c r="H173" s="2" t="s">
        <v>183</v>
      </c>
      <c r="I173" s="2" t="s">
        <v>130</v>
      </c>
      <c r="J173" s="2" t="s">
        <v>359</v>
      </c>
      <c r="K173" s="2" t="s">
        <v>121</v>
      </c>
      <c r="L173" s="2" t="s">
        <v>185</v>
      </c>
      <c r="M173" s="2" t="str">
        <f>IF(TRIM(C173)="","Missing",IF(AND(LEN(TRIM(C173))=10,SUMPRODUCT(--(CODE(MID(TRIM(C173),{1,2,3,4,5,10},1))&gt;=65),--(CODE(MID(TRIM(C173),{1,2,3,4,5,10},1))&lt;=90))=6,ISNUMBER(--MID(TRIM(C173),6,4))),"Valid","Invalid"))</f>
        <v>Valid</v>
      </c>
      <c r="N173" s="2" t="str">
        <f t="shared" si="16"/>
        <v>Valid</v>
      </c>
      <c r="O173" s="2" t="str">
        <f t="shared" si="17"/>
        <v>Valid</v>
      </c>
      <c r="P173" s="2" t="str">
        <f t="shared" si="18"/>
        <v>Valid</v>
      </c>
      <c r="Q173" s="2" t="str">
        <f t="shared" si="19"/>
        <v>Valid</v>
      </c>
      <c r="R173" s="2" t="str">
        <f>IF(TRIM(H173)="","Missing",IF(AND(LEN(TRIM(H173))=11,SUMPRODUCT(--(CODE(MID(TRIM(H173),{1,2,3,4},1))&gt;=65),--(CODE(MID(TRIM(H173),{1,2,3,4},1))&lt;=90))=4,MID(TRIM(H173),5,1)="0"),"Valid","Invalid"))</f>
        <v>Valid</v>
      </c>
      <c r="S173" s="2" t="str">
        <f t="shared" si="20"/>
        <v>Valid</v>
      </c>
      <c r="T173" s="2" t="str">
        <f t="shared" si="21"/>
        <v>Valid</v>
      </c>
      <c r="U173" s="2">
        <f t="shared" si="22"/>
        <v>0</v>
      </c>
      <c r="V173" s="2" t="str">
        <f t="shared" si="23"/>
        <v>916742243864</v>
      </c>
    </row>
    <row r="174" spans="1:22" x14ac:dyDescent="0.35">
      <c r="A174" s="2" t="s">
        <v>857</v>
      </c>
      <c r="B174" s="2" t="s">
        <v>858</v>
      </c>
      <c r="C174" s="2" t="s">
        <v>859</v>
      </c>
      <c r="D174" s="2" t="s">
        <v>860</v>
      </c>
      <c r="E174" s="2" t="s">
        <v>861</v>
      </c>
      <c r="F174" s="2" t="s">
        <v>2196</v>
      </c>
      <c r="G174" s="15" t="s">
        <v>863</v>
      </c>
      <c r="H174" s="2" t="s">
        <v>864</v>
      </c>
      <c r="I174" s="2" t="s">
        <v>130</v>
      </c>
      <c r="J174" s="2" t="s">
        <v>174</v>
      </c>
      <c r="K174" s="2" t="s">
        <v>142</v>
      </c>
      <c r="L174" s="2" t="s">
        <v>865</v>
      </c>
      <c r="M174" s="2" t="str">
        <f>IF(TRIM(C174)="","Missing",IF(AND(LEN(TRIM(C174))=10,SUMPRODUCT(--(CODE(MID(TRIM(C174),{1,2,3,4,5,10},1))&gt;=65),--(CODE(MID(TRIM(C174),{1,2,3,4,5,10},1))&lt;=90))=6,ISNUMBER(--MID(TRIM(C174),6,4))),"Valid","Invalid"))</f>
        <v>Valid</v>
      </c>
      <c r="N174" s="2" t="str">
        <f t="shared" si="16"/>
        <v>Valid</v>
      </c>
      <c r="O174" s="2" t="str">
        <f t="shared" si="17"/>
        <v>Valid</v>
      </c>
      <c r="P174" s="2" t="str">
        <f t="shared" si="18"/>
        <v>Valid</v>
      </c>
      <c r="Q174" s="2" t="str">
        <f t="shared" si="19"/>
        <v>Valid</v>
      </c>
      <c r="R174" s="2" t="str">
        <f>IF(TRIM(H174)="","Missing",IF(AND(LEN(TRIM(H174))=11,SUMPRODUCT(--(CODE(MID(TRIM(H174),{1,2,3,4},1))&gt;=65),--(CODE(MID(TRIM(H174),{1,2,3,4},1))&lt;=90))=4,MID(TRIM(H174),5,1)="0"),"Valid","Invalid"))</f>
        <v>Valid</v>
      </c>
      <c r="S174" s="2" t="str">
        <f t="shared" si="20"/>
        <v>Valid</v>
      </c>
      <c r="T174" s="2" t="str">
        <f t="shared" si="21"/>
        <v>Valid</v>
      </c>
      <c r="U174" s="2">
        <f t="shared" si="22"/>
        <v>0</v>
      </c>
      <c r="V174" s="2" t="str">
        <f t="shared" si="23"/>
        <v>918523219416</v>
      </c>
    </row>
    <row r="175" spans="1:22" x14ac:dyDescent="0.35">
      <c r="A175" s="2" t="s">
        <v>457</v>
      </c>
      <c r="B175" s="2" t="s">
        <v>458</v>
      </c>
      <c r="C175" s="2" t="s">
        <v>459</v>
      </c>
      <c r="D175" s="2" t="s">
        <v>460</v>
      </c>
      <c r="E175" s="2" t="s">
        <v>461</v>
      </c>
      <c r="F175" s="2" t="s">
        <v>2197</v>
      </c>
      <c r="G175" s="15" t="s">
        <v>463</v>
      </c>
      <c r="H175" s="2" t="s">
        <v>464</v>
      </c>
      <c r="I175" s="2" t="s">
        <v>130</v>
      </c>
      <c r="J175" s="2" t="s">
        <v>359</v>
      </c>
      <c r="K175" s="2" t="s">
        <v>121</v>
      </c>
      <c r="L175" s="2" t="s">
        <v>465</v>
      </c>
      <c r="M175" s="2" t="str">
        <f>IF(TRIM(C175)="","Missing",IF(AND(LEN(TRIM(C175))=10,SUMPRODUCT(--(CODE(MID(TRIM(C175),{1,2,3,4,5,10},1))&gt;=65),--(CODE(MID(TRIM(C175),{1,2,3,4,5,10},1))&lt;=90))=6,ISNUMBER(--MID(TRIM(C175),6,4))),"Valid","Invalid"))</f>
        <v>Valid</v>
      </c>
      <c r="N175" s="2" t="str">
        <f t="shared" si="16"/>
        <v>Valid</v>
      </c>
      <c r="O175" s="2" t="str">
        <f t="shared" si="17"/>
        <v>Valid</v>
      </c>
      <c r="P175" s="2" t="str">
        <f t="shared" si="18"/>
        <v>Valid</v>
      </c>
      <c r="Q175" s="2" t="str">
        <f t="shared" si="19"/>
        <v>Valid</v>
      </c>
      <c r="R175" s="2" t="str">
        <f>IF(TRIM(H175)="","Missing",IF(AND(LEN(TRIM(H175))=11,SUMPRODUCT(--(CODE(MID(TRIM(H175),{1,2,3,4},1))&gt;=65),--(CODE(MID(TRIM(H175),{1,2,3,4},1))&lt;=90))=4,MID(TRIM(H175),5,1)="0"),"Valid","Invalid"))</f>
        <v>Valid</v>
      </c>
      <c r="S175" s="2" t="str">
        <f t="shared" si="20"/>
        <v>Valid</v>
      </c>
      <c r="T175" s="2" t="str">
        <f t="shared" si="21"/>
        <v>Valid</v>
      </c>
      <c r="U175" s="2">
        <f t="shared" si="22"/>
        <v>0</v>
      </c>
      <c r="V175" s="2" t="str">
        <f t="shared" si="23"/>
        <v>916472760122</v>
      </c>
    </row>
    <row r="176" spans="1:22" x14ac:dyDescent="0.35">
      <c r="A176" s="2" t="s">
        <v>870</v>
      </c>
      <c r="B176" s="2" t="s">
        <v>871</v>
      </c>
      <c r="C176" s="2" t="s">
        <v>872</v>
      </c>
      <c r="D176" s="2" t="s">
        <v>873</v>
      </c>
      <c r="E176" s="2"/>
      <c r="F176" s="2" t="s">
        <v>2198</v>
      </c>
      <c r="G176" s="15" t="s">
        <v>875</v>
      </c>
      <c r="H176" s="2" t="s">
        <v>876</v>
      </c>
      <c r="I176" s="2" t="s">
        <v>130</v>
      </c>
      <c r="J176" s="2" t="s">
        <v>174</v>
      </c>
      <c r="K176" s="2" t="s">
        <v>121</v>
      </c>
      <c r="L176" s="2" t="s">
        <v>877</v>
      </c>
      <c r="M176" s="2" t="str">
        <f>IF(TRIM(C176)="","Missing",IF(AND(LEN(TRIM(C176))=10,SUMPRODUCT(--(CODE(MID(TRIM(C176),{1,2,3,4,5,10},1))&gt;=65),--(CODE(MID(TRIM(C176),{1,2,3,4,5,10},1))&lt;=90))=6,ISNUMBER(--MID(TRIM(C176),6,4))),"Valid","Invalid"))</f>
        <v>Valid</v>
      </c>
      <c r="N176" s="2" t="str">
        <f t="shared" si="16"/>
        <v>PAN Mismatch</v>
      </c>
      <c r="O176" s="2" t="str">
        <f t="shared" si="17"/>
        <v>Missing</v>
      </c>
      <c r="P176" s="2" t="str">
        <f t="shared" si="18"/>
        <v>Valid</v>
      </c>
      <c r="Q176" s="2" t="str">
        <f t="shared" si="19"/>
        <v>Valid</v>
      </c>
      <c r="R176" s="2" t="str">
        <f>IF(TRIM(H176)="","Missing",IF(AND(LEN(TRIM(H176))=11,SUMPRODUCT(--(CODE(MID(TRIM(H176),{1,2,3,4},1))&gt;=65),--(CODE(MID(TRIM(H176),{1,2,3,4},1))&lt;=90))=4,MID(TRIM(H176),5,1)="0"),"Valid","Invalid"))</f>
        <v>Valid</v>
      </c>
      <c r="S176" s="2" t="str">
        <f t="shared" si="20"/>
        <v>Valid</v>
      </c>
      <c r="T176" s="2" t="str">
        <f t="shared" si="21"/>
        <v>Valid</v>
      </c>
      <c r="U176" s="2">
        <f t="shared" si="22"/>
        <v>2</v>
      </c>
      <c r="V176" s="2" t="str">
        <f t="shared" si="23"/>
        <v>918671795760</v>
      </c>
    </row>
    <row r="177" spans="1:22" x14ac:dyDescent="0.35">
      <c r="A177" s="2" t="s">
        <v>820</v>
      </c>
      <c r="B177" s="2" t="s">
        <v>821</v>
      </c>
      <c r="C177" s="2" t="s">
        <v>822</v>
      </c>
      <c r="D177" s="2" t="s">
        <v>823</v>
      </c>
      <c r="E177" s="2"/>
      <c r="F177" s="2" t="s">
        <v>2199</v>
      </c>
      <c r="G177" s="15" t="s">
        <v>825</v>
      </c>
      <c r="H177" s="2" t="s">
        <v>826</v>
      </c>
      <c r="I177" s="2" t="s">
        <v>130</v>
      </c>
      <c r="J177" s="2" t="s">
        <v>359</v>
      </c>
      <c r="K177" s="2" t="s">
        <v>121</v>
      </c>
      <c r="L177" s="2" t="s">
        <v>827</v>
      </c>
      <c r="M177" s="2" t="str">
        <f>IF(TRIM(C177)="","Missing",IF(AND(LEN(TRIM(C177))=10,SUMPRODUCT(--(CODE(MID(TRIM(C177),{1,2,3,4,5,10},1))&gt;=65),--(CODE(MID(TRIM(C177),{1,2,3,4,5,10},1))&lt;=90))=6,ISNUMBER(--MID(TRIM(C177),6,4))),"Valid","Invalid"))</f>
        <v>Valid</v>
      </c>
      <c r="N177" s="2" t="str">
        <f t="shared" si="16"/>
        <v>Valid</v>
      </c>
      <c r="O177" s="2" t="str">
        <f t="shared" si="17"/>
        <v>Missing</v>
      </c>
      <c r="P177" s="2" t="str">
        <f t="shared" si="18"/>
        <v>Valid</v>
      </c>
      <c r="Q177" s="2" t="str">
        <f t="shared" si="19"/>
        <v>Valid</v>
      </c>
      <c r="R177" s="2" t="str">
        <f>IF(TRIM(H177)="","Missing",IF(AND(LEN(TRIM(H177))=11,SUMPRODUCT(--(CODE(MID(TRIM(H177),{1,2,3,4},1))&gt;=65),--(CODE(MID(TRIM(H177),{1,2,3,4},1))&lt;=90))=4,MID(TRIM(H177),5,1)="0"),"Valid","Invalid"))</f>
        <v>Valid</v>
      </c>
      <c r="S177" s="2" t="str">
        <f t="shared" si="20"/>
        <v>Valid</v>
      </c>
      <c r="T177" s="2" t="str">
        <f t="shared" si="21"/>
        <v>Valid</v>
      </c>
      <c r="U177" s="2">
        <f t="shared" si="22"/>
        <v>1</v>
      </c>
      <c r="V177" s="2" t="str">
        <f t="shared" si="23"/>
        <v>918338005452</v>
      </c>
    </row>
    <row r="178" spans="1:22" x14ac:dyDescent="0.35">
      <c r="A178" s="2" t="s">
        <v>1574</v>
      </c>
      <c r="B178" s="2" t="s">
        <v>1575</v>
      </c>
      <c r="C178" s="2" t="s">
        <v>1576</v>
      </c>
      <c r="D178" s="2" t="s">
        <v>1577</v>
      </c>
      <c r="E178" s="2" t="s">
        <v>1578</v>
      </c>
      <c r="F178" s="2" t="s">
        <v>2200</v>
      </c>
      <c r="G178" s="15" t="s">
        <v>1580</v>
      </c>
      <c r="H178" s="2" t="s">
        <v>1581</v>
      </c>
      <c r="I178" s="2" t="s">
        <v>130</v>
      </c>
      <c r="J178" s="2" t="s">
        <v>174</v>
      </c>
      <c r="K178" s="2" t="s">
        <v>121</v>
      </c>
      <c r="L178" s="2" t="s">
        <v>1582</v>
      </c>
      <c r="M178" s="2" t="str">
        <f>IF(TRIM(C178)="","Missing",IF(AND(LEN(TRIM(C178))=10,SUMPRODUCT(--(CODE(MID(TRIM(C178),{1,2,3,4,5,10},1))&gt;=65),--(CODE(MID(TRIM(C178),{1,2,3,4,5,10},1))&lt;=90))=6,ISNUMBER(--MID(TRIM(C178),6,4))),"Valid","Invalid"))</f>
        <v>Valid</v>
      </c>
      <c r="N178" s="2" t="str">
        <f t="shared" si="16"/>
        <v>Valid</v>
      </c>
      <c r="O178" s="2" t="str">
        <f t="shared" si="17"/>
        <v>Valid</v>
      </c>
      <c r="P178" s="2" t="str">
        <f t="shared" si="18"/>
        <v>Valid</v>
      </c>
      <c r="Q178" s="2" t="str">
        <f t="shared" si="19"/>
        <v>Valid</v>
      </c>
      <c r="R178" s="2" t="str">
        <f>IF(TRIM(H178)="","Missing",IF(AND(LEN(TRIM(H178))=11,SUMPRODUCT(--(CODE(MID(TRIM(H178),{1,2,3,4},1))&gt;=65),--(CODE(MID(TRIM(H178),{1,2,3,4},1))&lt;=90))=4,MID(TRIM(H178),5,1)="0"),"Valid","Invalid"))</f>
        <v>Valid</v>
      </c>
      <c r="S178" s="2" t="str">
        <f t="shared" si="20"/>
        <v>Valid</v>
      </c>
      <c r="T178" s="2" t="str">
        <f t="shared" si="21"/>
        <v>Valid</v>
      </c>
      <c r="U178" s="2">
        <f t="shared" si="22"/>
        <v>0</v>
      </c>
      <c r="V178" s="2" t="str">
        <f t="shared" si="23"/>
        <v>917135247871</v>
      </c>
    </row>
    <row r="179" spans="1:22" x14ac:dyDescent="0.35">
      <c r="A179" s="2" t="s">
        <v>186</v>
      </c>
      <c r="B179" s="2" t="s">
        <v>187</v>
      </c>
      <c r="C179" s="2" t="s">
        <v>188</v>
      </c>
      <c r="D179" s="2" t="s">
        <v>189</v>
      </c>
      <c r="E179" s="2" t="s">
        <v>190</v>
      </c>
      <c r="F179" s="2" t="s">
        <v>2201</v>
      </c>
      <c r="G179" s="15" t="s">
        <v>192</v>
      </c>
      <c r="H179" s="2" t="s">
        <v>193</v>
      </c>
      <c r="I179" s="2" t="s">
        <v>130</v>
      </c>
      <c r="J179" s="2" t="s">
        <v>174</v>
      </c>
      <c r="K179" s="2" t="s">
        <v>121</v>
      </c>
      <c r="L179" s="2" t="s">
        <v>195</v>
      </c>
      <c r="M179" s="2" t="str">
        <f>IF(TRIM(C179)="","Missing",IF(AND(LEN(TRIM(C179))=10,SUMPRODUCT(--(CODE(MID(TRIM(C179),{1,2,3,4,5,10},1))&gt;=65),--(CODE(MID(TRIM(C179),{1,2,3,4,5,10},1))&lt;=90))=6,ISNUMBER(--MID(TRIM(C179),6,4))),"Valid","Invalid"))</f>
        <v>Valid</v>
      </c>
      <c r="N179" s="2" t="str">
        <f t="shared" si="16"/>
        <v>Valid</v>
      </c>
      <c r="O179" s="2" t="str">
        <f t="shared" si="17"/>
        <v>Valid</v>
      </c>
      <c r="P179" s="2" t="str">
        <f t="shared" si="18"/>
        <v>Valid</v>
      </c>
      <c r="Q179" s="2" t="str">
        <f t="shared" si="19"/>
        <v>Valid</v>
      </c>
      <c r="R179" s="2" t="str">
        <f>IF(TRIM(H179)="","Missing",IF(AND(LEN(TRIM(H179))=11,SUMPRODUCT(--(CODE(MID(TRIM(H179),{1,2,3,4},1))&gt;=65),--(CODE(MID(TRIM(H179),{1,2,3,4},1))&lt;=90))=4,MID(TRIM(H179),5,1)="0"),"Valid","Invalid"))</f>
        <v>Valid</v>
      </c>
      <c r="S179" s="2" t="str">
        <f t="shared" si="20"/>
        <v>Valid</v>
      </c>
      <c r="T179" s="2" t="str">
        <f t="shared" si="21"/>
        <v>Valid</v>
      </c>
      <c r="U179" s="2">
        <f t="shared" si="22"/>
        <v>0</v>
      </c>
      <c r="V179" s="2" t="str">
        <f t="shared" si="23"/>
        <v>919208115562</v>
      </c>
    </row>
    <row r="180" spans="1:22" x14ac:dyDescent="0.35">
      <c r="A180" s="2" t="s">
        <v>1364</v>
      </c>
      <c r="B180" s="2" t="s">
        <v>1365</v>
      </c>
      <c r="C180" s="2"/>
      <c r="D180" s="2" t="s">
        <v>1366</v>
      </c>
      <c r="E180" s="2"/>
      <c r="F180" s="2"/>
      <c r="G180" s="15" t="s">
        <v>1367</v>
      </c>
      <c r="H180" s="2" t="s">
        <v>1368</v>
      </c>
      <c r="I180" s="2" t="s">
        <v>130</v>
      </c>
      <c r="J180" s="2" t="s">
        <v>141</v>
      </c>
      <c r="K180" s="2" t="s">
        <v>121</v>
      </c>
      <c r="L180" s="2" t="s">
        <v>1304</v>
      </c>
      <c r="M180" s="2" t="str">
        <f>IF(TRIM(C180)="","Missing",IF(AND(LEN(TRIM(C180))=10,SUMPRODUCT(--(CODE(MID(TRIM(C180),{1,2,3,4,5,10},1))&gt;=65),--(CODE(MID(TRIM(C180),{1,2,3,4,5,10},1))&lt;=90))=6,ISNUMBER(--MID(TRIM(C180),6,4))),"Valid","Invalid"))</f>
        <v>Missing</v>
      </c>
      <c r="N180" s="2" t="str">
        <f t="shared" si="16"/>
        <v>PAN Mismatch</v>
      </c>
      <c r="O180" s="2" t="str">
        <f t="shared" si="17"/>
        <v>Missing</v>
      </c>
      <c r="P180" s="2" t="str">
        <f t="shared" si="18"/>
        <v>Missing</v>
      </c>
      <c r="Q180" s="2" t="str">
        <f t="shared" si="19"/>
        <v>Valid</v>
      </c>
      <c r="R180" s="2" t="str">
        <f>IF(TRIM(H180)="","Missing",IF(AND(LEN(TRIM(H180))=11,SUMPRODUCT(--(CODE(MID(TRIM(H180),{1,2,3,4},1))&gt;=65),--(CODE(MID(TRIM(H180),{1,2,3,4},1))&lt;=90))=4,MID(TRIM(H180),5,1)="0"),"Valid","Invalid"))</f>
        <v>Valid</v>
      </c>
      <c r="S180" s="2" t="str">
        <f t="shared" si="20"/>
        <v>Valid</v>
      </c>
      <c r="T180" s="2" t="str">
        <f t="shared" si="21"/>
        <v>Valid</v>
      </c>
      <c r="U180" s="2">
        <f t="shared" si="22"/>
        <v>4</v>
      </c>
      <c r="V180" s="2" t="str">
        <f t="shared" si="23"/>
        <v/>
      </c>
    </row>
    <row r="181" spans="1:22" x14ac:dyDescent="0.35">
      <c r="A181" s="2" t="s">
        <v>1323</v>
      </c>
      <c r="B181" s="2" t="s">
        <v>1324</v>
      </c>
      <c r="C181" s="2" t="s">
        <v>1325</v>
      </c>
      <c r="D181" s="2" t="s">
        <v>1326</v>
      </c>
      <c r="E181" s="2" t="s">
        <v>1327</v>
      </c>
      <c r="F181" s="2" t="s">
        <v>2202</v>
      </c>
      <c r="G181" s="15" t="s">
        <v>1329</v>
      </c>
      <c r="H181" s="2" t="s">
        <v>1330</v>
      </c>
      <c r="I181" s="2" t="s">
        <v>130</v>
      </c>
      <c r="J181" s="2" t="s">
        <v>164</v>
      </c>
      <c r="K181" s="2" t="s">
        <v>121</v>
      </c>
      <c r="L181" s="2" t="s">
        <v>1331</v>
      </c>
      <c r="M181" s="2" t="str">
        <f>IF(TRIM(C181)="","Missing",IF(AND(LEN(TRIM(C181))=10,SUMPRODUCT(--(CODE(MID(TRIM(C181),{1,2,3,4,5,10},1))&gt;=65),--(CODE(MID(TRIM(C181),{1,2,3,4,5,10},1))&lt;=90))=6,ISNUMBER(--MID(TRIM(C181),6,4))),"Valid","Invalid"))</f>
        <v>Valid</v>
      </c>
      <c r="N181" s="2" t="str">
        <f t="shared" si="16"/>
        <v>Valid</v>
      </c>
      <c r="O181" s="2" t="str">
        <f t="shared" si="17"/>
        <v>Valid</v>
      </c>
      <c r="P181" s="2" t="str">
        <f t="shared" si="18"/>
        <v>Valid</v>
      </c>
      <c r="Q181" s="2" t="str">
        <f t="shared" si="19"/>
        <v>Valid</v>
      </c>
      <c r="R181" s="2" t="str">
        <f>IF(TRIM(H181)="","Missing",IF(AND(LEN(TRIM(H181))=11,SUMPRODUCT(--(CODE(MID(TRIM(H181),{1,2,3,4},1))&gt;=65),--(CODE(MID(TRIM(H181),{1,2,3,4},1))&lt;=90))=4,MID(TRIM(H181),5,1)="0"),"Valid","Invalid"))</f>
        <v>Valid</v>
      </c>
      <c r="S181" s="2" t="str">
        <f t="shared" si="20"/>
        <v>Valid</v>
      </c>
      <c r="T181" s="2" t="str">
        <f t="shared" si="21"/>
        <v>Valid</v>
      </c>
      <c r="U181" s="2">
        <f t="shared" si="22"/>
        <v>0</v>
      </c>
      <c r="V181" s="2" t="str">
        <f t="shared" si="23"/>
        <v>917683158935</v>
      </c>
    </row>
    <row r="182" spans="1:22" x14ac:dyDescent="0.35">
      <c r="A182" s="2" t="s">
        <v>1701</v>
      </c>
      <c r="B182" s="2" t="s">
        <v>1702</v>
      </c>
      <c r="C182" s="2" t="s">
        <v>1703</v>
      </c>
      <c r="D182" s="2" t="s">
        <v>1704</v>
      </c>
      <c r="E182" s="2" t="s">
        <v>1705</v>
      </c>
      <c r="F182" s="2" t="s">
        <v>2203</v>
      </c>
      <c r="G182" s="15" t="s">
        <v>1707</v>
      </c>
      <c r="H182" s="2" t="s">
        <v>1708</v>
      </c>
      <c r="I182" s="2" t="s">
        <v>130</v>
      </c>
      <c r="J182" s="2" t="s">
        <v>141</v>
      </c>
      <c r="K182" s="2" t="s">
        <v>121</v>
      </c>
      <c r="L182" s="2" t="s">
        <v>1709</v>
      </c>
      <c r="M182" s="2" t="str">
        <f>IF(TRIM(C182)="","Missing",IF(AND(LEN(TRIM(C182))=10,SUMPRODUCT(--(CODE(MID(TRIM(C182),{1,2,3,4,5,10},1))&gt;=65),--(CODE(MID(TRIM(C182),{1,2,3,4,5,10},1))&lt;=90))=6,ISNUMBER(--MID(TRIM(C182),6,4))),"Valid","Invalid"))</f>
        <v>Valid</v>
      </c>
      <c r="N182" s="2" t="str">
        <f t="shared" si="16"/>
        <v>Invalid</v>
      </c>
      <c r="O182" s="2" t="str">
        <f t="shared" si="17"/>
        <v>Valid</v>
      </c>
      <c r="P182" s="2" t="str">
        <f t="shared" si="18"/>
        <v>Valid</v>
      </c>
      <c r="Q182" s="2" t="str">
        <f t="shared" si="19"/>
        <v>Valid</v>
      </c>
      <c r="R182" s="2" t="str">
        <f>IF(TRIM(H182)="","Missing",IF(AND(LEN(TRIM(H182))=11,SUMPRODUCT(--(CODE(MID(TRIM(H182),{1,2,3,4},1))&gt;=65),--(CODE(MID(TRIM(H182),{1,2,3,4},1))&lt;=90))=4,MID(TRIM(H182),5,1)="0"),"Valid","Invalid"))</f>
        <v>Valid</v>
      </c>
      <c r="S182" s="2" t="str">
        <f t="shared" si="20"/>
        <v>Valid</v>
      </c>
      <c r="T182" s="2" t="str">
        <f t="shared" si="21"/>
        <v>Valid</v>
      </c>
      <c r="U182" s="2">
        <f t="shared" si="22"/>
        <v>1</v>
      </c>
      <c r="V182" s="2" t="str">
        <f t="shared" si="23"/>
        <v>916377028519</v>
      </c>
    </row>
    <row r="183" spans="1:22" x14ac:dyDescent="0.35">
      <c r="A183" s="2" t="s">
        <v>1355</v>
      </c>
      <c r="B183" s="2" t="s">
        <v>1356</v>
      </c>
      <c r="C183" s="2" t="s">
        <v>1357</v>
      </c>
      <c r="D183" s="2" t="s">
        <v>1358</v>
      </c>
      <c r="E183" s="2" t="s">
        <v>2204</v>
      </c>
      <c r="F183" s="2" t="s">
        <v>2205</v>
      </c>
      <c r="G183" s="15" t="s">
        <v>1361</v>
      </c>
      <c r="H183" s="2" t="s">
        <v>1362</v>
      </c>
      <c r="I183" s="2" t="s">
        <v>130</v>
      </c>
      <c r="J183" s="2" t="s">
        <v>359</v>
      </c>
      <c r="K183" s="2" t="s">
        <v>121</v>
      </c>
      <c r="L183" s="2" t="s">
        <v>1363</v>
      </c>
      <c r="M183" s="2" t="str">
        <f>IF(TRIM(C183)="","Missing",IF(AND(LEN(TRIM(C183))=10,SUMPRODUCT(--(CODE(MID(TRIM(C183),{1,2,3,4,5,10},1))&gt;=65),--(CODE(MID(TRIM(C183),{1,2,3,4,5,10},1))&lt;=90))=6,ISNUMBER(--MID(TRIM(C183),6,4))),"Valid","Invalid"))</f>
        <v>Valid</v>
      </c>
      <c r="N183" s="2" t="str">
        <f t="shared" si="16"/>
        <v>Invalid</v>
      </c>
      <c r="O183" s="2" t="str">
        <f t="shared" si="17"/>
        <v>Valid</v>
      </c>
      <c r="P183" s="2" t="str">
        <f t="shared" si="18"/>
        <v>Valid</v>
      </c>
      <c r="Q183" s="2" t="str">
        <f t="shared" si="19"/>
        <v>Valid</v>
      </c>
      <c r="R183" s="2" t="str">
        <f>IF(TRIM(H183)="","Missing",IF(AND(LEN(TRIM(H183))=11,SUMPRODUCT(--(CODE(MID(TRIM(H183),{1,2,3,4},1))&gt;=65),--(CODE(MID(TRIM(H183),{1,2,3,4},1))&lt;=90))=4,MID(TRIM(H183),5,1)="0"),"Valid","Invalid"))</f>
        <v>Valid</v>
      </c>
      <c r="S183" s="2" t="str">
        <f t="shared" si="20"/>
        <v>Valid</v>
      </c>
      <c r="T183" s="2" t="str">
        <f t="shared" si="21"/>
        <v>Valid</v>
      </c>
      <c r="U183" s="2">
        <f t="shared" si="22"/>
        <v>1</v>
      </c>
      <c r="V183" s="2" t="str">
        <f t="shared" si="23"/>
        <v>919567922877</v>
      </c>
    </row>
    <row r="184" spans="1:22" x14ac:dyDescent="0.35">
      <c r="A184" s="2" t="s">
        <v>1591</v>
      </c>
      <c r="B184" s="2" t="s">
        <v>2206</v>
      </c>
      <c r="C184" s="2" t="s">
        <v>1593</v>
      </c>
      <c r="D184" s="2" t="s">
        <v>1594</v>
      </c>
      <c r="E184" s="2" t="s">
        <v>1595</v>
      </c>
      <c r="F184" s="2"/>
      <c r="G184" s="15" t="s">
        <v>1596</v>
      </c>
      <c r="H184" s="2" t="s">
        <v>1597</v>
      </c>
      <c r="I184" s="2" t="s">
        <v>130</v>
      </c>
      <c r="J184" s="2" t="s">
        <v>141</v>
      </c>
      <c r="K184" s="2" t="s">
        <v>121</v>
      </c>
      <c r="L184" s="2" t="s">
        <v>1598</v>
      </c>
      <c r="M184" s="2" t="str">
        <f>IF(TRIM(C184)="","Missing",IF(AND(LEN(TRIM(C184))=10,SUMPRODUCT(--(CODE(MID(TRIM(C184),{1,2,3,4,5,10},1))&gt;=65),--(CODE(MID(TRIM(C184),{1,2,3,4,5,10},1))&lt;=90))=6,ISNUMBER(--MID(TRIM(C184),6,4))),"Valid","Invalid"))</f>
        <v>Valid</v>
      </c>
      <c r="N184" s="2" t="str">
        <f t="shared" si="16"/>
        <v>PAN Mismatch</v>
      </c>
      <c r="O184" s="2" t="str">
        <f t="shared" si="17"/>
        <v>Valid</v>
      </c>
      <c r="P184" s="2" t="str">
        <f t="shared" si="18"/>
        <v>Missing</v>
      </c>
      <c r="Q184" s="2" t="str">
        <f t="shared" si="19"/>
        <v>Valid</v>
      </c>
      <c r="R184" s="2" t="str">
        <f>IF(TRIM(H184)="","Missing",IF(AND(LEN(TRIM(H184))=11,SUMPRODUCT(--(CODE(MID(TRIM(H184),{1,2,3,4},1))&gt;=65),--(CODE(MID(TRIM(H184),{1,2,3,4},1))&lt;=90))=4,MID(TRIM(H184),5,1)="0"),"Valid","Invalid"))</f>
        <v>Valid</v>
      </c>
      <c r="S184" s="2" t="str">
        <f t="shared" si="20"/>
        <v>Valid</v>
      </c>
      <c r="T184" s="2" t="str">
        <f t="shared" si="21"/>
        <v>Valid</v>
      </c>
      <c r="U184" s="2">
        <f t="shared" si="22"/>
        <v>2</v>
      </c>
      <c r="V184" s="2" t="str">
        <f t="shared" si="23"/>
        <v/>
      </c>
    </row>
    <row r="185" spans="1:22" x14ac:dyDescent="0.35">
      <c r="A185" s="2" t="s">
        <v>1149</v>
      </c>
      <c r="B185" s="2" t="s">
        <v>1150</v>
      </c>
      <c r="C185" s="2" t="s">
        <v>1151</v>
      </c>
      <c r="D185" s="2" t="s">
        <v>1152</v>
      </c>
      <c r="E185" s="2" t="s">
        <v>1153</v>
      </c>
      <c r="F185" s="2" t="s">
        <v>2207</v>
      </c>
      <c r="G185" s="15" t="s">
        <v>1155</v>
      </c>
      <c r="H185" s="2" t="s">
        <v>1156</v>
      </c>
      <c r="I185" s="2" t="s">
        <v>130</v>
      </c>
      <c r="J185" s="2" t="s">
        <v>174</v>
      </c>
      <c r="K185" s="2" t="s">
        <v>121</v>
      </c>
      <c r="L185" s="2" t="s">
        <v>1157</v>
      </c>
      <c r="M185" s="2" t="str">
        <f>IF(TRIM(C185)="","Missing",IF(AND(LEN(TRIM(C185))=10,SUMPRODUCT(--(CODE(MID(TRIM(C185),{1,2,3,4,5,10},1))&gt;=65),--(CODE(MID(TRIM(C185),{1,2,3,4,5,10},1))&lt;=90))=6,ISNUMBER(--MID(TRIM(C185),6,4))),"Valid","Invalid"))</f>
        <v>Valid</v>
      </c>
      <c r="N185" s="2" t="str">
        <f t="shared" si="16"/>
        <v>Valid</v>
      </c>
      <c r="O185" s="2" t="str">
        <f t="shared" si="17"/>
        <v>Valid</v>
      </c>
      <c r="P185" s="2" t="str">
        <f t="shared" si="18"/>
        <v>Valid</v>
      </c>
      <c r="Q185" s="2" t="str">
        <f t="shared" si="19"/>
        <v>Valid</v>
      </c>
      <c r="R185" s="2" t="str">
        <f>IF(TRIM(H185)="","Missing",IF(AND(LEN(TRIM(H185))=11,SUMPRODUCT(--(CODE(MID(TRIM(H185),{1,2,3,4},1))&gt;=65),--(CODE(MID(TRIM(H185),{1,2,3,4},1))&lt;=90))=4,MID(TRIM(H185),5,1)="0"),"Valid","Invalid"))</f>
        <v>Valid</v>
      </c>
      <c r="S185" s="2" t="str">
        <f t="shared" si="20"/>
        <v>Valid</v>
      </c>
      <c r="T185" s="2" t="str">
        <f t="shared" si="21"/>
        <v>Valid</v>
      </c>
      <c r="U185" s="2">
        <f t="shared" si="22"/>
        <v>0</v>
      </c>
      <c r="V185" s="2" t="str">
        <f t="shared" si="23"/>
        <v>919152654610</v>
      </c>
    </row>
    <row r="186" spans="1:22" x14ac:dyDescent="0.35">
      <c r="A186" s="2" t="s">
        <v>1599</v>
      </c>
      <c r="B186" s="2" t="s">
        <v>2208</v>
      </c>
      <c r="C186" s="2" t="s">
        <v>1601</v>
      </c>
      <c r="D186" s="2" t="s">
        <v>1602</v>
      </c>
      <c r="E186" s="2" t="s">
        <v>1603</v>
      </c>
      <c r="F186" s="2" t="s">
        <v>2209</v>
      </c>
      <c r="G186" s="15" t="s">
        <v>1605</v>
      </c>
      <c r="H186" s="2" t="s">
        <v>1606</v>
      </c>
      <c r="I186" s="2" t="s">
        <v>130</v>
      </c>
      <c r="J186" s="2" t="s">
        <v>359</v>
      </c>
      <c r="K186" s="2" t="s">
        <v>121</v>
      </c>
      <c r="L186" s="2" t="s">
        <v>1607</v>
      </c>
      <c r="M186" s="2" t="str">
        <f>IF(TRIM(C186)="","Missing",IF(AND(LEN(TRIM(C186))=10,SUMPRODUCT(--(CODE(MID(TRIM(C186),{1,2,3,4,5,10},1))&gt;=65),--(CODE(MID(TRIM(C186),{1,2,3,4,5,10},1))&lt;=90))=6,ISNUMBER(--MID(TRIM(C186),6,4))),"Valid","Invalid"))</f>
        <v>Valid</v>
      </c>
      <c r="N186" s="2" t="str">
        <f t="shared" si="16"/>
        <v>Valid</v>
      </c>
      <c r="O186" s="2" t="str">
        <f t="shared" si="17"/>
        <v>Valid</v>
      </c>
      <c r="P186" s="2" t="str">
        <f t="shared" si="18"/>
        <v>Valid</v>
      </c>
      <c r="Q186" s="2" t="str">
        <f t="shared" si="19"/>
        <v>Valid</v>
      </c>
      <c r="R186" s="2" t="str">
        <f>IF(TRIM(H186)="","Missing",IF(AND(LEN(TRIM(H186))=11,SUMPRODUCT(--(CODE(MID(TRIM(H186),{1,2,3,4},1))&gt;=65),--(CODE(MID(TRIM(H186),{1,2,3,4},1))&lt;=90))=4,MID(TRIM(H186),5,1)="0"),"Valid","Invalid"))</f>
        <v>Valid</v>
      </c>
      <c r="S186" s="2" t="str">
        <f t="shared" si="20"/>
        <v>Valid</v>
      </c>
      <c r="T186" s="2" t="str">
        <f t="shared" si="21"/>
        <v>Valid</v>
      </c>
      <c r="U186" s="2">
        <f t="shared" si="22"/>
        <v>0</v>
      </c>
      <c r="V186" s="2" t="str">
        <f t="shared" si="23"/>
        <v>916832582386</v>
      </c>
    </row>
    <row r="187" spans="1:22" x14ac:dyDescent="0.35">
      <c r="A187" s="2" t="s">
        <v>1741</v>
      </c>
      <c r="B187" s="2" t="s">
        <v>1742</v>
      </c>
      <c r="C187" s="2" t="s">
        <v>1743</v>
      </c>
      <c r="D187" s="2" t="s">
        <v>1744</v>
      </c>
      <c r="E187" s="2" t="s">
        <v>2210</v>
      </c>
      <c r="F187" s="2" t="s">
        <v>2211</v>
      </c>
      <c r="G187" s="15" t="s">
        <v>1747</v>
      </c>
      <c r="H187" s="2" t="s">
        <v>1748</v>
      </c>
      <c r="I187" s="2" t="s">
        <v>130</v>
      </c>
      <c r="J187" s="2" t="s">
        <v>141</v>
      </c>
      <c r="K187" s="2" t="s">
        <v>121</v>
      </c>
      <c r="L187" s="2" t="s">
        <v>474</v>
      </c>
      <c r="M187" s="2" t="str">
        <f>IF(TRIM(C187)="","Missing",IF(AND(LEN(TRIM(C187))=10,SUMPRODUCT(--(CODE(MID(TRIM(C187),{1,2,3,4,5,10},1))&gt;=65),--(CODE(MID(TRIM(C187),{1,2,3,4,5,10},1))&lt;=90))=6,ISNUMBER(--MID(TRIM(C187),6,4))),"Valid","Invalid"))</f>
        <v>Valid</v>
      </c>
      <c r="N187" s="2" t="str">
        <f t="shared" si="16"/>
        <v>Valid</v>
      </c>
      <c r="O187" s="2" t="str">
        <f t="shared" si="17"/>
        <v>Valid</v>
      </c>
      <c r="P187" s="2" t="str">
        <f t="shared" si="18"/>
        <v>Valid</v>
      </c>
      <c r="Q187" s="2" t="str">
        <f t="shared" si="19"/>
        <v>Valid</v>
      </c>
      <c r="R187" s="2" t="str">
        <f>IF(TRIM(H187)="","Missing",IF(AND(LEN(TRIM(H187))=11,SUMPRODUCT(--(CODE(MID(TRIM(H187),{1,2,3,4},1))&gt;=65),--(CODE(MID(TRIM(H187),{1,2,3,4},1))&lt;=90))=4,MID(TRIM(H187),5,1)="0"),"Valid","Invalid"))</f>
        <v>Valid</v>
      </c>
      <c r="S187" s="2" t="str">
        <f t="shared" si="20"/>
        <v>Valid</v>
      </c>
      <c r="T187" s="2" t="str">
        <f t="shared" si="21"/>
        <v>Valid</v>
      </c>
      <c r="U187" s="2">
        <f t="shared" si="22"/>
        <v>0</v>
      </c>
      <c r="V187" s="2" t="str">
        <f t="shared" si="23"/>
        <v>918743553795</v>
      </c>
    </row>
    <row r="188" spans="1:22" x14ac:dyDescent="0.35">
      <c r="A188" s="2" t="s">
        <v>1900</v>
      </c>
      <c r="B188" s="2" t="s">
        <v>1901</v>
      </c>
      <c r="C188" s="2" t="s">
        <v>1902</v>
      </c>
      <c r="D188" s="2" t="s">
        <v>1903</v>
      </c>
      <c r="E188" s="2" t="s">
        <v>1904</v>
      </c>
      <c r="F188" s="2" t="s">
        <v>2212</v>
      </c>
      <c r="G188" s="15" t="s">
        <v>1906</v>
      </c>
      <c r="H188" s="2"/>
      <c r="I188" s="2" t="s">
        <v>130</v>
      </c>
      <c r="J188" s="2" t="s">
        <v>359</v>
      </c>
      <c r="K188" s="2" t="s">
        <v>121</v>
      </c>
      <c r="L188" s="2" t="s">
        <v>1907</v>
      </c>
      <c r="M188" s="2" t="str">
        <f>IF(TRIM(C188)="","Missing",IF(AND(LEN(TRIM(C188))=10,SUMPRODUCT(--(CODE(MID(TRIM(C188),{1,2,3,4,5,10},1))&gt;=65),--(CODE(MID(TRIM(C188),{1,2,3,4,5,10},1))&lt;=90))=6,ISNUMBER(--MID(TRIM(C188),6,4))),"Valid","Invalid"))</f>
        <v>Valid</v>
      </c>
      <c r="N188" s="2" t="str">
        <f t="shared" si="16"/>
        <v>Valid</v>
      </c>
      <c r="O188" s="2" t="str">
        <f t="shared" si="17"/>
        <v>Valid</v>
      </c>
      <c r="P188" s="2" t="str">
        <f t="shared" si="18"/>
        <v>Valid</v>
      </c>
      <c r="Q188" s="2" t="str">
        <f t="shared" si="19"/>
        <v>Valid</v>
      </c>
      <c r="R188" s="2" t="str">
        <f>IF(TRIM(H188)="","Missing",IF(AND(LEN(TRIM(H188))=11,SUMPRODUCT(--(CODE(MID(TRIM(H188),{1,2,3,4},1))&gt;=65),--(CODE(MID(TRIM(H188),{1,2,3,4},1))&lt;=90))=4,MID(TRIM(H188),5,1)="0"),"Valid","Invalid"))</f>
        <v>Missing</v>
      </c>
      <c r="S188" s="2" t="str">
        <f t="shared" si="20"/>
        <v>Valid</v>
      </c>
      <c r="T188" s="2" t="str">
        <f t="shared" si="21"/>
        <v>Valid</v>
      </c>
      <c r="U188" s="2">
        <f t="shared" si="22"/>
        <v>1</v>
      </c>
      <c r="V188" s="2" t="str">
        <f t="shared" si="23"/>
        <v>916453194337</v>
      </c>
    </row>
    <row r="189" spans="1:22" x14ac:dyDescent="0.35">
      <c r="A189" s="2" t="s">
        <v>1506</v>
      </c>
      <c r="B189" s="2" t="s">
        <v>1507</v>
      </c>
      <c r="C189" s="2" t="s">
        <v>1508</v>
      </c>
      <c r="D189" s="2" t="s">
        <v>1509</v>
      </c>
      <c r="E189" s="2" t="s">
        <v>1510</v>
      </c>
      <c r="F189" s="2" t="s">
        <v>2213</v>
      </c>
      <c r="G189" s="15" t="s">
        <v>1512</v>
      </c>
      <c r="H189" s="2" t="s">
        <v>1513</v>
      </c>
      <c r="I189" s="2" t="s">
        <v>130</v>
      </c>
      <c r="J189" s="2" t="s">
        <v>174</v>
      </c>
      <c r="K189" s="2" t="s">
        <v>121</v>
      </c>
      <c r="L189" s="2" t="s">
        <v>1514</v>
      </c>
      <c r="M189" s="2" t="str">
        <f>IF(TRIM(C189)="","Missing",IF(AND(LEN(TRIM(C189))=10,SUMPRODUCT(--(CODE(MID(TRIM(C189),{1,2,3,4,5,10},1))&gt;=65),--(CODE(MID(TRIM(C189),{1,2,3,4,5,10},1))&lt;=90))=6,ISNUMBER(--MID(TRIM(C189),6,4))),"Valid","Invalid"))</f>
        <v>Valid</v>
      </c>
      <c r="N189" s="2" t="str">
        <f t="shared" si="16"/>
        <v>Valid</v>
      </c>
      <c r="O189" s="2" t="str">
        <f t="shared" si="17"/>
        <v>Valid</v>
      </c>
      <c r="P189" s="2" t="str">
        <f t="shared" si="18"/>
        <v>Valid</v>
      </c>
      <c r="Q189" s="2" t="str">
        <f t="shared" si="19"/>
        <v>Valid</v>
      </c>
      <c r="R189" s="2" t="str">
        <f>IF(TRIM(H189)="","Missing",IF(AND(LEN(TRIM(H189))=11,SUMPRODUCT(--(CODE(MID(TRIM(H189),{1,2,3,4},1))&gt;=65),--(CODE(MID(TRIM(H189),{1,2,3,4},1))&lt;=90))=4,MID(TRIM(H189),5,1)="0"),"Valid","Invalid"))</f>
        <v>Valid</v>
      </c>
      <c r="S189" s="2" t="str">
        <f t="shared" si="20"/>
        <v>Valid</v>
      </c>
      <c r="T189" s="2" t="str">
        <f t="shared" si="21"/>
        <v>Valid</v>
      </c>
      <c r="U189" s="2">
        <f t="shared" si="22"/>
        <v>0</v>
      </c>
      <c r="V189" s="2" t="str">
        <f t="shared" si="23"/>
        <v>919060566418</v>
      </c>
    </row>
    <row r="190" spans="1:22" x14ac:dyDescent="0.35">
      <c r="A190" s="2" t="s">
        <v>350</v>
      </c>
      <c r="B190" s="2" t="s">
        <v>814</v>
      </c>
      <c r="C190" s="2" t="s">
        <v>344</v>
      </c>
      <c r="D190" s="2" t="s">
        <v>815</v>
      </c>
      <c r="E190" s="2" t="s">
        <v>345</v>
      </c>
      <c r="F190" s="2" t="s">
        <v>2214</v>
      </c>
      <c r="G190" s="15" t="s">
        <v>347</v>
      </c>
      <c r="H190" s="2" t="s">
        <v>818</v>
      </c>
      <c r="I190" s="2" t="s">
        <v>130</v>
      </c>
      <c r="J190" s="2" t="s">
        <v>359</v>
      </c>
      <c r="K190" s="2" t="s">
        <v>121</v>
      </c>
      <c r="L190" s="2" t="s">
        <v>819</v>
      </c>
      <c r="M190" s="2" t="str">
        <f>IF(TRIM(C190)="","Missing",IF(AND(LEN(TRIM(C190))=10,SUMPRODUCT(--(CODE(MID(TRIM(C190),{1,2,3,4,5,10},1))&gt;=65),--(CODE(MID(TRIM(C190),{1,2,3,4,5,10},1))&lt;=90))=6,ISNUMBER(--MID(TRIM(C190),6,4))),"Valid","Invalid"))</f>
        <v>Valid</v>
      </c>
      <c r="N190" s="2" t="str">
        <f t="shared" si="16"/>
        <v>Valid</v>
      </c>
      <c r="O190" s="2" t="str">
        <f t="shared" si="17"/>
        <v>Valid</v>
      </c>
      <c r="P190" s="2" t="str">
        <f t="shared" si="18"/>
        <v>Valid</v>
      </c>
      <c r="Q190" s="2" t="str">
        <f t="shared" si="19"/>
        <v>Valid</v>
      </c>
      <c r="R190" s="2" t="str">
        <f>IF(TRIM(H190)="","Missing",IF(AND(LEN(TRIM(H190))=11,SUMPRODUCT(--(CODE(MID(TRIM(H190),{1,2,3,4},1))&gt;=65),--(CODE(MID(TRIM(H190),{1,2,3,4},1))&lt;=90))=4,MID(TRIM(H190),5,1)="0"),"Valid","Invalid"))</f>
        <v>Valid</v>
      </c>
      <c r="S190" s="2" t="str">
        <f t="shared" si="20"/>
        <v>Valid</v>
      </c>
      <c r="T190" s="2" t="str">
        <f t="shared" si="21"/>
        <v>Valid</v>
      </c>
      <c r="U190" s="2">
        <f t="shared" si="22"/>
        <v>0</v>
      </c>
      <c r="V190" s="2" t="str">
        <f t="shared" si="23"/>
        <v>917173505831</v>
      </c>
    </row>
    <row r="191" spans="1:22" x14ac:dyDescent="0.35">
      <c r="A191" s="2" t="s">
        <v>264</v>
      </c>
      <c r="B191" s="2" t="s">
        <v>265</v>
      </c>
      <c r="C191" s="2" t="s">
        <v>266</v>
      </c>
      <c r="D191" s="2" t="s">
        <v>267</v>
      </c>
      <c r="E191" s="2" t="s">
        <v>2215</v>
      </c>
      <c r="F191" s="2"/>
      <c r="G191" s="15"/>
      <c r="H191" s="2" t="s">
        <v>269</v>
      </c>
      <c r="I191" s="2" t="s">
        <v>130</v>
      </c>
      <c r="J191" s="2" t="s">
        <v>359</v>
      </c>
      <c r="K191" s="2" t="s">
        <v>142</v>
      </c>
      <c r="L191" s="2" t="s">
        <v>271</v>
      </c>
      <c r="M191" s="2" t="str">
        <f>IF(TRIM(C191)="","Missing",IF(AND(LEN(TRIM(C191))=10,SUMPRODUCT(--(CODE(MID(TRIM(C191),{1,2,3,4,5,10},1))&gt;=65),--(CODE(MID(TRIM(C191),{1,2,3,4,5,10},1))&lt;=90))=6,ISNUMBER(--MID(TRIM(C191),6,4))),"Valid","Invalid"))</f>
        <v>Valid</v>
      </c>
      <c r="N191" s="2" t="str">
        <f t="shared" si="16"/>
        <v>Valid</v>
      </c>
      <c r="O191" s="2" t="str">
        <f t="shared" si="17"/>
        <v>Valid</v>
      </c>
      <c r="P191" s="2" t="str">
        <f t="shared" si="18"/>
        <v>Missing</v>
      </c>
      <c r="Q191" s="2" t="str">
        <f t="shared" si="19"/>
        <v>Missing</v>
      </c>
      <c r="R191" s="2" t="str">
        <f>IF(TRIM(H191)="","Missing",IF(AND(LEN(TRIM(H191))=11,SUMPRODUCT(--(CODE(MID(TRIM(H191),{1,2,3,4},1))&gt;=65),--(CODE(MID(TRIM(H191),{1,2,3,4},1))&lt;=90))=4,MID(TRIM(H191),5,1)="0"),"Valid","Invalid"))</f>
        <v>Valid</v>
      </c>
      <c r="S191" s="2" t="str">
        <f t="shared" si="20"/>
        <v>Valid</v>
      </c>
      <c r="T191" s="2" t="str">
        <f t="shared" si="21"/>
        <v>Valid</v>
      </c>
      <c r="U191" s="2">
        <f t="shared" si="22"/>
        <v>2</v>
      </c>
      <c r="V191" s="2" t="str">
        <f t="shared" si="23"/>
        <v/>
      </c>
    </row>
    <row r="192" spans="1:22" x14ac:dyDescent="0.35">
      <c r="A192" s="2" t="s">
        <v>299</v>
      </c>
      <c r="B192" s="2" t="s">
        <v>300</v>
      </c>
      <c r="C192" s="2" t="s">
        <v>301</v>
      </c>
      <c r="D192" s="2" t="s">
        <v>302</v>
      </c>
      <c r="E192" s="2" t="s">
        <v>772</v>
      </c>
      <c r="F192" s="2" t="s">
        <v>2216</v>
      </c>
      <c r="G192" s="15" t="s">
        <v>305</v>
      </c>
      <c r="H192" s="2" t="s">
        <v>306</v>
      </c>
      <c r="I192" s="2" t="s">
        <v>130</v>
      </c>
      <c r="J192" s="2" t="s">
        <v>141</v>
      </c>
      <c r="K192" s="2" t="s">
        <v>121</v>
      </c>
      <c r="L192" s="2" t="s">
        <v>307</v>
      </c>
      <c r="M192" s="2" t="str">
        <f>IF(TRIM(C192)="","Missing",IF(AND(LEN(TRIM(C192))=10,SUMPRODUCT(--(CODE(MID(TRIM(C192),{1,2,3,4,5,10},1))&gt;=65),--(CODE(MID(TRIM(C192),{1,2,3,4,5,10},1))&lt;=90))=6,ISNUMBER(--MID(TRIM(C192),6,4))),"Valid","Invalid"))</f>
        <v>Valid</v>
      </c>
      <c r="N192" s="2" t="str">
        <f t="shared" si="16"/>
        <v>Valid</v>
      </c>
      <c r="O192" s="2" t="str">
        <f t="shared" si="17"/>
        <v>Valid</v>
      </c>
      <c r="P192" s="2" t="str">
        <f t="shared" si="18"/>
        <v>Valid</v>
      </c>
      <c r="Q192" s="2" t="str">
        <f t="shared" si="19"/>
        <v>Valid</v>
      </c>
      <c r="R192" s="2" t="str">
        <f>IF(TRIM(H192)="","Missing",IF(AND(LEN(TRIM(H192))=11,SUMPRODUCT(--(CODE(MID(TRIM(H192),{1,2,3,4},1))&gt;=65),--(CODE(MID(TRIM(H192),{1,2,3,4},1))&lt;=90))=4,MID(TRIM(H192),5,1)="0"),"Valid","Invalid"))</f>
        <v>Valid</v>
      </c>
      <c r="S192" s="2" t="str">
        <f t="shared" si="20"/>
        <v>Valid</v>
      </c>
      <c r="T192" s="2" t="str">
        <f t="shared" si="21"/>
        <v>Valid</v>
      </c>
      <c r="U192" s="2">
        <f t="shared" si="22"/>
        <v>0</v>
      </c>
      <c r="V192" s="2" t="str">
        <f t="shared" si="23"/>
        <v>918954508920</v>
      </c>
    </row>
    <row r="193" spans="1:22" x14ac:dyDescent="0.35">
      <c r="A193" s="2" t="s">
        <v>1347</v>
      </c>
      <c r="B193" s="2" t="s">
        <v>1348</v>
      </c>
      <c r="C193" s="2" t="s">
        <v>1349</v>
      </c>
      <c r="D193" s="2" t="s">
        <v>1350</v>
      </c>
      <c r="E193" s="2" t="s">
        <v>1351</v>
      </c>
      <c r="F193" s="2" t="s">
        <v>2217</v>
      </c>
      <c r="G193" s="15" t="s">
        <v>1353</v>
      </c>
      <c r="H193" s="2" t="s">
        <v>1354</v>
      </c>
      <c r="I193" s="2" t="s">
        <v>130</v>
      </c>
      <c r="J193" s="2" t="s">
        <v>174</v>
      </c>
      <c r="K193" s="2" t="s">
        <v>121</v>
      </c>
      <c r="L193" s="2" t="s">
        <v>1190</v>
      </c>
      <c r="M193" s="2" t="str">
        <f>IF(TRIM(C193)="","Missing",IF(AND(LEN(TRIM(C193))=10,SUMPRODUCT(--(CODE(MID(TRIM(C193),{1,2,3,4,5,10},1))&gt;=65),--(CODE(MID(TRIM(C193),{1,2,3,4,5,10},1))&lt;=90))=6,ISNUMBER(--MID(TRIM(C193),6,4))),"Valid","Invalid"))</f>
        <v>Valid</v>
      </c>
      <c r="N193" s="2" t="str">
        <f t="shared" si="16"/>
        <v>Valid</v>
      </c>
      <c r="O193" s="2" t="str">
        <f t="shared" si="17"/>
        <v>Valid</v>
      </c>
      <c r="P193" s="2" t="str">
        <f t="shared" si="18"/>
        <v>Valid</v>
      </c>
      <c r="Q193" s="2" t="str">
        <f t="shared" si="19"/>
        <v>Valid</v>
      </c>
      <c r="R193" s="2" t="str">
        <f>IF(TRIM(H193)="","Missing",IF(AND(LEN(TRIM(H193))=11,SUMPRODUCT(--(CODE(MID(TRIM(H193),{1,2,3,4},1))&gt;=65),--(CODE(MID(TRIM(H193),{1,2,3,4},1))&lt;=90))=4,MID(TRIM(H193),5,1)="0"),"Valid","Invalid"))</f>
        <v>Valid</v>
      </c>
      <c r="S193" s="2" t="str">
        <f t="shared" si="20"/>
        <v>Valid</v>
      </c>
      <c r="T193" s="2" t="str">
        <f t="shared" si="21"/>
        <v>Valid</v>
      </c>
      <c r="U193" s="2">
        <f t="shared" si="22"/>
        <v>0</v>
      </c>
      <c r="V193" s="2" t="str">
        <f t="shared" si="23"/>
        <v>917756362050</v>
      </c>
    </row>
    <row r="194" spans="1:22" x14ac:dyDescent="0.35">
      <c r="A194" s="2" t="s">
        <v>1027</v>
      </c>
      <c r="B194" s="2" t="s">
        <v>1450</v>
      </c>
      <c r="C194" s="2" t="s">
        <v>1029</v>
      </c>
      <c r="D194" s="2" t="s">
        <v>1030</v>
      </c>
      <c r="E194" s="2" t="s">
        <v>1031</v>
      </c>
      <c r="F194" s="2" t="s">
        <v>2218</v>
      </c>
      <c r="G194" s="15" t="s">
        <v>1033</v>
      </c>
      <c r="H194" s="2" t="s">
        <v>1034</v>
      </c>
      <c r="I194" s="2" t="s">
        <v>130</v>
      </c>
      <c r="J194" s="2" t="s">
        <v>359</v>
      </c>
      <c r="K194" s="2" t="s">
        <v>121</v>
      </c>
      <c r="L194" s="2" t="s">
        <v>1452</v>
      </c>
      <c r="M194" s="2" t="str">
        <f>IF(TRIM(C194)="","Missing",IF(AND(LEN(TRIM(C194))=10,SUMPRODUCT(--(CODE(MID(TRIM(C194),{1,2,3,4,5,10},1))&gt;=65),--(CODE(MID(TRIM(C194),{1,2,3,4,5,10},1))&lt;=90))=6,ISNUMBER(--MID(TRIM(C194),6,4))),"Valid","Invalid"))</f>
        <v>Valid</v>
      </c>
      <c r="N194" s="2" t="str">
        <f t="shared" ref="N194:N208" si="24">IF(TRIM(D194)="","Missing",IF(AND(LEN(TRIM(D194))=15,MID(TRIM(D194),14,1)="Z"),IF(AND(TRIM(C194)&lt;&gt;"",MID(TRIM(D194),3,10)=TRIM(C194)),"Valid","PAN Mismatch"),"Invalid"))</f>
        <v>Valid</v>
      </c>
      <c r="O194" s="2" t="str">
        <f t="shared" ref="O194:O208" si="25">IF(TRIM(E194)="","Missing",IF(AND(ISNUMBER(FIND("@",E194)),ISERROR(FIND(" ",TRIM(E194))),IFERROR(FIND(".",E194,FIND("@",E194)),0)&gt;0),"Valid","Invalid"))</f>
        <v>Valid</v>
      </c>
      <c r="P194" s="2" t="str">
        <f t="shared" ref="P194:P208" si="26">IF(TRIM(F194)="","Missing",IFERROR(IF(AND(ISNUMBER(--V194),OR(LEN(V194)=10,AND(LEN(V194)=12,LEFT(V194,2)="91")),VALUE(LEFT(RIGHT(V194,10),1))&gt;=6),"Valid","Invalid"),"Invalid"))</f>
        <v>Valid</v>
      </c>
      <c r="Q194" s="2" t="str">
        <f t="shared" ref="Q194:Q208" si="27">IF(TRIM(G194)="","Missing",IFERROR(IF(AND(ISNUMBER(--TRIM(G194)),LEN(TRIM(G194))&gt;=9,LEN(TRIM(G194))&lt;=18,ISERROR(FIND(".",G194))),"Valid","Invalid"),"Invalid"))</f>
        <v>Valid</v>
      </c>
      <c r="R194" s="2" t="str">
        <f>IF(TRIM(H194)="","Missing",IF(AND(LEN(TRIM(H194))=11,SUMPRODUCT(--(CODE(MID(TRIM(H194),{1,2,3,4},1))&gt;=65),--(CODE(MID(TRIM(H194),{1,2,3,4},1))&lt;=90))=4,MID(TRIM(H194),5,1)="0"),"Valid","Invalid"))</f>
        <v>Valid</v>
      </c>
      <c r="S194" s="2" t="str">
        <f t="shared" ref="S194:S208" si="28">IF(TRIM(I194)="","Missing",IF(EXACT(TRIM(I194),"India"),"Valid","Invalid"))</f>
        <v>Valid</v>
      </c>
      <c r="T194" s="2" t="str">
        <f t="shared" ref="T194:T208" si="29">IF(TRIM(J194)="","Missing",IF(OR(EXACT(TRIM(J194),"Net 15"),EXACT(TRIM(J194),"Net 30"),EXACT(TRIM(J194),"Net 45"),EXACT(TRIM(J194),"Net 60")),"Valid","Invalid"))</f>
        <v>Valid</v>
      </c>
      <c r="U194" s="2">
        <f t="shared" ref="U194:U257" si="30">COUNTIF(M194:T194,"&lt;&gt;Valid")</f>
        <v>0</v>
      </c>
      <c r="V194" s="2" t="str">
        <f t="shared" ref="V194:V208" si="31">SUBSTITUTE(SUBSTITUTE(SUBSTITUTE(F194," ",""),"-",""),"+","")</f>
        <v>919559630993</v>
      </c>
    </row>
    <row r="195" spans="1:22" x14ac:dyDescent="0.35">
      <c r="A195" s="2" t="s">
        <v>797</v>
      </c>
      <c r="B195" s="2" t="s">
        <v>2219</v>
      </c>
      <c r="C195" s="2" t="s">
        <v>799</v>
      </c>
      <c r="D195" s="2" t="s">
        <v>800</v>
      </c>
      <c r="E195" s="2" t="s">
        <v>801</v>
      </c>
      <c r="F195" s="2" t="s">
        <v>2220</v>
      </c>
      <c r="G195" s="15" t="s">
        <v>803</v>
      </c>
      <c r="H195" s="2" t="s">
        <v>804</v>
      </c>
      <c r="I195" s="2" t="s">
        <v>130</v>
      </c>
      <c r="J195" s="2" t="s">
        <v>141</v>
      </c>
      <c r="K195" s="2" t="s">
        <v>121</v>
      </c>
      <c r="L195" s="2" t="s">
        <v>1935</v>
      </c>
      <c r="M195" s="2" t="str">
        <f>IF(TRIM(C195)="","Missing",IF(AND(LEN(TRIM(C195))=10,SUMPRODUCT(--(CODE(MID(TRIM(C195),{1,2,3,4,5,10},1))&gt;=65),--(CODE(MID(TRIM(C195),{1,2,3,4,5,10},1))&lt;=90))=6,ISNUMBER(--MID(TRIM(C195),6,4))),"Valid","Invalid"))</f>
        <v>Valid</v>
      </c>
      <c r="N195" s="2" t="str">
        <f t="shared" si="24"/>
        <v>Valid</v>
      </c>
      <c r="O195" s="2" t="str">
        <f t="shared" si="25"/>
        <v>Valid</v>
      </c>
      <c r="P195" s="2" t="str">
        <f t="shared" si="26"/>
        <v>Valid</v>
      </c>
      <c r="Q195" s="2" t="str">
        <f t="shared" si="27"/>
        <v>Valid</v>
      </c>
      <c r="R195" s="2" t="str">
        <f>IF(TRIM(H195)="","Missing",IF(AND(LEN(TRIM(H195))=11,SUMPRODUCT(--(CODE(MID(TRIM(H195),{1,2,3,4},1))&gt;=65),--(CODE(MID(TRIM(H195),{1,2,3,4},1))&lt;=90))=4,MID(TRIM(H195),5,1)="0"),"Valid","Invalid"))</f>
        <v>Valid</v>
      </c>
      <c r="S195" s="2" t="str">
        <f t="shared" si="28"/>
        <v>Valid</v>
      </c>
      <c r="T195" s="2" t="str">
        <f t="shared" si="29"/>
        <v>Valid</v>
      </c>
      <c r="U195" s="2">
        <f t="shared" si="30"/>
        <v>0</v>
      </c>
      <c r="V195" s="2" t="str">
        <f t="shared" si="31"/>
        <v>917042897317</v>
      </c>
    </row>
    <row r="196" spans="1:22" x14ac:dyDescent="0.35">
      <c r="A196" s="2" t="s">
        <v>233</v>
      </c>
      <c r="B196" s="2" t="s">
        <v>225</v>
      </c>
      <c r="C196" s="2" t="s">
        <v>226</v>
      </c>
      <c r="D196" s="2" t="s">
        <v>867</v>
      </c>
      <c r="E196" s="2" t="s">
        <v>227</v>
      </c>
      <c r="F196" s="2" t="s">
        <v>2221</v>
      </c>
      <c r="G196" s="15" t="s">
        <v>229</v>
      </c>
      <c r="H196" s="2" t="s">
        <v>230</v>
      </c>
      <c r="I196" s="2" t="s">
        <v>130</v>
      </c>
      <c r="J196" s="2" t="s">
        <v>141</v>
      </c>
      <c r="K196" s="2" t="s">
        <v>142</v>
      </c>
      <c r="L196" s="2" t="s">
        <v>232</v>
      </c>
      <c r="M196" s="2" t="str">
        <f>IF(TRIM(C196)="","Missing",IF(AND(LEN(TRIM(C196))=10,SUMPRODUCT(--(CODE(MID(TRIM(C196),{1,2,3,4,5,10},1))&gt;=65),--(CODE(MID(TRIM(C196),{1,2,3,4,5,10},1))&lt;=90))=6,ISNUMBER(--MID(TRIM(C196),6,4))),"Valid","Invalid"))</f>
        <v>Valid</v>
      </c>
      <c r="N196" s="2" t="str">
        <f t="shared" si="24"/>
        <v>Valid</v>
      </c>
      <c r="O196" s="2" t="str">
        <f t="shared" si="25"/>
        <v>Valid</v>
      </c>
      <c r="P196" s="2" t="str">
        <f t="shared" si="26"/>
        <v>Valid</v>
      </c>
      <c r="Q196" s="2" t="str">
        <f t="shared" si="27"/>
        <v>Valid</v>
      </c>
      <c r="R196" s="2" t="str">
        <f>IF(TRIM(H196)="","Missing",IF(AND(LEN(TRIM(H196))=11,SUMPRODUCT(--(CODE(MID(TRIM(H196),{1,2,3,4},1))&gt;=65),--(CODE(MID(TRIM(H196),{1,2,3,4},1))&lt;=90))=4,MID(TRIM(H196),5,1)="0"),"Valid","Invalid"))</f>
        <v>Valid</v>
      </c>
      <c r="S196" s="2" t="str">
        <f t="shared" si="28"/>
        <v>Valid</v>
      </c>
      <c r="T196" s="2" t="str">
        <f t="shared" si="29"/>
        <v>Valid</v>
      </c>
      <c r="U196" s="2">
        <f t="shared" si="30"/>
        <v>0</v>
      </c>
      <c r="V196" s="2" t="str">
        <f t="shared" si="31"/>
        <v>919857872558</v>
      </c>
    </row>
    <row r="197" spans="1:22" x14ac:dyDescent="0.35">
      <c r="A197" s="2" t="s">
        <v>1551</v>
      </c>
      <c r="B197" s="2" t="s">
        <v>2222</v>
      </c>
      <c r="C197" s="2" t="s">
        <v>1553</v>
      </c>
      <c r="D197" s="2" t="s">
        <v>1554</v>
      </c>
      <c r="E197" s="2" t="s">
        <v>1555</v>
      </c>
      <c r="F197" s="2" t="s">
        <v>2223</v>
      </c>
      <c r="G197" s="15" t="s">
        <v>1557</v>
      </c>
      <c r="H197" s="2" t="s">
        <v>1558</v>
      </c>
      <c r="I197" s="2" t="s">
        <v>130</v>
      </c>
      <c r="J197" s="2" t="s">
        <v>174</v>
      </c>
      <c r="K197" s="2" t="s">
        <v>121</v>
      </c>
      <c r="L197" s="2" t="s">
        <v>1722</v>
      </c>
      <c r="M197" s="2" t="str">
        <f>IF(TRIM(C197)="","Missing",IF(AND(LEN(TRIM(C197))=10,SUMPRODUCT(--(CODE(MID(TRIM(C197),{1,2,3,4,5,10},1))&gt;=65),--(CODE(MID(TRIM(C197),{1,2,3,4,5,10},1))&lt;=90))=6,ISNUMBER(--MID(TRIM(C197),6,4))),"Valid","Invalid"))</f>
        <v>Valid</v>
      </c>
      <c r="N197" s="2" t="str">
        <f t="shared" si="24"/>
        <v>Valid</v>
      </c>
      <c r="O197" s="2" t="str">
        <f t="shared" si="25"/>
        <v>Valid</v>
      </c>
      <c r="P197" s="2" t="str">
        <f t="shared" si="26"/>
        <v>Valid</v>
      </c>
      <c r="Q197" s="2" t="str">
        <f t="shared" si="27"/>
        <v>Valid</v>
      </c>
      <c r="R197" s="2" t="str">
        <f>IF(TRIM(H197)="","Missing",IF(AND(LEN(TRIM(H197))=11,SUMPRODUCT(--(CODE(MID(TRIM(H197),{1,2,3,4},1))&gt;=65),--(CODE(MID(TRIM(H197),{1,2,3,4},1))&lt;=90))=4,MID(TRIM(H197),5,1)="0"),"Valid","Invalid"))</f>
        <v>Valid</v>
      </c>
      <c r="S197" s="2" t="str">
        <f t="shared" si="28"/>
        <v>Valid</v>
      </c>
      <c r="T197" s="2" t="str">
        <f t="shared" si="29"/>
        <v>Valid</v>
      </c>
      <c r="U197" s="2">
        <f t="shared" si="30"/>
        <v>0</v>
      </c>
      <c r="V197" s="2" t="str">
        <f t="shared" si="31"/>
        <v>917499856984</v>
      </c>
    </row>
    <row r="198" spans="1:22" x14ac:dyDescent="0.35">
      <c r="A198" s="2" t="s">
        <v>813</v>
      </c>
      <c r="B198" s="2" t="s">
        <v>2224</v>
      </c>
      <c r="C198" s="2" t="s">
        <v>957</v>
      </c>
      <c r="D198" s="2" t="s">
        <v>808</v>
      </c>
      <c r="E198" s="2" t="s">
        <v>809</v>
      </c>
      <c r="F198" s="2" t="s">
        <v>2225</v>
      </c>
      <c r="G198" s="15" t="s">
        <v>810</v>
      </c>
      <c r="H198" s="2" t="s">
        <v>811</v>
      </c>
      <c r="I198" s="2" t="s">
        <v>130</v>
      </c>
      <c r="J198" s="2" t="s">
        <v>174</v>
      </c>
      <c r="K198" s="2" t="s">
        <v>142</v>
      </c>
      <c r="L198" s="2" t="s">
        <v>812</v>
      </c>
      <c r="M198" s="2" t="str">
        <f>IF(TRIM(C198)="","Missing",IF(AND(LEN(TRIM(C198))=10,SUMPRODUCT(--(CODE(MID(TRIM(C198),{1,2,3,4,5,10},1))&gt;=65),--(CODE(MID(TRIM(C198),{1,2,3,4,5,10},1))&lt;=90))=6,ISNUMBER(--MID(TRIM(C198),6,4))),"Valid","Invalid"))</f>
        <v>Valid</v>
      </c>
      <c r="N198" s="2" t="str">
        <f t="shared" si="24"/>
        <v>Valid</v>
      </c>
      <c r="O198" s="2" t="str">
        <f t="shared" si="25"/>
        <v>Valid</v>
      </c>
      <c r="P198" s="2" t="str">
        <f t="shared" si="26"/>
        <v>Valid</v>
      </c>
      <c r="Q198" s="2" t="str">
        <f t="shared" si="27"/>
        <v>Valid</v>
      </c>
      <c r="R198" s="2" t="str">
        <f>IF(TRIM(H198)="","Missing",IF(AND(LEN(TRIM(H198))=11,SUMPRODUCT(--(CODE(MID(TRIM(H198),{1,2,3,4},1))&gt;=65),--(CODE(MID(TRIM(H198),{1,2,3,4},1))&lt;=90))=4,MID(TRIM(H198),5,1)="0"),"Valid","Invalid"))</f>
        <v>Valid</v>
      </c>
      <c r="S198" s="2" t="str">
        <f t="shared" si="28"/>
        <v>Valid</v>
      </c>
      <c r="T198" s="2" t="str">
        <f t="shared" si="29"/>
        <v>Valid</v>
      </c>
      <c r="U198" s="2">
        <f t="shared" si="30"/>
        <v>0</v>
      </c>
      <c r="V198" s="2" t="str">
        <f t="shared" si="31"/>
        <v>918616484085</v>
      </c>
    </row>
    <row r="199" spans="1:22" x14ac:dyDescent="0.35">
      <c r="A199" s="2" t="s">
        <v>848</v>
      </c>
      <c r="B199" s="2" t="s">
        <v>2226</v>
      </c>
      <c r="C199" s="2" t="s">
        <v>850</v>
      </c>
      <c r="D199" s="2" t="s">
        <v>851</v>
      </c>
      <c r="E199" s="2" t="s">
        <v>852</v>
      </c>
      <c r="F199" s="2" t="s">
        <v>2227</v>
      </c>
      <c r="G199" s="15" t="s">
        <v>854</v>
      </c>
      <c r="H199" s="2" t="s">
        <v>855</v>
      </c>
      <c r="I199" s="2" t="s">
        <v>130</v>
      </c>
      <c r="J199" s="2" t="s">
        <v>359</v>
      </c>
      <c r="K199" s="2" t="s">
        <v>121</v>
      </c>
      <c r="L199" s="2" t="s">
        <v>1827</v>
      </c>
      <c r="M199" s="2" t="str">
        <f>IF(TRIM(C199)="","Missing",IF(AND(LEN(TRIM(C199))=10,SUMPRODUCT(--(CODE(MID(TRIM(C199),{1,2,3,4,5,10},1))&gt;=65),--(CODE(MID(TRIM(C199),{1,2,3,4,5,10},1))&lt;=90))=6,ISNUMBER(--MID(TRIM(C199),6,4))),"Valid","Invalid"))</f>
        <v>Valid</v>
      </c>
      <c r="N199" s="2" t="str">
        <f t="shared" si="24"/>
        <v>Valid</v>
      </c>
      <c r="O199" s="2" t="str">
        <f t="shared" si="25"/>
        <v>Valid</v>
      </c>
      <c r="P199" s="2" t="str">
        <f t="shared" si="26"/>
        <v>Valid</v>
      </c>
      <c r="Q199" s="2" t="str">
        <f t="shared" si="27"/>
        <v>Valid</v>
      </c>
      <c r="R199" s="2" t="str">
        <f>IF(TRIM(H199)="","Missing",IF(AND(LEN(TRIM(H199))=11,SUMPRODUCT(--(CODE(MID(TRIM(H199),{1,2,3,4},1))&gt;=65),--(CODE(MID(TRIM(H199),{1,2,3,4},1))&lt;=90))=4,MID(TRIM(H199),5,1)="0"),"Valid","Invalid"))</f>
        <v>Valid</v>
      </c>
      <c r="S199" s="2" t="str">
        <f t="shared" si="28"/>
        <v>Valid</v>
      </c>
      <c r="T199" s="2" t="str">
        <f t="shared" si="29"/>
        <v>Valid</v>
      </c>
      <c r="U199" s="2">
        <f t="shared" si="30"/>
        <v>0</v>
      </c>
      <c r="V199" s="2" t="str">
        <f t="shared" si="31"/>
        <v>917415148881</v>
      </c>
    </row>
    <row r="200" spans="1:22" x14ac:dyDescent="0.35">
      <c r="A200" s="2" t="s">
        <v>475</v>
      </c>
      <c r="B200" s="2" t="s">
        <v>476</v>
      </c>
      <c r="C200" s="2" t="s">
        <v>477</v>
      </c>
      <c r="D200" s="2" t="s">
        <v>478</v>
      </c>
      <c r="E200" s="2" t="s">
        <v>479</v>
      </c>
      <c r="F200" s="2" t="s">
        <v>2113</v>
      </c>
      <c r="G200" s="15" t="s">
        <v>481</v>
      </c>
      <c r="H200" s="2" t="s">
        <v>482</v>
      </c>
      <c r="I200" s="2" t="s">
        <v>130</v>
      </c>
      <c r="J200" s="2" t="s">
        <v>174</v>
      </c>
      <c r="K200" s="2" t="s">
        <v>121</v>
      </c>
      <c r="L200" s="2" t="s">
        <v>483</v>
      </c>
      <c r="M200" s="2" t="str">
        <f>IF(TRIM(C200)="","Missing",IF(AND(LEN(TRIM(C200))=10,SUMPRODUCT(--(CODE(MID(TRIM(C200),{1,2,3,4,5,10},1))&gt;=65),--(CODE(MID(TRIM(C200),{1,2,3,4,5,10},1))&lt;=90))=6,ISNUMBER(--MID(TRIM(C200),6,4))),"Valid","Invalid"))</f>
        <v>Valid</v>
      </c>
      <c r="N200" s="2" t="str">
        <f t="shared" si="24"/>
        <v>Valid</v>
      </c>
      <c r="O200" s="2" t="str">
        <f t="shared" si="25"/>
        <v>Valid</v>
      </c>
      <c r="P200" s="2" t="str">
        <f t="shared" si="26"/>
        <v>Valid</v>
      </c>
      <c r="Q200" s="2" t="str">
        <f t="shared" si="27"/>
        <v>Valid</v>
      </c>
      <c r="R200" s="2" t="str">
        <f>IF(TRIM(H200)="","Missing",IF(AND(LEN(TRIM(H200))=11,SUMPRODUCT(--(CODE(MID(TRIM(H200),{1,2,3,4},1))&gt;=65),--(CODE(MID(TRIM(H200),{1,2,3,4},1))&lt;=90))=4,MID(TRIM(H200),5,1)="0"),"Valid","Invalid"))</f>
        <v>Valid</v>
      </c>
      <c r="S200" s="2" t="str">
        <f t="shared" si="28"/>
        <v>Valid</v>
      </c>
      <c r="T200" s="2" t="str">
        <f t="shared" si="29"/>
        <v>Valid</v>
      </c>
      <c r="U200" s="2">
        <f t="shared" si="30"/>
        <v>0</v>
      </c>
      <c r="V200" s="2" t="str">
        <f t="shared" si="31"/>
        <v>917144270312</v>
      </c>
    </row>
    <row r="201" spans="1:22" x14ac:dyDescent="0.35">
      <c r="A201" s="2" t="s">
        <v>1332</v>
      </c>
      <c r="B201" s="2" t="s">
        <v>1333</v>
      </c>
      <c r="C201" s="2" t="s">
        <v>1334</v>
      </c>
      <c r="D201" s="2" t="s">
        <v>1335</v>
      </c>
      <c r="E201" s="2" t="s">
        <v>1336</v>
      </c>
      <c r="F201" s="2" t="s">
        <v>2228</v>
      </c>
      <c r="G201" s="15" t="s">
        <v>1338</v>
      </c>
      <c r="H201" s="2" t="s">
        <v>1339</v>
      </c>
      <c r="I201" s="2" t="s">
        <v>130</v>
      </c>
      <c r="J201" s="2" t="s">
        <v>174</v>
      </c>
      <c r="K201" s="2" t="s">
        <v>142</v>
      </c>
      <c r="L201" s="2" t="s">
        <v>1656</v>
      </c>
      <c r="M201" s="2" t="str">
        <f>IF(TRIM(C201)="","Missing",IF(AND(LEN(TRIM(C201))=10,SUMPRODUCT(--(CODE(MID(TRIM(C201),{1,2,3,4,5,10},1))&gt;=65),--(CODE(MID(TRIM(C201),{1,2,3,4,5,10},1))&lt;=90))=6,ISNUMBER(--MID(TRIM(C201),6,4))),"Valid","Invalid"))</f>
        <v>Valid</v>
      </c>
      <c r="N201" s="2" t="str">
        <f t="shared" si="24"/>
        <v>Valid</v>
      </c>
      <c r="O201" s="2" t="str">
        <f t="shared" si="25"/>
        <v>Valid</v>
      </c>
      <c r="P201" s="2" t="str">
        <f t="shared" si="26"/>
        <v>Valid</v>
      </c>
      <c r="Q201" s="2" t="str">
        <f t="shared" si="27"/>
        <v>Valid</v>
      </c>
      <c r="R201" s="2" t="str">
        <f>IF(TRIM(H201)="","Missing",IF(AND(LEN(TRIM(H201))=11,SUMPRODUCT(--(CODE(MID(TRIM(H201),{1,2,3,4},1))&gt;=65),--(CODE(MID(TRIM(H201),{1,2,3,4},1))&lt;=90))=4,MID(TRIM(H201),5,1)="0"),"Valid","Invalid"))</f>
        <v>Valid</v>
      </c>
      <c r="S201" s="2" t="str">
        <f t="shared" si="28"/>
        <v>Valid</v>
      </c>
      <c r="T201" s="2" t="str">
        <f t="shared" si="29"/>
        <v>Valid</v>
      </c>
      <c r="U201" s="2">
        <f t="shared" si="30"/>
        <v>0</v>
      </c>
      <c r="V201" s="2" t="str">
        <f t="shared" si="31"/>
        <v>918896908357</v>
      </c>
    </row>
    <row r="202" spans="1:22" x14ac:dyDescent="0.35">
      <c r="A202" s="2" t="s">
        <v>939</v>
      </c>
      <c r="B202" s="2" t="s">
        <v>940</v>
      </c>
      <c r="C202" s="2"/>
      <c r="D202" s="2" t="s">
        <v>941</v>
      </c>
      <c r="E202" s="2" t="s">
        <v>942</v>
      </c>
      <c r="F202" s="2" t="s">
        <v>2032</v>
      </c>
      <c r="G202" s="15" t="s">
        <v>944</v>
      </c>
      <c r="H202" s="2" t="s">
        <v>945</v>
      </c>
      <c r="I202" s="2" t="s">
        <v>130</v>
      </c>
      <c r="J202" s="2" t="s">
        <v>359</v>
      </c>
      <c r="K202" s="2" t="s">
        <v>121</v>
      </c>
      <c r="L202" s="2" t="s">
        <v>946</v>
      </c>
      <c r="M202" s="2" t="str">
        <f>IF(TRIM(C202)="","Missing",IF(AND(LEN(TRIM(C202))=10,SUMPRODUCT(--(CODE(MID(TRIM(C202),{1,2,3,4,5,10},1))&gt;=65),--(CODE(MID(TRIM(C202),{1,2,3,4,5,10},1))&lt;=90))=6,ISNUMBER(--MID(TRIM(C202),6,4))),"Valid","Invalid"))</f>
        <v>Missing</v>
      </c>
      <c r="N202" s="2" t="str">
        <f t="shared" si="24"/>
        <v>PAN Mismatch</v>
      </c>
      <c r="O202" s="2" t="str">
        <f t="shared" si="25"/>
        <v>Valid</v>
      </c>
      <c r="P202" s="2" t="str">
        <f t="shared" si="26"/>
        <v>Valid</v>
      </c>
      <c r="Q202" s="2" t="str">
        <f t="shared" si="27"/>
        <v>Valid</v>
      </c>
      <c r="R202" s="2" t="str">
        <f>IF(TRIM(H202)="","Missing",IF(AND(LEN(TRIM(H202))=11,SUMPRODUCT(--(CODE(MID(TRIM(H202),{1,2,3,4},1))&gt;=65),--(CODE(MID(TRIM(H202),{1,2,3,4},1))&lt;=90))=4,MID(TRIM(H202),5,1)="0"),"Valid","Invalid"))</f>
        <v>Valid</v>
      </c>
      <c r="S202" s="2" t="str">
        <f t="shared" si="28"/>
        <v>Valid</v>
      </c>
      <c r="T202" s="2" t="str">
        <f t="shared" si="29"/>
        <v>Valid</v>
      </c>
      <c r="U202" s="2">
        <f t="shared" si="30"/>
        <v>2</v>
      </c>
      <c r="V202" s="2" t="str">
        <f t="shared" si="31"/>
        <v>918888794705</v>
      </c>
    </row>
    <row r="203" spans="1:22" x14ac:dyDescent="0.35">
      <c r="A203" s="2" t="s">
        <v>1515</v>
      </c>
      <c r="B203" s="2" t="s">
        <v>1516</v>
      </c>
      <c r="C203" s="2" t="s">
        <v>1517</v>
      </c>
      <c r="D203" s="2" t="s">
        <v>1518</v>
      </c>
      <c r="E203" s="2" t="s">
        <v>1519</v>
      </c>
      <c r="F203" s="2" t="s">
        <v>2229</v>
      </c>
      <c r="G203" s="15" t="s">
        <v>1521</v>
      </c>
      <c r="H203" s="2" t="s">
        <v>1522</v>
      </c>
      <c r="I203" s="2" t="s">
        <v>130</v>
      </c>
      <c r="J203" s="2" t="s">
        <v>359</v>
      </c>
      <c r="K203" s="2" t="s">
        <v>121</v>
      </c>
      <c r="L203" s="2" t="s">
        <v>1769</v>
      </c>
      <c r="M203" s="2" t="str">
        <f>IF(TRIM(C203)="","Missing",IF(AND(LEN(TRIM(C203))=10,SUMPRODUCT(--(CODE(MID(TRIM(C203),{1,2,3,4,5,10},1))&gt;=65),--(CODE(MID(TRIM(C203),{1,2,3,4,5,10},1))&lt;=90))=6,ISNUMBER(--MID(TRIM(C203),6,4))),"Valid","Invalid"))</f>
        <v>Valid</v>
      </c>
      <c r="N203" s="2" t="str">
        <f t="shared" si="24"/>
        <v>Valid</v>
      </c>
      <c r="O203" s="2" t="str">
        <f t="shared" si="25"/>
        <v>Valid</v>
      </c>
      <c r="P203" s="2" t="str">
        <f t="shared" si="26"/>
        <v>Valid</v>
      </c>
      <c r="Q203" s="2" t="str">
        <f t="shared" si="27"/>
        <v>Valid</v>
      </c>
      <c r="R203" s="2" t="str">
        <f>IF(TRIM(H203)="","Missing",IF(AND(LEN(TRIM(H203))=11,SUMPRODUCT(--(CODE(MID(TRIM(H203),{1,2,3,4},1))&gt;=65),--(CODE(MID(TRIM(H203),{1,2,3,4},1))&lt;=90))=4,MID(TRIM(H203),5,1)="0"),"Valid","Invalid"))</f>
        <v>Valid</v>
      </c>
      <c r="S203" s="2" t="str">
        <f t="shared" si="28"/>
        <v>Valid</v>
      </c>
      <c r="T203" s="2" t="str">
        <f t="shared" si="29"/>
        <v>Valid</v>
      </c>
      <c r="U203" s="2">
        <f t="shared" si="30"/>
        <v>0</v>
      </c>
      <c r="V203" s="2" t="str">
        <f t="shared" si="31"/>
        <v>916849588039</v>
      </c>
    </row>
    <row r="204" spans="1:22" x14ac:dyDescent="0.35">
      <c r="A204" s="2" t="s">
        <v>1696</v>
      </c>
      <c r="B204" s="2" t="s">
        <v>1697</v>
      </c>
      <c r="C204" s="2"/>
      <c r="D204" s="2"/>
      <c r="E204" s="2" t="s">
        <v>1081</v>
      </c>
      <c r="F204" s="2" t="s">
        <v>2230</v>
      </c>
      <c r="G204" s="15" t="s">
        <v>1083</v>
      </c>
      <c r="H204" s="2" t="s">
        <v>1084</v>
      </c>
      <c r="I204" s="2" t="s">
        <v>130</v>
      </c>
      <c r="J204" s="2" t="s">
        <v>359</v>
      </c>
      <c r="K204" s="2" t="s">
        <v>121</v>
      </c>
      <c r="L204" s="2" t="s">
        <v>1700</v>
      </c>
      <c r="M204" s="2" t="str">
        <f>IF(TRIM(C204)="","Missing",IF(AND(LEN(TRIM(C204))=10,SUMPRODUCT(--(CODE(MID(TRIM(C204),{1,2,3,4,5,10},1))&gt;=65),--(CODE(MID(TRIM(C204),{1,2,3,4,5,10},1))&lt;=90))=6,ISNUMBER(--MID(TRIM(C204),6,4))),"Valid","Invalid"))</f>
        <v>Missing</v>
      </c>
      <c r="N204" s="2" t="str">
        <f t="shared" si="24"/>
        <v>Missing</v>
      </c>
      <c r="O204" s="2" t="str">
        <f t="shared" si="25"/>
        <v>Valid</v>
      </c>
      <c r="P204" s="2" t="str">
        <f t="shared" si="26"/>
        <v>Valid</v>
      </c>
      <c r="Q204" s="2" t="str">
        <f t="shared" si="27"/>
        <v>Valid</v>
      </c>
      <c r="R204" s="2" t="str">
        <f>IF(TRIM(H204)="","Missing",IF(AND(LEN(TRIM(H204))=11,SUMPRODUCT(--(CODE(MID(TRIM(H204),{1,2,3,4},1))&gt;=65),--(CODE(MID(TRIM(H204),{1,2,3,4},1))&lt;=90))=4,MID(TRIM(H204),5,1)="0"),"Valid","Invalid"))</f>
        <v>Valid</v>
      </c>
      <c r="S204" s="2" t="str">
        <f t="shared" si="28"/>
        <v>Valid</v>
      </c>
      <c r="T204" s="2" t="str">
        <f t="shared" si="29"/>
        <v>Valid</v>
      </c>
      <c r="U204" s="2">
        <f t="shared" si="30"/>
        <v>2</v>
      </c>
      <c r="V204" s="2" t="str">
        <f t="shared" si="31"/>
        <v>918787300244</v>
      </c>
    </row>
    <row r="205" spans="1:22" x14ac:dyDescent="0.35">
      <c r="A205" s="2" t="s">
        <v>783</v>
      </c>
      <c r="B205" s="2" t="s">
        <v>784</v>
      </c>
      <c r="C205" s="2"/>
      <c r="D205" s="2"/>
      <c r="E205" s="2" t="s">
        <v>637</v>
      </c>
      <c r="F205" s="2" t="s">
        <v>786</v>
      </c>
      <c r="G205" s="15"/>
      <c r="H205" s="2" t="s">
        <v>640</v>
      </c>
      <c r="I205" s="2" t="s">
        <v>130</v>
      </c>
      <c r="J205" s="2" t="s">
        <v>141</v>
      </c>
      <c r="K205" s="2" t="s">
        <v>121</v>
      </c>
      <c r="L205" s="2" t="s">
        <v>787</v>
      </c>
      <c r="M205" s="2" t="str">
        <f>IF(TRIM(C205)="","Missing",IF(AND(LEN(TRIM(C205))=10,SUMPRODUCT(--(CODE(MID(TRIM(C205),{1,2,3,4,5,10},1))&gt;=65),--(CODE(MID(TRIM(C205),{1,2,3,4,5,10},1))&lt;=90))=6,ISNUMBER(--MID(TRIM(C205),6,4))),"Valid","Invalid"))</f>
        <v>Missing</v>
      </c>
      <c r="N205" s="2" t="str">
        <f t="shared" si="24"/>
        <v>Missing</v>
      </c>
      <c r="O205" s="2" t="str">
        <f t="shared" si="25"/>
        <v>Valid</v>
      </c>
      <c r="P205" s="2" t="str">
        <f t="shared" si="26"/>
        <v>Invalid</v>
      </c>
      <c r="Q205" s="2" t="str">
        <f t="shared" si="27"/>
        <v>Missing</v>
      </c>
      <c r="R205" s="2" t="str">
        <f>IF(TRIM(H205)="","Missing",IF(AND(LEN(TRIM(H205))=11,SUMPRODUCT(--(CODE(MID(TRIM(H205),{1,2,3,4},1))&gt;=65),--(CODE(MID(TRIM(H205),{1,2,3,4},1))&lt;=90))=4,MID(TRIM(H205),5,1)="0"),"Valid","Invalid"))</f>
        <v>Valid</v>
      </c>
      <c r="S205" s="2" t="str">
        <f t="shared" si="28"/>
        <v>Valid</v>
      </c>
      <c r="T205" s="2" t="str">
        <f t="shared" si="29"/>
        <v>Valid</v>
      </c>
      <c r="U205" s="2">
        <f t="shared" si="30"/>
        <v>4</v>
      </c>
      <c r="V205" s="2" t="str">
        <f t="shared" si="31"/>
        <v>792407553</v>
      </c>
    </row>
    <row r="206" spans="1:22" x14ac:dyDescent="0.35">
      <c r="A206" s="2" t="s">
        <v>1870</v>
      </c>
      <c r="B206" s="2" t="s">
        <v>1871</v>
      </c>
      <c r="C206" s="2"/>
      <c r="D206" s="2"/>
      <c r="E206" s="2" t="s">
        <v>601</v>
      </c>
      <c r="F206" s="2" t="s">
        <v>1999</v>
      </c>
      <c r="G206" s="15" t="s">
        <v>603</v>
      </c>
      <c r="H206" s="2" t="s">
        <v>604</v>
      </c>
      <c r="I206" s="2" t="s">
        <v>130</v>
      </c>
      <c r="J206" s="2" t="s">
        <v>359</v>
      </c>
      <c r="K206" s="2" t="s">
        <v>121</v>
      </c>
      <c r="L206" s="2" t="s">
        <v>1872</v>
      </c>
      <c r="M206" s="2" t="str">
        <f>IF(TRIM(C206)="","Missing",IF(AND(LEN(TRIM(C206))=10,SUMPRODUCT(--(CODE(MID(TRIM(C206),{1,2,3,4,5,10},1))&gt;=65),--(CODE(MID(TRIM(C206),{1,2,3,4,5,10},1))&lt;=90))=6,ISNUMBER(--MID(TRIM(C206),6,4))),"Valid","Invalid"))</f>
        <v>Missing</v>
      </c>
      <c r="N206" s="2" t="str">
        <f t="shared" si="24"/>
        <v>Missing</v>
      </c>
      <c r="O206" s="2" t="str">
        <f t="shared" si="25"/>
        <v>Valid</v>
      </c>
      <c r="P206" s="2" t="str">
        <f t="shared" si="26"/>
        <v>Valid</v>
      </c>
      <c r="Q206" s="2" t="str">
        <f t="shared" si="27"/>
        <v>Valid</v>
      </c>
      <c r="R206" s="2" t="str">
        <f>IF(TRIM(H206)="","Missing",IF(AND(LEN(TRIM(H206))=11,SUMPRODUCT(--(CODE(MID(TRIM(H206),{1,2,3,4},1))&gt;=65),--(CODE(MID(TRIM(H206),{1,2,3,4},1))&lt;=90))=4,MID(TRIM(H206),5,1)="0"),"Valid","Invalid"))</f>
        <v>Valid</v>
      </c>
      <c r="S206" s="2" t="str">
        <f t="shared" si="28"/>
        <v>Valid</v>
      </c>
      <c r="T206" s="2" t="str">
        <f t="shared" si="29"/>
        <v>Valid</v>
      </c>
      <c r="U206" s="2">
        <f t="shared" si="30"/>
        <v>2</v>
      </c>
      <c r="V206" s="2" t="str">
        <f t="shared" si="31"/>
        <v>917787429671</v>
      </c>
    </row>
    <row r="207" spans="1:22" x14ac:dyDescent="0.35">
      <c r="A207" s="2" t="s">
        <v>651</v>
      </c>
      <c r="B207" s="2" t="s">
        <v>652</v>
      </c>
      <c r="C207" s="2"/>
      <c r="D207" s="2"/>
      <c r="E207" s="2" t="s">
        <v>374</v>
      </c>
      <c r="F207" s="2" t="s">
        <v>2016</v>
      </c>
      <c r="G207" s="15" t="s">
        <v>376</v>
      </c>
      <c r="H207" s="2" t="s">
        <v>377</v>
      </c>
      <c r="I207" s="2" t="s">
        <v>130</v>
      </c>
      <c r="J207" s="2" t="s">
        <v>164</v>
      </c>
      <c r="K207" s="2" t="s">
        <v>121</v>
      </c>
      <c r="L207" s="2" t="s">
        <v>654</v>
      </c>
      <c r="M207" s="2" t="str">
        <f>IF(TRIM(C207)="","Missing",IF(AND(LEN(TRIM(C207))=10,SUMPRODUCT(--(CODE(MID(TRIM(C207),{1,2,3,4,5,10},1))&gt;=65),--(CODE(MID(TRIM(C207),{1,2,3,4,5,10},1))&lt;=90))=6,ISNUMBER(--MID(TRIM(C207),6,4))),"Valid","Invalid"))</f>
        <v>Missing</v>
      </c>
      <c r="N207" s="2" t="str">
        <f t="shared" si="24"/>
        <v>Missing</v>
      </c>
      <c r="O207" s="2" t="str">
        <f t="shared" si="25"/>
        <v>Valid</v>
      </c>
      <c r="P207" s="2" t="str">
        <f t="shared" si="26"/>
        <v>Valid</v>
      </c>
      <c r="Q207" s="2" t="str">
        <f t="shared" si="27"/>
        <v>Valid</v>
      </c>
      <c r="R207" s="2" t="str">
        <f>IF(TRIM(H207)="","Missing",IF(AND(LEN(TRIM(H207))=11,SUMPRODUCT(--(CODE(MID(TRIM(H207),{1,2,3,4},1))&gt;=65),--(CODE(MID(TRIM(H207),{1,2,3,4},1))&lt;=90))=4,MID(TRIM(H207),5,1)="0"),"Valid","Invalid"))</f>
        <v>Invalid</v>
      </c>
      <c r="S207" s="2" t="str">
        <f t="shared" si="28"/>
        <v>Valid</v>
      </c>
      <c r="T207" s="2" t="str">
        <f t="shared" si="29"/>
        <v>Valid</v>
      </c>
      <c r="U207" s="2">
        <f t="shared" si="30"/>
        <v>3</v>
      </c>
      <c r="V207" s="2" t="str">
        <f t="shared" si="31"/>
        <v>918770054119</v>
      </c>
    </row>
    <row r="208" spans="1:22" x14ac:dyDescent="0.35">
      <c r="A208" s="2" t="s">
        <v>1612</v>
      </c>
      <c r="B208" s="2" t="s">
        <v>1613</v>
      </c>
      <c r="C208" s="2"/>
      <c r="D208" s="2"/>
      <c r="E208" s="2" t="s">
        <v>1483</v>
      </c>
      <c r="F208" s="2" t="s">
        <v>2024</v>
      </c>
      <c r="G208" s="15" t="s">
        <v>1485</v>
      </c>
      <c r="H208" s="2" t="s">
        <v>1486</v>
      </c>
      <c r="I208" s="2" t="s">
        <v>130</v>
      </c>
      <c r="J208" s="2" t="s">
        <v>164</v>
      </c>
      <c r="K208" s="2" t="s">
        <v>142</v>
      </c>
      <c r="L208" s="2" t="s">
        <v>1615</v>
      </c>
      <c r="M208" s="2" t="str">
        <f>IF(TRIM(C208)="","Missing",IF(AND(LEN(TRIM(C208))=10,SUMPRODUCT(--(CODE(MID(TRIM(C208),{1,2,3,4,5,10},1))&gt;=65),--(CODE(MID(TRIM(C208),{1,2,3,4,5,10},1))&lt;=90))=6,ISNUMBER(--MID(TRIM(C208),6,4))),"Valid","Invalid"))</f>
        <v>Missing</v>
      </c>
      <c r="N208" s="2" t="str">
        <f t="shared" si="24"/>
        <v>Missing</v>
      </c>
      <c r="O208" s="2" t="str">
        <f t="shared" si="25"/>
        <v>Valid</v>
      </c>
      <c r="P208" s="2" t="str">
        <f t="shared" si="26"/>
        <v>Valid</v>
      </c>
      <c r="Q208" s="2" t="str">
        <f t="shared" si="27"/>
        <v>Valid</v>
      </c>
      <c r="R208" s="2" t="str">
        <f>IF(TRIM(H208)="","Missing",IF(AND(LEN(TRIM(H208))=11,SUMPRODUCT(--(CODE(MID(TRIM(H208),{1,2,3,4},1))&gt;=65),--(CODE(MID(TRIM(H208),{1,2,3,4},1))&lt;=90))=4,MID(TRIM(H208),5,1)="0"),"Valid","Invalid"))</f>
        <v>Valid</v>
      </c>
      <c r="S208" s="2" t="str">
        <f t="shared" si="28"/>
        <v>Valid</v>
      </c>
      <c r="T208" s="2" t="str">
        <f t="shared" si="29"/>
        <v>Valid</v>
      </c>
      <c r="U208" s="2">
        <f t="shared" si="30"/>
        <v>2</v>
      </c>
      <c r="V208" s="2" t="str">
        <f t="shared" si="31"/>
        <v>918667652775</v>
      </c>
    </row>
  </sheetData>
  <autoFilter ref="A1:V208" xr:uid="{00000000-0009-0000-0000-000005000000}"/>
  <conditionalFormatting sqref="M2:T208">
    <cfRule type="cellIs" dxfId="5" priority="2" operator="equal">
      <formula>"Valid"</formula>
    </cfRule>
    <cfRule type="cellIs" dxfId="4" priority="3" operator="notEqual">
      <formula>"Valid"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E22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24" customWidth="1"/>
    <col min="4" max="5" width="42" customWidth="1"/>
  </cols>
  <sheetData>
    <row r="1" spans="1:5" ht="26" x14ac:dyDescent="0.35">
      <c r="A1" s="1" t="s">
        <v>2231</v>
      </c>
      <c r="B1" s="1" t="s">
        <v>2232</v>
      </c>
      <c r="C1" s="1" t="s">
        <v>2233</v>
      </c>
      <c r="D1" s="1" t="s">
        <v>2234</v>
      </c>
      <c r="E1" s="1" t="s">
        <v>2235</v>
      </c>
    </row>
    <row r="2" spans="1:5" x14ac:dyDescent="0.35">
      <c r="A2" s="2" t="s">
        <v>1853</v>
      </c>
      <c r="B2" s="2" t="s">
        <v>1853</v>
      </c>
      <c r="C2" s="2" t="s">
        <v>2236</v>
      </c>
      <c r="D2" s="2" t="s">
        <v>1854</v>
      </c>
      <c r="E2" s="2" t="s">
        <v>1854</v>
      </c>
    </row>
    <row r="3" spans="1:5" x14ac:dyDescent="0.35">
      <c r="A3" s="2" t="s">
        <v>1036</v>
      </c>
      <c r="B3" s="2" t="s">
        <v>1036</v>
      </c>
      <c r="C3" s="2" t="s">
        <v>2236</v>
      </c>
      <c r="D3" s="2" t="s">
        <v>1037</v>
      </c>
      <c r="E3" s="2" t="s">
        <v>1037</v>
      </c>
    </row>
    <row r="4" spans="1:5" x14ac:dyDescent="0.35">
      <c r="A4" s="2" t="s">
        <v>1891</v>
      </c>
      <c r="B4" s="2" t="s">
        <v>1891</v>
      </c>
      <c r="C4" s="2" t="s">
        <v>2236</v>
      </c>
      <c r="D4" s="2" t="s">
        <v>1892</v>
      </c>
      <c r="E4" s="2" t="s">
        <v>1892</v>
      </c>
    </row>
    <row r="5" spans="1:5" x14ac:dyDescent="0.35">
      <c r="A5" s="2" t="s">
        <v>1974</v>
      </c>
      <c r="B5" s="2" t="s">
        <v>1974</v>
      </c>
      <c r="C5" s="2" t="s">
        <v>2236</v>
      </c>
      <c r="D5" s="2" t="s">
        <v>1975</v>
      </c>
      <c r="E5" s="2" t="s">
        <v>1975</v>
      </c>
    </row>
    <row r="6" spans="1:5" x14ac:dyDescent="0.35">
      <c r="A6" s="2" t="s">
        <v>1806</v>
      </c>
      <c r="B6" s="2" t="s">
        <v>1806</v>
      </c>
      <c r="C6" s="2" t="s">
        <v>2236</v>
      </c>
      <c r="D6" s="2" t="s">
        <v>1807</v>
      </c>
      <c r="E6" s="2" t="s">
        <v>1807</v>
      </c>
    </row>
    <row r="7" spans="1:5" x14ac:dyDescent="0.35">
      <c r="A7" s="2" t="s">
        <v>440</v>
      </c>
      <c r="B7" s="2" t="s">
        <v>448</v>
      </c>
      <c r="C7" s="2" t="s">
        <v>2237</v>
      </c>
      <c r="D7" s="2" t="s">
        <v>441</v>
      </c>
      <c r="E7" s="2" t="s">
        <v>1936</v>
      </c>
    </row>
    <row r="8" spans="1:5" x14ac:dyDescent="0.35">
      <c r="A8" s="2" t="s">
        <v>448</v>
      </c>
      <c r="B8" s="2" t="s">
        <v>448</v>
      </c>
      <c r="C8" s="2" t="s">
        <v>2236</v>
      </c>
      <c r="D8" s="2" t="s">
        <v>1936</v>
      </c>
      <c r="E8" s="2" t="s">
        <v>1936</v>
      </c>
    </row>
    <row r="9" spans="1:5" x14ac:dyDescent="0.35">
      <c r="A9" s="2" t="s">
        <v>978</v>
      </c>
      <c r="B9" s="2" t="s">
        <v>978</v>
      </c>
      <c r="C9" s="2" t="s">
        <v>2236</v>
      </c>
      <c r="D9" s="2" t="s">
        <v>979</v>
      </c>
      <c r="E9" s="2" t="s">
        <v>979</v>
      </c>
    </row>
    <row r="10" spans="1:5" x14ac:dyDescent="0.35">
      <c r="A10" s="2" t="s">
        <v>1453</v>
      </c>
      <c r="B10" s="2" t="s">
        <v>1453</v>
      </c>
      <c r="C10" s="2" t="s">
        <v>2236</v>
      </c>
      <c r="D10" s="2" t="s">
        <v>1454</v>
      </c>
      <c r="E10" s="2" t="s">
        <v>1454</v>
      </c>
    </row>
    <row r="11" spans="1:5" x14ac:dyDescent="0.35">
      <c r="A11" s="2" t="s">
        <v>1061</v>
      </c>
      <c r="B11" s="2" t="s">
        <v>1061</v>
      </c>
      <c r="C11" s="2" t="s">
        <v>2236</v>
      </c>
      <c r="D11" s="2" t="s">
        <v>1062</v>
      </c>
      <c r="E11" s="2" t="s">
        <v>1062</v>
      </c>
    </row>
    <row r="12" spans="1:5" x14ac:dyDescent="0.35">
      <c r="A12" s="2" t="s">
        <v>281</v>
      </c>
      <c r="B12" s="2" t="s">
        <v>281</v>
      </c>
      <c r="C12" s="2" t="s">
        <v>2236</v>
      </c>
      <c r="D12" s="2" t="s">
        <v>282</v>
      </c>
      <c r="E12" s="2" t="s">
        <v>282</v>
      </c>
    </row>
    <row r="13" spans="1:5" x14ac:dyDescent="0.35">
      <c r="A13" s="2" t="s">
        <v>1264</v>
      </c>
      <c r="B13" s="2" t="s">
        <v>1264</v>
      </c>
      <c r="C13" s="2" t="s">
        <v>2236</v>
      </c>
      <c r="D13" s="2" t="s">
        <v>1265</v>
      </c>
      <c r="E13" s="2" t="s">
        <v>1265</v>
      </c>
    </row>
    <row r="14" spans="1:5" x14ac:dyDescent="0.35">
      <c r="A14" s="2" t="s">
        <v>1815</v>
      </c>
      <c r="B14" s="2" t="s">
        <v>1815</v>
      </c>
      <c r="C14" s="2" t="s">
        <v>2236</v>
      </c>
      <c r="D14" s="2" t="s">
        <v>1816</v>
      </c>
      <c r="E14" s="2" t="s">
        <v>1816</v>
      </c>
    </row>
    <row r="15" spans="1:5" x14ac:dyDescent="0.35">
      <c r="A15" s="2" t="s">
        <v>715</v>
      </c>
      <c r="B15" s="2" t="s">
        <v>715</v>
      </c>
      <c r="C15" s="2" t="s">
        <v>2236</v>
      </c>
      <c r="D15" s="2" t="s">
        <v>716</v>
      </c>
      <c r="E15" s="2" t="s">
        <v>716</v>
      </c>
    </row>
    <row r="16" spans="1:5" x14ac:dyDescent="0.35">
      <c r="A16" s="2" t="s">
        <v>379</v>
      </c>
      <c r="B16" s="2" t="s">
        <v>379</v>
      </c>
      <c r="C16" s="2" t="s">
        <v>2236</v>
      </c>
      <c r="D16" s="2" t="s">
        <v>380</v>
      </c>
      <c r="E16" s="2" t="s">
        <v>380</v>
      </c>
    </row>
    <row r="17" spans="1:5" x14ac:dyDescent="0.35">
      <c r="A17" s="2" t="s">
        <v>396</v>
      </c>
      <c r="B17" s="2" t="s">
        <v>396</v>
      </c>
      <c r="C17" s="2" t="s">
        <v>2236</v>
      </c>
      <c r="D17" s="2" t="s">
        <v>397</v>
      </c>
      <c r="E17" s="2" t="s">
        <v>397</v>
      </c>
    </row>
    <row r="18" spans="1:5" x14ac:dyDescent="0.35">
      <c r="A18" s="2" t="s">
        <v>986</v>
      </c>
      <c r="B18" s="2" t="s">
        <v>986</v>
      </c>
      <c r="C18" s="2" t="s">
        <v>2236</v>
      </c>
      <c r="D18" s="2" t="s">
        <v>987</v>
      </c>
      <c r="E18" s="2" t="s">
        <v>987</v>
      </c>
    </row>
    <row r="19" spans="1:5" x14ac:dyDescent="0.35">
      <c r="A19" s="2" t="s">
        <v>598</v>
      </c>
      <c r="B19" s="2" t="s">
        <v>598</v>
      </c>
      <c r="C19" s="2" t="s">
        <v>2236</v>
      </c>
      <c r="D19" s="2" t="s">
        <v>599</v>
      </c>
      <c r="E19" s="2" t="s">
        <v>599</v>
      </c>
    </row>
    <row r="20" spans="1:5" x14ac:dyDescent="0.35">
      <c r="A20" s="2" t="s">
        <v>896</v>
      </c>
      <c r="B20" s="2" t="s">
        <v>896</v>
      </c>
      <c r="C20" s="2" t="s">
        <v>2236</v>
      </c>
      <c r="D20" s="2" t="s">
        <v>897</v>
      </c>
      <c r="E20" s="2" t="s">
        <v>897</v>
      </c>
    </row>
    <row r="21" spans="1:5" x14ac:dyDescent="0.35">
      <c r="A21" s="2" t="s">
        <v>1167</v>
      </c>
      <c r="B21" s="2" t="s">
        <v>1167</v>
      </c>
      <c r="C21" s="2" t="s">
        <v>2236</v>
      </c>
      <c r="D21" s="2" t="s">
        <v>1168</v>
      </c>
      <c r="E21" s="2" t="s">
        <v>1168</v>
      </c>
    </row>
    <row r="22" spans="1:5" x14ac:dyDescent="0.35">
      <c r="A22" s="2" t="s">
        <v>1918</v>
      </c>
      <c r="B22" s="2" t="s">
        <v>1918</v>
      </c>
      <c r="C22" s="2" t="s">
        <v>2236</v>
      </c>
      <c r="D22" s="2" t="s">
        <v>1919</v>
      </c>
      <c r="E22" s="2" t="s">
        <v>1919</v>
      </c>
    </row>
    <row r="23" spans="1:5" x14ac:dyDescent="0.35">
      <c r="A23" s="2" t="s">
        <v>1095</v>
      </c>
      <c r="B23" s="2" t="s">
        <v>1095</v>
      </c>
      <c r="C23" s="2" t="s">
        <v>2236</v>
      </c>
      <c r="D23" s="2" t="s">
        <v>1096</v>
      </c>
      <c r="E23" s="2" t="s">
        <v>1096</v>
      </c>
    </row>
    <row r="24" spans="1:5" x14ac:dyDescent="0.35">
      <c r="A24" s="2" t="s">
        <v>206</v>
      </c>
      <c r="B24" s="2" t="s">
        <v>206</v>
      </c>
      <c r="C24" s="2" t="s">
        <v>2236</v>
      </c>
      <c r="D24" s="2" t="s">
        <v>207</v>
      </c>
      <c r="E24" s="2" t="s">
        <v>207</v>
      </c>
    </row>
    <row r="25" spans="1:5" x14ac:dyDescent="0.35">
      <c r="A25" s="2" t="s">
        <v>1404</v>
      </c>
      <c r="B25" s="2" t="s">
        <v>1404</v>
      </c>
      <c r="C25" s="2" t="s">
        <v>2236</v>
      </c>
      <c r="D25" s="2" t="s">
        <v>1405</v>
      </c>
      <c r="E25" s="2" t="s">
        <v>1405</v>
      </c>
    </row>
    <row r="26" spans="1:5" x14ac:dyDescent="0.35">
      <c r="A26" s="2" t="s">
        <v>316</v>
      </c>
      <c r="B26" s="2" t="s">
        <v>316</v>
      </c>
      <c r="C26" s="2" t="s">
        <v>2236</v>
      </c>
      <c r="D26" s="2" t="s">
        <v>317</v>
      </c>
      <c r="E26" s="2" t="s">
        <v>317</v>
      </c>
    </row>
    <row r="27" spans="1:5" x14ac:dyDescent="0.35">
      <c r="A27" s="2" t="s">
        <v>1723</v>
      </c>
      <c r="B27" s="2" t="s">
        <v>1723</v>
      </c>
      <c r="C27" s="2" t="s">
        <v>2236</v>
      </c>
      <c r="D27" s="2" t="s">
        <v>1724</v>
      </c>
      <c r="E27" s="2" t="s">
        <v>1724</v>
      </c>
    </row>
    <row r="28" spans="1:5" x14ac:dyDescent="0.35">
      <c r="A28" s="2" t="s">
        <v>582</v>
      </c>
      <c r="B28" s="2" t="s">
        <v>582</v>
      </c>
      <c r="C28" s="2" t="s">
        <v>2236</v>
      </c>
      <c r="D28" s="2" t="s">
        <v>583</v>
      </c>
      <c r="E28" s="2" t="s">
        <v>583</v>
      </c>
    </row>
    <row r="29" spans="1:5" x14ac:dyDescent="0.35">
      <c r="A29" s="2" t="s">
        <v>1378</v>
      </c>
      <c r="B29" s="2" t="s">
        <v>1378</v>
      </c>
      <c r="C29" s="2" t="s">
        <v>2236</v>
      </c>
      <c r="D29" s="2" t="s">
        <v>1379</v>
      </c>
      <c r="E29" s="2" t="s">
        <v>1379</v>
      </c>
    </row>
    <row r="30" spans="1:5" x14ac:dyDescent="0.35">
      <c r="A30" s="2" t="s">
        <v>500</v>
      </c>
      <c r="B30" s="2" t="s">
        <v>500</v>
      </c>
      <c r="C30" s="2" t="s">
        <v>2236</v>
      </c>
      <c r="D30" s="2" t="s">
        <v>501</v>
      </c>
      <c r="E30" s="2" t="s">
        <v>501</v>
      </c>
    </row>
    <row r="31" spans="1:5" x14ac:dyDescent="0.35">
      <c r="A31" s="2" t="s">
        <v>371</v>
      </c>
      <c r="B31" s="2" t="s">
        <v>371</v>
      </c>
      <c r="C31" s="2" t="s">
        <v>2236</v>
      </c>
      <c r="D31" s="2" t="s">
        <v>372</v>
      </c>
      <c r="E31" s="2" t="s">
        <v>372</v>
      </c>
    </row>
    <row r="32" spans="1:5" x14ac:dyDescent="0.35">
      <c r="A32" s="2" t="s">
        <v>1239</v>
      </c>
      <c r="B32" s="2" t="s">
        <v>1239</v>
      </c>
      <c r="C32" s="2" t="s">
        <v>2236</v>
      </c>
      <c r="D32" s="2" t="s">
        <v>1240</v>
      </c>
      <c r="E32" s="2" t="s">
        <v>1240</v>
      </c>
    </row>
    <row r="33" spans="1:5" x14ac:dyDescent="0.35">
      <c r="A33" s="2" t="s">
        <v>904</v>
      </c>
      <c r="B33" s="2" t="s">
        <v>904</v>
      </c>
      <c r="C33" s="2" t="s">
        <v>2236</v>
      </c>
      <c r="D33" s="2" t="s">
        <v>905</v>
      </c>
      <c r="E33" s="2" t="s">
        <v>905</v>
      </c>
    </row>
    <row r="34" spans="1:5" x14ac:dyDescent="0.35">
      <c r="A34" s="2" t="s">
        <v>708</v>
      </c>
      <c r="B34" s="2" t="s">
        <v>708</v>
      </c>
      <c r="C34" s="2" t="s">
        <v>2236</v>
      </c>
      <c r="D34" s="2" t="s">
        <v>709</v>
      </c>
      <c r="E34" s="2" t="s">
        <v>709</v>
      </c>
    </row>
    <row r="35" spans="1:5" x14ac:dyDescent="0.35">
      <c r="A35" s="2" t="s">
        <v>828</v>
      </c>
      <c r="B35" s="2" t="s">
        <v>828</v>
      </c>
      <c r="C35" s="2" t="s">
        <v>2236</v>
      </c>
      <c r="D35" s="2" t="s">
        <v>829</v>
      </c>
      <c r="E35" s="2" t="s">
        <v>829</v>
      </c>
    </row>
    <row r="36" spans="1:5" x14ac:dyDescent="0.35">
      <c r="A36" s="2" t="s">
        <v>1684</v>
      </c>
      <c r="B36" s="2" t="s">
        <v>574</v>
      </c>
      <c r="C36" s="2" t="s">
        <v>2238</v>
      </c>
      <c r="D36" s="2" t="s">
        <v>1685</v>
      </c>
      <c r="E36" s="2" t="s">
        <v>575</v>
      </c>
    </row>
    <row r="37" spans="1:5" x14ac:dyDescent="0.35">
      <c r="A37" s="2" t="s">
        <v>574</v>
      </c>
      <c r="B37" s="2" t="s">
        <v>574</v>
      </c>
      <c r="C37" s="2" t="s">
        <v>2236</v>
      </c>
      <c r="D37" s="2" t="s">
        <v>575</v>
      </c>
      <c r="E37" s="2" t="s">
        <v>575</v>
      </c>
    </row>
    <row r="38" spans="1:5" x14ac:dyDescent="0.35">
      <c r="A38" s="2" t="s">
        <v>1479</v>
      </c>
      <c r="B38" s="2" t="s">
        <v>1479</v>
      </c>
      <c r="C38" s="2" t="s">
        <v>2236</v>
      </c>
      <c r="D38" s="2" t="s">
        <v>1480</v>
      </c>
      <c r="E38" s="2" t="s">
        <v>1480</v>
      </c>
    </row>
    <row r="39" spans="1:5" x14ac:dyDescent="0.35">
      <c r="A39" s="2" t="s">
        <v>1732</v>
      </c>
      <c r="B39" s="2" t="s">
        <v>1732</v>
      </c>
      <c r="C39" s="2" t="s">
        <v>2236</v>
      </c>
      <c r="D39" s="2" t="s">
        <v>1733</v>
      </c>
      <c r="E39" s="2" t="s">
        <v>1733</v>
      </c>
    </row>
    <row r="40" spans="1:5" x14ac:dyDescent="0.35">
      <c r="A40" s="2" t="s">
        <v>1086</v>
      </c>
      <c r="B40" s="2" t="s">
        <v>1086</v>
      </c>
      <c r="C40" s="2" t="s">
        <v>2236</v>
      </c>
      <c r="D40" s="2" t="s">
        <v>2027</v>
      </c>
      <c r="E40" s="2" t="s">
        <v>2027</v>
      </c>
    </row>
    <row r="41" spans="1:5" x14ac:dyDescent="0.35">
      <c r="A41" s="2" t="s">
        <v>960</v>
      </c>
      <c r="B41" s="2" t="s">
        <v>960</v>
      </c>
      <c r="C41" s="2" t="s">
        <v>2236</v>
      </c>
      <c r="D41" s="2" t="s">
        <v>961</v>
      </c>
      <c r="E41" s="2" t="s">
        <v>961</v>
      </c>
    </row>
    <row r="42" spans="1:5" x14ac:dyDescent="0.35">
      <c r="A42" s="2" t="s">
        <v>509</v>
      </c>
      <c r="B42" s="2" t="s">
        <v>509</v>
      </c>
      <c r="C42" s="2" t="s">
        <v>2236</v>
      </c>
      <c r="D42" s="2" t="s">
        <v>510</v>
      </c>
      <c r="E42" s="2" t="s">
        <v>510</v>
      </c>
    </row>
    <row r="43" spans="1:5" x14ac:dyDescent="0.35">
      <c r="A43" s="2" t="s">
        <v>361</v>
      </c>
      <c r="B43" s="2" t="s">
        <v>361</v>
      </c>
      <c r="C43" s="2" t="s">
        <v>2236</v>
      </c>
      <c r="D43" s="2" t="s">
        <v>362</v>
      </c>
      <c r="E43" s="2" t="s">
        <v>362</v>
      </c>
    </row>
    <row r="44" spans="1:5" x14ac:dyDescent="0.35">
      <c r="A44" s="2" t="s">
        <v>1749</v>
      </c>
      <c r="B44" s="2" t="s">
        <v>1749</v>
      </c>
      <c r="C44" s="2" t="s">
        <v>2236</v>
      </c>
      <c r="D44" s="2" t="s">
        <v>1750</v>
      </c>
      <c r="E44" s="2" t="s">
        <v>1750</v>
      </c>
    </row>
    <row r="45" spans="1:5" x14ac:dyDescent="0.35">
      <c r="A45" s="2" t="s">
        <v>1912</v>
      </c>
      <c r="B45" s="2" t="s">
        <v>1912</v>
      </c>
      <c r="C45" s="2" t="s">
        <v>2236</v>
      </c>
      <c r="D45" s="2" t="s">
        <v>1913</v>
      </c>
      <c r="E45" s="2" t="s">
        <v>1913</v>
      </c>
    </row>
    <row r="46" spans="1:5" x14ac:dyDescent="0.35">
      <c r="A46" s="2" t="s">
        <v>1341</v>
      </c>
      <c r="B46" s="2" t="s">
        <v>1341</v>
      </c>
      <c r="C46" s="2" t="s">
        <v>2236</v>
      </c>
      <c r="D46" s="2" t="s">
        <v>1342</v>
      </c>
      <c r="E46" s="2" t="s">
        <v>1342</v>
      </c>
    </row>
    <row r="47" spans="1:5" x14ac:dyDescent="0.35">
      <c r="A47" s="2" t="s">
        <v>166</v>
      </c>
      <c r="B47" s="2" t="s">
        <v>166</v>
      </c>
      <c r="C47" s="2" t="s">
        <v>2236</v>
      </c>
      <c r="D47" s="2" t="s">
        <v>167</v>
      </c>
      <c r="E47" s="2" t="s">
        <v>167</v>
      </c>
    </row>
    <row r="48" spans="1:5" x14ac:dyDescent="0.35">
      <c r="A48" s="2" t="s">
        <v>528</v>
      </c>
      <c r="B48" s="2" t="s">
        <v>528</v>
      </c>
      <c r="C48" s="2" t="s">
        <v>2236</v>
      </c>
      <c r="D48" s="2" t="s">
        <v>529</v>
      </c>
      <c r="E48" s="2" t="s">
        <v>529</v>
      </c>
    </row>
    <row r="49" spans="1:5" x14ac:dyDescent="0.35">
      <c r="A49" s="2" t="s">
        <v>1273</v>
      </c>
      <c r="B49" s="2" t="s">
        <v>1273</v>
      </c>
      <c r="C49" s="2" t="s">
        <v>2236</v>
      </c>
      <c r="D49" s="2" t="s">
        <v>1274</v>
      </c>
      <c r="E49" s="2" t="s">
        <v>1274</v>
      </c>
    </row>
    <row r="50" spans="1:5" x14ac:dyDescent="0.35">
      <c r="A50" s="2" t="s">
        <v>1395</v>
      </c>
      <c r="B50" s="2" t="s">
        <v>1395</v>
      </c>
      <c r="C50" s="2" t="s">
        <v>2236</v>
      </c>
      <c r="D50" s="2" t="s">
        <v>1396</v>
      </c>
      <c r="E50" s="2" t="s">
        <v>1396</v>
      </c>
    </row>
    <row r="51" spans="1:5" x14ac:dyDescent="0.35">
      <c r="A51" s="2" t="s">
        <v>722</v>
      </c>
      <c r="B51" s="2" t="s">
        <v>722</v>
      </c>
      <c r="C51" s="2" t="s">
        <v>2236</v>
      </c>
      <c r="D51" s="2" t="s">
        <v>723</v>
      </c>
      <c r="E51" s="2" t="s">
        <v>723</v>
      </c>
    </row>
    <row r="52" spans="1:5" x14ac:dyDescent="0.35">
      <c r="A52" s="2" t="s">
        <v>1413</v>
      </c>
      <c r="B52" s="2" t="s">
        <v>1413</v>
      </c>
      <c r="C52" s="2" t="s">
        <v>2236</v>
      </c>
      <c r="D52" s="2" t="s">
        <v>1414</v>
      </c>
      <c r="E52" s="2" t="s">
        <v>1414</v>
      </c>
    </row>
    <row r="53" spans="1:5" x14ac:dyDescent="0.35">
      <c r="A53" s="2" t="s">
        <v>1569</v>
      </c>
      <c r="B53" s="2" t="s">
        <v>133</v>
      </c>
      <c r="C53" s="2" t="s">
        <v>2237</v>
      </c>
      <c r="D53" s="2" t="s">
        <v>1570</v>
      </c>
      <c r="E53" s="2" t="s">
        <v>134</v>
      </c>
    </row>
    <row r="54" spans="1:5" x14ac:dyDescent="0.35">
      <c r="A54" s="2" t="s">
        <v>133</v>
      </c>
      <c r="B54" s="2" t="s">
        <v>133</v>
      </c>
      <c r="C54" s="2" t="s">
        <v>2236</v>
      </c>
      <c r="D54" s="2" t="s">
        <v>134</v>
      </c>
      <c r="E54" s="2" t="s">
        <v>134</v>
      </c>
    </row>
    <row r="55" spans="1:5" x14ac:dyDescent="0.35">
      <c r="A55" s="2" t="s">
        <v>730</v>
      </c>
      <c r="B55" s="2" t="s">
        <v>730</v>
      </c>
      <c r="C55" s="2" t="s">
        <v>2236</v>
      </c>
      <c r="D55" s="2" t="s">
        <v>731</v>
      </c>
      <c r="E55" s="2" t="s">
        <v>731</v>
      </c>
    </row>
    <row r="56" spans="1:5" x14ac:dyDescent="0.35">
      <c r="A56" s="2" t="s">
        <v>947</v>
      </c>
      <c r="B56" s="2" t="s">
        <v>947</v>
      </c>
      <c r="C56" s="2" t="s">
        <v>2236</v>
      </c>
      <c r="D56" s="2" t="s">
        <v>948</v>
      </c>
      <c r="E56" s="2" t="s">
        <v>948</v>
      </c>
    </row>
    <row r="57" spans="1:5" x14ac:dyDescent="0.35">
      <c r="A57" s="2" t="s">
        <v>1488</v>
      </c>
      <c r="B57" s="2" t="s">
        <v>1488</v>
      </c>
      <c r="C57" s="2" t="s">
        <v>2236</v>
      </c>
      <c r="D57" s="2" t="s">
        <v>1489</v>
      </c>
      <c r="E57" s="2" t="s">
        <v>1489</v>
      </c>
    </row>
    <row r="58" spans="1:5" x14ac:dyDescent="0.35">
      <c r="A58" s="2" t="s">
        <v>589</v>
      </c>
      <c r="B58" s="2" t="s">
        <v>589</v>
      </c>
      <c r="C58" s="2" t="s">
        <v>2236</v>
      </c>
      <c r="D58" s="2" t="s">
        <v>590</v>
      </c>
      <c r="E58" s="2" t="s">
        <v>590</v>
      </c>
    </row>
    <row r="59" spans="1:5" x14ac:dyDescent="0.35">
      <c r="A59" s="2" t="s">
        <v>1770</v>
      </c>
      <c r="B59" s="2" t="s">
        <v>1770</v>
      </c>
      <c r="C59" s="2" t="s">
        <v>2236</v>
      </c>
      <c r="D59" s="2" t="s">
        <v>1771</v>
      </c>
      <c r="E59" s="2" t="s">
        <v>1771</v>
      </c>
    </row>
    <row r="60" spans="1:5" x14ac:dyDescent="0.35">
      <c r="A60" s="2" t="s">
        <v>1158</v>
      </c>
      <c r="B60" s="2" t="s">
        <v>1158</v>
      </c>
      <c r="C60" s="2" t="s">
        <v>2236</v>
      </c>
      <c r="D60" s="2" t="s">
        <v>1159</v>
      </c>
      <c r="E60" s="2" t="s">
        <v>1159</v>
      </c>
    </row>
    <row r="61" spans="1:5" x14ac:dyDescent="0.35">
      <c r="A61" s="2" t="s">
        <v>760</v>
      </c>
      <c r="B61" s="2" t="s">
        <v>760</v>
      </c>
      <c r="C61" s="2" t="s">
        <v>2236</v>
      </c>
      <c r="D61" s="2" t="s">
        <v>761</v>
      </c>
      <c r="E61" s="2" t="s">
        <v>761</v>
      </c>
    </row>
    <row r="62" spans="1:5" x14ac:dyDescent="0.35">
      <c r="A62" s="2" t="s">
        <v>755</v>
      </c>
      <c r="B62" s="2" t="s">
        <v>387</v>
      </c>
      <c r="C62" s="2" t="s">
        <v>2238</v>
      </c>
      <c r="D62" s="2" t="s">
        <v>756</v>
      </c>
      <c r="E62" s="2" t="s">
        <v>388</v>
      </c>
    </row>
    <row r="63" spans="1:5" x14ac:dyDescent="0.35">
      <c r="A63" s="2" t="s">
        <v>387</v>
      </c>
      <c r="B63" s="2" t="s">
        <v>387</v>
      </c>
      <c r="C63" s="2" t="s">
        <v>2236</v>
      </c>
      <c r="D63" s="2" t="s">
        <v>388</v>
      </c>
      <c r="E63" s="2" t="s">
        <v>388</v>
      </c>
    </row>
    <row r="64" spans="1:5" x14ac:dyDescent="0.35">
      <c r="A64" s="2" t="s">
        <v>1837</v>
      </c>
      <c r="B64" s="2" t="s">
        <v>1837</v>
      </c>
      <c r="C64" s="2" t="s">
        <v>2236</v>
      </c>
      <c r="D64" s="2" t="s">
        <v>1838</v>
      </c>
      <c r="E64" s="2" t="s">
        <v>1838</v>
      </c>
    </row>
    <row r="65" spans="1:5" x14ac:dyDescent="0.35">
      <c r="A65" s="2" t="s">
        <v>1634</v>
      </c>
      <c r="B65" s="2" t="s">
        <v>1634</v>
      </c>
      <c r="C65" s="2" t="s">
        <v>2236</v>
      </c>
      <c r="D65" s="2" t="s">
        <v>1635</v>
      </c>
      <c r="E65" s="2" t="s">
        <v>1635</v>
      </c>
    </row>
    <row r="66" spans="1:5" x14ac:dyDescent="0.35">
      <c r="A66" s="2" t="s">
        <v>1657</v>
      </c>
      <c r="B66" s="2" t="s">
        <v>1657</v>
      </c>
      <c r="C66" s="2" t="s">
        <v>2236</v>
      </c>
      <c r="D66" s="2" t="s">
        <v>1658</v>
      </c>
      <c r="E66" s="2" t="s">
        <v>1658</v>
      </c>
    </row>
    <row r="67" spans="1:5" x14ac:dyDescent="0.35">
      <c r="A67" s="2" t="s">
        <v>1136</v>
      </c>
      <c r="B67" s="2" t="s">
        <v>1136</v>
      </c>
      <c r="C67" s="2" t="s">
        <v>2236</v>
      </c>
      <c r="D67" s="2" t="s">
        <v>1137</v>
      </c>
      <c r="E67" s="2" t="s">
        <v>1137</v>
      </c>
    </row>
    <row r="68" spans="1:5" x14ac:dyDescent="0.35">
      <c r="A68" s="2" t="s">
        <v>837</v>
      </c>
      <c r="B68" s="2" t="s">
        <v>847</v>
      </c>
      <c r="C68" s="2" t="s">
        <v>2237</v>
      </c>
      <c r="D68" s="2" t="s">
        <v>838</v>
      </c>
      <c r="E68" s="2" t="s">
        <v>1927</v>
      </c>
    </row>
    <row r="69" spans="1:5" x14ac:dyDescent="0.35">
      <c r="A69" s="2" t="s">
        <v>847</v>
      </c>
      <c r="B69" s="2" t="s">
        <v>847</v>
      </c>
      <c r="C69" s="2" t="s">
        <v>2236</v>
      </c>
      <c r="D69" s="2" t="s">
        <v>1927</v>
      </c>
      <c r="E69" s="2" t="s">
        <v>1927</v>
      </c>
    </row>
    <row r="70" spans="1:5" x14ac:dyDescent="0.35">
      <c r="A70" s="2" t="s">
        <v>606</v>
      </c>
      <c r="B70" s="2" t="s">
        <v>606</v>
      </c>
      <c r="C70" s="2" t="s">
        <v>2236</v>
      </c>
      <c r="D70" s="2" t="s">
        <v>607</v>
      </c>
      <c r="E70" s="2" t="s">
        <v>607</v>
      </c>
    </row>
    <row r="71" spans="1:5" x14ac:dyDescent="0.35">
      <c r="A71" s="2" t="s">
        <v>1542</v>
      </c>
      <c r="B71" s="2" t="s">
        <v>1542</v>
      </c>
      <c r="C71" s="2" t="s">
        <v>2236</v>
      </c>
      <c r="D71" s="2" t="s">
        <v>1543</v>
      </c>
      <c r="E71" s="2" t="s">
        <v>1543</v>
      </c>
    </row>
    <row r="72" spans="1:5" x14ac:dyDescent="0.35">
      <c r="A72" s="2" t="s">
        <v>1369</v>
      </c>
      <c r="B72" s="2" t="s">
        <v>1369</v>
      </c>
      <c r="C72" s="2" t="s">
        <v>2236</v>
      </c>
      <c r="D72" s="2" t="s">
        <v>1370</v>
      </c>
      <c r="E72" s="2" t="s">
        <v>1370</v>
      </c>
    </row>
    <row r="73" spans="1:5" x14ac:dyDescent="0.35">
      <c r="A73" s="2" t="s">
        <v>1112</v>
      </c>
      <c r="B73" s="2" t="s">
        <v>1112</v>
      </c>
      <c r="C73" s="2" t="s">
        <v>2236</v>
      </c>
      <c r="D73" s="2" t="s">
        <v>1113</v>
      </c>
      <c r="E73" s="2" t="s">
        <v>1113</v>
      </c>
    </row>
    <row r="74" spans="1:5" x14ac:dyDescent="0.35">
      <c r="A74" s="2" t="s">
        <v>245</v>
      </c>
      <c r="B74" s="2" t="s">
        <v>245</v>
      </c>
      <c r="C74" s="2" t="s">
        <v>2236</v>
      </c>
      <c r="D74" s="2" t="s">
        <v>246</v>
      </c>
      <c r="E74" s="2" t="s">
        <v>246</v>
      </c>
    </row>
    <row r="75" spans="1:5" x14ac:dyDescent="0.35">
      <c r="A75" s="2" t="s">
        <v>1211</v>
      </c>
      <c r="B75" s="2" t="s">
        <v>1211</v>
      </c>
      <c r="C75" s="2" t="s">
        <v>2236</v>
      </c>
      <c r="D75" s="2" t="s">
        <v>1212</v>
      </c>
      <c r="E75" s="2" t="s">
        <v>1212</v>
      </c>
    </row>
    <row r="76" spans="1:5" x14ac:dyDescent="0.35">
      <c r="A76" s="2" t="s">
        <v>1779</v>
      </c>
      <c r="B76" s="2" t="s">
        <v>1779</v>
      </c>
      <c r="C76" s="2" t="s">
        <v>2236</v>
      </c>
      <c r="D76" s="2" t="s">
        <v>1780</v>
      </c>
      <c r="E76" s="2" t="s">
        <v>1780</v>
      </c>
    </row>
    <row r="77" spans="1:5" x14ac:dyDescent="0.35">
      <c r="A77" s="2" t="s">
        <v>994</v>
      </c>
      <c r="B77" s="2" t="s">
        <v>994</v>
      </c>
      <c r="C77" s="2" t="s">
        <v>2236</v>
      </c>
      <c r="D77" s="2" t="s">
        <v>2066</v>
      </c>
      <c r="E77" s="2" t="s">
        <v>2066</v>
      </c>
    </row>
    <row r="78" spans="1:5" x14ac:dyDescent="0.35">
      <c r="A78" s="2" t="s">
        <v>431</v>
      </c>
      <c r="B78" s="2" t="s">
        <v>431</v>
      </c>
      <c r="C78" s="2" t="s">
        <v>2236</v>
      </c>
      <c r="D78" s="2" t="s">
        <v>432</v>
      </c>
      <c r="E78" s="2" t="s">
        <v>432</v>
      </c>
    </row>
    <row r="79" spans="1:5" x14ac:dyDescent="0.35">
      <c r="A79" s="2" t="s">
        <v>1710</v>
      </c>
      <c r="B79" s="2" t="s">
        <v>1710</v>
      </c>
      <c r="C79" s="2" t="s">
        <v>2236</v>
      </c>
      <c r="D79" s="2" t="s">
        <v>2069</v>
      </c>
      <c r="E79" s="2" t="s">
        <v>2069</v>
      </c>
    </row>
    <row r="80" spans="1:5" x14ac:dyDescent="0.35">
      <c r="A80" s="2" t="s">
        <v>1199</v>
      </c>
      <c r="B80" s="2" t="s">
        <v>111</v>
      </c>
      <c r="C80" s="2" t="s">
        <v>2238</v>
      </c>
      <c r="D80" s="2" t="s">
        <v>1200</v>
      </c>
      <c r="E80" s="2" t="s">
        <v>112</v>
      </c>
    </row>
    <row r="81" spans="1:5" x14ac:dyDescent="0.35">
      <c r="A81" s="2" t="s">
        <v>111</v>
      </c>
      <c r="B81" s="2" t="s">
        <v>111</v>
      </c>
      <c r="C81" s="2" t="s">
        <v>2236</v>
      </c>
      <c r="D81" s="2" t="s">
        <v>112</v>
      </c>
      <c r="E81" s="2" t="s">
        <v>112</v>
      </c>
    </row>
    <row r="82" spans="1:5" x14ac:dyDescent="0.35">
      <c r="A82" s="2" t="s">
        <v>1280</v>
      </c>
      <c r="B82" s="2" t="s">
        <v>1280</v>
      </c>
      <c r="C82" s="2" t="s">
        <v>2236</v>
      </c>
      <c r="D82" s="2" t="s">
        <v>1281</v>
      </c>
      <c r="E82" s="2" t="s">
        <v>1281</v>
      </c>
    </row>
    <row r="83" spans="1:5" x14ac:dyDescent="0.35">
      <c r="A83" s="2" t="s">
        <v>676</v>
      </c>
      <c r="B83" s="2" t="s">
        <v>676</v>
      </c>
      <c r="C83" s="2" t="s">
        <v>2236</v>
      </c>
      <c r="D83" s="2" t="s">
        <v>677</v>
      </c>
      <c r="E83" s="2" t="s">
        <v>677</v>
      </c>
    </row>
    <row r="84" spans="1:5" x14ac:dyDescent="0.35">
      <c r="A84" s="2" t="s">
        <v>308</v>
      </c>
      <c r="B84" s="2" t="s">
        <v>308</v>
      </c>
      <c r="C84" s="2" t="s">
        <v>2236</v>
      </c>
      <c r="D84" s="2" t="s">
        <v>309</v>
      </c>
      <c r="E84" s="2" t="s">
        <v>309</v>
      </c>
    </row>
    <row r="85" spans="1:5" x14ac:dyDescent="0.35">
      <c r="A85" s="2" t="s">
        <v>215</v>
      </c>
      <c r="B85" s="2" t="s">
        <v>215</v>
      </c>
      <c r="C85" s="2" t="s">
        <v>2236</v>
      </c>
      <c r="D85" s="2" t="s">
        <v>216</v>
      </c>
      <c r="E85" s="2" t="s">
        <v>216</v>
      </c>
    </row>
    <row r="86" spans="1:5" x14ac:dyDescent="0.35">
      <c r="A86" s="2" t="s">
        <v>493</v>
      </c>
      <c r="B86" s="2" t="s">
        <v>493</v>
      </c>
      <c r="C86" s="2" t="s">
        <v>2236</v>
      </c>
      <c r="D86" s="2" t="s">
        <v>494</v>
      </c>
      <c r="E86" s="2" t="s">
        <v>494</v>
      </c>
    </row>
    <row r="87" spans="1:5" x14ac:dyDescent="0.35">
      <c r="A87" s="2" t="s">
        <v>1314</v>
      </c>
      <c r="B87" s="2" t="s">
        <v>1314</v>
      </c>
      <c r="C87" s="2" t="s">
        <v>2236</v>
      </c>
      <c r="D87" s="2" t="s">
        <v>1315</v>
      </c>
      <c r="E87" s="2" t="s">
        <v>1315</v>
      </c>
    </row>
    <row r="88" spans="1:5" x14ac:dyDescent="0.35">
      <c r="A88" s="2" t="s">
        <v>1940</v>
      </c>
      <c r="B88" s="2" t="s">
        <v>1940</v>
      </c>
      <c r="C88" s="2" t="s">
        <v>2236</v>
      </c>
      <c r="D88" s="2" t="s">
        <v>1941</v>
      </c>
      <c r="E88" s="2" t="s">
        <v>1941</v>
      </c>
    </row>
    <row r="89" spans="1:5" x14ac:dyDescent="0.35">
      <c r="A89" s="2" t="s">
        <v>1608</v>
      </c>
      <c r="B89" s="2" t="s">
        <v>615</v>
      </c>
      <c r="C89" s="2" t="s">
        <v>2238</v>
      </c>
      <c r="D89" s="2" t="s">
        <v>1609</v>
      </c>
      <c r="E89" s="2" t="s">
        <v>616</v>
      </c>
    </row>
    <row r="90" spans="1:5" x14ac:dyDescent="0.35">
      <c r="A90" s="2" t="s">
        <v>615</v>
      </c>
      <c r="B90" s="2" t="s">
        <v>615</v>
      </c>
      <c r="C90" s="2" t="s">
        <v>2236</v>
      </c>
      <c r="D90" s="2" t="s">
        <v>616</v>
      </c>
      <c r="E90" s="2" t="s">
        <v>616</v>
      </c>
    </row>
    <row r="91" spans="1:5" x14ac:dyDescent="0.35">
      <c r="A91" s="2" t="s">
        <v>1248</v>
      </c>
      <c r="B91" s="2" t="s">
        <v>1248</v>
      </c>
      <c r="C91" s="2" t="s">
        <v>2236</v>
      </c>
      <c r="D91" s="2" t="s">
        <v>1249</v>
      </c>
      <c r="E91" s="2" t="s">
        <v>1249</v>
      </c>
    </row>
    <row r="92" spans="1:5" x14ac:dyDescent="0.35">
      <c r="A92" s="2" t="s">
        <v>1219</v>
      </c>
      <c r="B92" s="2" t="s">
        <v>1219</v>
      </c>
      <c r="C92" s="2" t="s">
        <v>2236</v>
      </c>
      <c r="D92" s="2" t="s">
        <v>1220</v>
      </c>
      <c r="E92" s="2" t="s">
        <v>1220</v>
      </c>
    </row>
    <row r="93" spans="1:5" x14ac:dyDescent="0.35">
      <c r="A93" s="2" t="s">
        <v>1675</v>
      </c>
      <c r="B93" s="2" t="s">
        <v>1675</v>
      </c>
      <c r="C93" s="2" t="s">
        <v>2236</v>
      </c>
      <c r="D93" s="2" t="s">
        <v>1676</v>
      </c>
      <c r="E93" s="2" t="s">
        <v>1676</v>
      </c>
    </row>
    <row r="94" spans="1:5" x14ac:dyDescent="0.35">
      <c r="A94" s="2" t="s">
        <v>1873</v>
      </c>
      <c r="B94" s="2" t="s">
        <v>1873</v>
      </c>
      <c r="C94" s="2" t="s">
        <v>2236</v>
      </c>
      <c r="D94" s="2" t="s">
        <v>1874</v>
      </c>
      <c r="E94" s="2" t="s">
        <v>1874</v>
      </c>
    </row>
    <row r="95" spans="1:5" x14ac:dyDescent="0.35">
      <c r="A95" s="2" t="s">
        <v>1470</v>
      </c>
      <c r="B95" s="2" t="s">
        <v>1470</v>
      </c>
      <c r="C95" s="2" t="s">
        <v>2236</v>
      </c>
      <c r="D95" s="2" t="s">
        <v>1471</v>
      </c>
      <c r="E95" s="2" t="s">
        <v>1471</v>
      </c>
    </row>
    <row r="96" spans="1:5" x14ac:dyDescent="0.35">
      <c r="A96" s="2" t="s">
        <v>1422</v>
      </c>
      <c r="B96" s="2" t="s">
        <v>1422</v>
      </c>
      <c r="C96" s="2" t="s">
        <v>2236</v>
      </c>
      <c r="D96" s="2" t="s">
        <v>1423</v>
      </c>
      <c r="E96" s="2" t="s">
        <v>1423</v>
      </c>
    </row>
    <row r="97" spans="1:5" x14ac:dyDescent="0.35">
      <c r="A97" s="2" t="s">
        <v>1625</v>
      </c>
      <c r="B97" s="2" t="s">
        <v>1625</v>
      </c>
      <c r="C97" s="2" t="s">
        <v>2236</v>
      </c>
      <c r="D97" s="2" t="s">
        <v>1626</v>
      </c>
      <c r="E97" s="2" t="s">
        <v>1626</v>
      </c>
    </row>
    <row r="98" spans="1:5" x14ac:dyDescent="0.35">
      <c r="A98" s="2" t="s">
        <v>672</v>
      </c>
      <c r="B98" s="2" t="s">
        <v>333</v>
      </c>
      <c r="C98" s="2" t="s">
        <v>2238</v>
      </c>
      <c r="D98" s="2" t="s">
        <v>673</v>
      </c>
      <c r="E98" s="2" t="s">
        <v>334</v>
      </c>
    </row>
    <row r="99" spans="1:5" x14ac:dyDescent="0.35">
      <c r="A99" s="2" t="s">
        <v>333</v>
      </c>
      <c r="B99" s="2" t="s">
        <v>333</v>
      </c>
      <c r="C99" s="2" t="s">
        <v>2236</v>
      </c>
      <c r="D99" s="2" t="s">
        <v>334</v>
      </c>
      <c r="E99" s="2" t="s">
        <v>334</v>
      </c>
    </row>
    <row r="100" spans="1:5" x14ac:dyDescent="0.35">
      <c r="A100" s="2" t="s">
        <v>1145</v>
      </c>
      <c r="B100" s="2" t="s">
        <v>484</v>
      </c>
      <c r="C100" s="2" t="s">
        <v>2238</v>
      </c>
      <c r="D100" s="2" t="s">
        <v>1146</v>
      </c>
      <c r="E100" s="2" t="s">
        <v>485</v>
      </c>
    </row>
    <row r="101" spans="1:5" x14ac:dyDescent="0.35">
      <c r="A101" s="2" t="s">
        <v>484</v>
      </c>
      <c r="B101" s="2" t="s">
        <v>484</v>
      </c>
      <c r="C101" s="2" t="s">
        <v>2236</v>
      </c>
      <c r="D101" s="2" t="s">
        <v>485</v>
      </c>
      <c r="E101" s="2" t="s">
        <v>485</v>
      </c>
    </row>
    <row r="102" spans="1:5" x14ac:dyDescent="0.35">
      <c r="A102" s="2" t="s">
        <v>1386</v>
      </c>
      <c r="B102" s="2" t="s">
        <v>1386</v>
      </c>
      <c r="C102" s="2" t="s">
        <v>2236</v>
      </c>
      <c r="D102" s="2" t="s">
        <v>1387</v>
      </c>
      <c r="E102" s="2" t="s">
        <v>1387</v>
      </c>
    </row>
    <row r="103" spans="1:5" x14ac:dyDescent="0.35">
      <c r="A103" s="2" t="s">
        <v>922</v>
      </c>
      <c r="B103" s="2" t="s">
        <v>922</v>
      </c>
      <c r="C103" s="2" t="s">
        <v>2236</v>
      </c>
      <c r="D103" s="2" t="s">
        <v>923</v>
      </c>
      <c r="E103" s="2" t="s">
        <v>923</v>
      </c>
    </row>
    <row r="104" spans="1:5" x14ac:dyDescent="0.35">
      <c r="A104" s="2" t="s">
        <v>693</v>
      </c>
      <c r="B104" s="2" t="s">
        <v>693</v>
      </c>
      <c r="C104" s="2" t="s">
        <v>2236</v>
      </c>
      <c r="D104" s="2" t="s">
        <v>694</v>
      </c>
      <c r="E104" s="2" t="s">
        <v>694</v>
      </c>
    </row>
    <row r="105" spans="1:5" x14ac:dyDescent="0.35">
      <c r="A105" s="2" t="s">
        <v>1305</v>
      </c>
      <c r="B105" s="2" t="s">
        <v>1305</v>
      </c>
      <c r="C105" s="2" t="s">
        <v>2236</v>
      </c>
      <c r="D105" s="2" t="s">
        <v>1306</v>
      </c>
      <c r="E105" s="2" t="s">
        <v>1306</v>
      </c>
    </row>
    <row r="106" spans="1:5" x14ac:dyDescent="0.35">
      <c r="A106" s="2" t="s">
        <v>913</v>
      </c>
      <c r="B106" s="2" t="s">
        <v>913</v>
      </c>
      <c r="C106" s="2" t="s">
        <v>2236</v>
      </c>
      <c r="D106" s="2" t="s">
        <v>914</v>
      </c>
      <c r="E106" s="2" t="s">
        <v>914</v>
      </c>
    </row>
    <row r="107" spans="1:5" x14ac:dyDescent="0.35">
      <c r="A107" s="2" t="s">
        <v>1054</v>
      </c>
      <c r="B107" s="2" t="s">
        <v>1054</v>
      </c>
      <c r="C107" s="2" t="s">
        <v>2236</v>
      </c>
      <c r="D107" s="2" t="s">
        <v>1055</v>
      </c>
      <c r="E107" s="2" t="s">
        <v>1055</v>
      </c>
    </row>
    <row r="108" spans="1:5" x14ac:dyDescent="0.35">
      <c r="A108" s="2" t="s">
        <v>291</v>
      </c>
      <c r="B108" s="2" t="s">
        <v>291</v>
      </c>
      <c r="C108" s="2" t="s">
        <v>2236</v>
      </c>
      <c r="D108" s="2" t="s">
        <v>292</v>
      </c>
      <c r="E108" s="2" t="s">
        <v>292</v>
      </c>
    </row>
    <row r="109" spans="1:5" x14ac:dyDescent="0.35">
      <c r="A109" s="2" t="s">
        <v>878</v>
      </c>
      <c r="B109" s="2" t="s">
        <v>878</v>
      </c>
      <c r="C109" s="2" t="s">
        <v>2236</v>
      </c>
      <c r="D109" s="2" t="s">
        <v>879</v>
      </c>
      <c r="E109" s="2" t="s">
        <v>879</v>
      </c>
    </row>
    <row r="110" spans="1:5" x14ac:dyDescent="0.35">
      <c r="A110" s="2" t="s">
        <v>1497</v>
      </c>
      <c r="B110" s="2" t="s">
        <v>1497</v>
      </c>
      <c r="C110" s="2" t="s">
        <v>2236</v>
      </c>
      <c r="D110" s="2" t="s">
        <v>1498</v>
      </c>
      <c r="E110" s="2" t="s">
        <v>1498</v>
      </c>
    </row>
    <row r="111" spans="1:5" x14ac:dyDescent="0.35">
      <c r="A111" s="2" t="s">
        <v>1297</v>
      </c>
      <c r="B111" s="2" t="s">
        <v>1297</v>
      </c>
      <c r="C111" s="2" t="s">
        <v>2236</v>
      </c>
      <c r="D111" s="2" t="s">
        <v>1298</v>
      </c>
      <c r="E111" s="2" t="s">
        <v>1298</v>
      </c>
    </row>
    <row r="112" spans="1:5" x14ac:dyDescent="0.35">
      <c r="A112" s="2" t="s">
        <v>196</v>
      </c>
      <c r="B112" s="2" t="s">
        <v>196</v>
      </c>
      <c r="C112" s="2" t="s">
        <v>2236</v>
      </c>
      <c r="D112" s="2" t="s">
        <v>197</v>
      </c>
      <c r="E112" s="2" t="s">
        <v>197</v>
      </c>
    </row>
    <row r="113" spans="1:5" x14ac:dyDescent="0.35">
      <c r="A113" s="2" t="s">
        <v>123</v>
      </c>
      <c r="B113" s="2" t="s">
        <v>123</v>
      </c>
      <c r="C113" s="2" t="s">
        <v>2236</v>
      </c>
      <c r="D113" s="2" t="s">
        <v>124</v>
      </c>
      <c r="E113" s="2" t="s">
        <v>124</v>
      </c>
    </row>
    <row r="114" spans="1:5" x14ac:dyDescent="0.35">
      <c r="A114" s="2" t="s">
        <v>1948</v>
      </c>
      <c r="B114" s="2" t="s">
        <v>1948</v>
      </c>
      <c r="C114" s="2" t="s">
        <v>2236</v>
      </c>
      <c r="D114" s="2" t="s">
        <v>1949</v>
      </c>
      <c r="E114" s="2" t="s">
        <v>1949</v>
      </c>
    </row>
    <row r="115" spans="1:5" x14ac:dyDescent="0.35">
      <c r="A115" s="2" t="s">
        <v>1431</v>
      </c>
      <c r="B115" s="2" t="s">
        <v>1431</v>
      </c>
      <c r="C115" s="2" t="s">
        <v>2236</v>
      </c>
      <c r="D115" s="2" t="s">
        <v>1432</v>
      </c>
      <c r="E115" s="2" t="s">
        <v>1432</v>
      </c>
    </row>
    <row r="116" spans="1:5" x14ac:dyDescent="0.35">
      <c r="A116" s="2" t="s">
        <v>633</v>
      </c>
      <c r="B116" s="2" t="s">
        <v>633</v>
      </c>
      <c r="C116" s="2" t="s">
        <v>2236</v>
      </c>
      <c r="D116" s="2" t="s">
        <v>634</v>
      </c>
      <c r="E116" s="2" t="s">
        <v>634</v>
      </c>
    </row>
    <row r="117" spans="1:5" x14ac:dyDescent="0.35">
      <c r="A117" s="2" t="s">
        <v>1002</v>
      </c>
      <c r="B117" s="2" t="s">
        <v>1002</v>
      </c>
      <c r="C117" s="2" t="s">
        <v>2236</v>
      </c>
      <c r="D117" s="2" t="s">
        <v>1003</v>
      </c>
      <c r="E117" s="2" t="s">
        <v>1003</v>
      </c>
    </row>
    <row r="118" spans="1:5" x14ac:dyDescent="0.35">
      <c r="A118" s="2" t="s">
        <v>969</v>
      </c>
      <c r="B118" s="2" t="s">
        <v>969</v>
      </c>
      <c r="C118" s="2" t="s">
        <v>2236</v>
      </c>
      <c r="D118" s="2" t="s">
        <v>970</v>
      </c>
      <c r="E118" s="2" t="s">
        <v>970</v>
      </c>
    </row>
    <row r="119" spans="1:5" x14ac:dyDescent="0.35">
      <c r="A119" s="2" t="s">
        <v>701</v>
      </c>
      <c r="B119" s="2" t="s">
        <v>701</v>
      </c>
      <c r="C119" s="2" t="s">
        <v>2236</v>
      </c>
      <c r="D119" s="2" t="s">
        <v>702</v>
      </c>
      <c r="E119" s="2" t="s">
        <v>702</v>
      </c>
    </row>
    <row r="120" spans="1:5" x14ac:dyDescent="0.35">
      <c r="A120" s="2" t="s">
        <v>1688</v>
      </c>
      <c r="B120" s="2" t="s">
        <v>1688</v>
      </c>
      <c r="C120" s="2" t="s">
        <v>2236</v>
      </c>
      <c r="D120" s="2" t="s">
        <v>1689</v>
      </c>
      <c r="E120" s="2" t="s">
        <v>1689</v>
      </c>
    </row>
    <row r="121" spans="1:5" x14ac:dyDescent="0.35">
      <c r="A121" s="2" t="s">
        <v>1227</v>
      </c>
      <c r="B121" s="2" t="s">
        <v>1227</v>
      </c>
      <c r="C121" s="2" t="s">
        <v>2236</v>
      </c>
      <c r="D121" s="2" t="s">
        <v>1228</v>
      </c>
      <c r="E121" s="2" t="s">
        <v>1228</v>
      </c>
    </row>
    <row r="122" spans="1:5" x14ac:dyDescent="0.35">
      <c r="A122" s="2" t="s">
        <v>1616</v>
      </c>
      <c r="B122" s="2" t="s">
        <v>1616</v>
      </c>
      <c r="C122" s="2" t="s">
        <v>2236</v>
      </c>
      <c r="D122" s="2" t="s">
        <v>1617</v>
      </c>
      <c r="E122" s="2" t="s">
        <v>1617</v>
      </c>
    </row>
    <row r="123" spans="1:5" x14ac:dyDescent="0.35">
      <c r="A123" s="2" t="s">
        <v>1182</v>
      </c>
      <c r="B123" s="2" t="s">
        <v>1182</v>
      </c>
      <c r="C123" s="2" t="s">
        <v>2236</v>
      </c>
      <c r="D123" s="2" t="s">
        <v>1183</v>
      </c>
      <c r="E123" s="2" t="s">
        <v>1183</v>
      </c>
    </row>
    <row r="124" spans="1:5" x14ac:dyDescent="0.35">
      <c r="A124" s="2" t="s">
        <v>1045</v>
      </c>
      <c r="B124" s="2" t="s">
        <v>1045</v>
      </c>
      <c r="C124" s="2" t="s">
        <v>2236</v>
      </c>
      <c r="D124" s="2" t="s">
        <v>1046</v>
      </c>
      <c r="E124" s="2" t="s">
        <v>1046</v>
      </c>
    </row>
    <row r="125" spans="1:5" x14ac:dyDescent="0.35">
      <c r="A125" s="2" t="s">
        <v>1828</v>
      </c>
      <c r="B125" s="2" t="s">
        <v>1828</v>
      </c>
      <c r="C125" s="2" t="s">
        <v>2236</v>
      </c>
      <c r="D125" s="2" t="s">
        <v>1829</v>
      </c>
      <c r="E125" s="2" t="s">
        <v>1829</v>
      </c>
    </row>
    <row r="126" spans="1:5" x14ac:dyDescent="0.35">
      <c r="A126" s="2" t="s">
        <v>1956</v>
      </c>
      <c r="B126" s="2" t="s">
        <v>1956</v>
      </c>
      <c r="C126" s="2" t="s">
        <v>2236</v>
      </c>
      <c r="D126" s="2" t="s">
        <v>1957</v>
      </c>
      <c r="E126" s="2" t="s">
        <v>1957</v>
      </c>
    </row>
    <row r="127" spans="1:5" x14ac:dyDescent="0.35">
      <c r="A127" s="2" t="s">
        <v>555</v>
      </c>
      <c r="B127" s="2" t="s">
        <v>555</v>
      </c>
      <c r="C127" s="2" t="s">
        <v>2236</v>
      </c>
      <c r="D127" s="2" t="s">
        <v>556</v>
      </c>
      <c r="E127" s="2" t="s">
        <v>556</v>
      </c>
    </row>
    <row r="128" spans="1:5" x14ac:dyDescent="0.35">
      <c r="A128" s="2" t="s">
        <v>1560</v>
      </c>
      <c r="B128" s="2" t="s">
        <v>1560</v>
      </c>
      <c r="C128" s="2" t="s">
        <v>2236</v>
      </c>
      <c r="D128" s="2" t="s">
        <v>1561</v>
      </c>
      <c r="E128" s="2" t="s">
        <v>1561</v>
      </c>
    </row>
    <row r="129" spans="1:5" x14ac:dyDescent="0.35">
      <c r="A129" s="2" t="s">
        <v>1643</v>
      </c>
      <c r="B129" s="2" t="s">
        <v>1643</v>
      </c>
      <c r="C129" s="2" t="s">
        <v>2236</v>
      </c>
      <c r="D129" s="2" t="s">
        <v>1644</v>
      </c>
      <c r="E129" s="2" t="s">
        <v>1644</v>
      </c>
    </row>
    <row r="130" spans="1:5" x14ac:dyDescent="0.35">
      <c r="A130" s="2" t="s">
        <v>1845</v>
      </c>
      <c r="B130" s="2" t="s">
        <v>1845</v>
      </c>
      <c r="C130" s="2" t="s">
        <v>2236</v>
      </c>
      <c r="D130" s="2" t="s">
        <v>1846</v>
      </c>
      <c r="E130" s="2" t="s">
        <v>1846</v>
      </c>
    </row>
    <row r="131" spans="1:5" x14ac:dyDescent="0.35">
      <c r="A131" s="2" t="s">
        <v>422</v>
      </c>
      <c r="B131" s="2" t="s">
        <v>422</v>
      </c>
      <c r="C131" s="2" t="s">
        <v>2236</v>
      </c>
      <c r="D131" s="2" t="s">
        <v>423</v>
      </c>
      <c r="E131" s="2" t="s">
        <v>423</v>
      </c>
    </row>
    <row r="132" spans="1:5" x14ac:dyDescent="0.35">
      <c r="A132" s="2" t="s">
        <v>1462</v>
      </c>
      <c r="B132" s="2" t="s">
        <v>1462</v>
      </c>
      <c r="C132" s="2" t="s">
        <v>2236</v>
      </c>
      <c r="D132" s="2" t="s">
        <v>1463</v>
      </c>
      <c r="E132" s="2" t="s">
        <v>1463</v>
      </c>
    </row>
    <row r="133" spans="1:5" x14ac:dyDescent="0.35">
      <c r="A133" s="2" t="s">
        <v>1758</v>
      </c>
      <c r="B133" s="2" t="s">
        <v>1758</v>
      </c>
      <c r="C133" s="2" t="s">
        <v>2236</v>
      </c>
      <c r="D133" s="2" t="s">
        <v>1759</v>
      </c>
      <c r="E133" s="2" t="s">
        <v>1759</v>
      </c>
    </row>
    <row r="134" spans="1:5" x14ac:dyDescent="0.35">
      <c r="A134" s="2" t="s">
        <v>774</v>
      </c>
      <c r="B134" s="2" t="s">
        <v>774</v>
      </c>
      <c r="C134" s="2" t="s">
        <v>2236</v>
      </c>
      <c r="D134" s="2" t="s">
        <v>775</v>
      </c>
      <c r="E134" s="2" t="s">
        <v>775</v>
      </c>
    </row>
    <row r="135" spans="1:5" x14ac:dyDescent="0.35">
      <c r="A135" s="2" t="s">
        <v>255</v>
      </c>
      <c r="B135" s="2" t="s">
        <v>255</v>
      </c>
      <c r="C135" s="2" t="s">
        <v>2236</v>
      </c>
      <c r="D135" s="2" t="s">
        <v>256</v>
      </c>
      <c r="E135" s="2" t="s">
        <v>256</v>
      </c>
    </row>
    <row r="136" spans="1:5" x14ac:dyDescent="0.35">
      <c r="A136" s="2" t="s">
        <v>405</v>
      </c>
      <c r="B136" s="2" t="s">
        <v>405</v>
      </c>
      <c r="C136" s="2" t="s">
        <v>2236</v>
      </c>
      <c r="D136" s="2" t="s">
        <v>406</v>
      </c>
      <c r="E136" s="2" t="s">
        <v>406</v>
      </c>
    </row>
    <row r="137" spans="1:5" x14ac:dyDescent="0.35">
      <c r="A137" s="2" t="s">
        <v>1583</v>
      </c>
      <c r="B137" s="2" t="s">
        <v>1583</v>
      </c>
      <c r="C137" s="2" t="s">
        <v>2236</v>
      </c>
      <c r="D137" s="2" t="s">
        <v>1584</v>
      </c>
      <c r="E137" s="2" t="s">
        <v>1584</v>
      </c>
    </row>
    <row r="138" spans="1:5" x14ac:dyDescent="0.35">
      <c r="A138" s="2" t="s">
        <v>1257</v>
      </c>
      <c r="B138" s="2" t="s">
        <v>1257</v>
      </c>
      <c r="C138" s="2" t="s">
        <v>2236</v>
      </c>
      <c r="D138" s="2" t="s">
        <v>1258</v>
      </c>
      <c r="E138" s="2" t="s">
        <v>1258</v>
      </c>
    </row>
    <row r="139" spans="1:5" x14ac:dyDescent="0.35">
      <c r="A139" s="2" t="s">
        <v>1173</v>
      </c>
      <c r="B139" s="2" t="s">
        <v>1173</v>
      </c>
      <c r="C139" s="2" t="s">
        <v>2236</v>
      </c>
      <c r="D139" s="2" t="s">
        <v>1174</v>
      </c>
      <c r="E139" s="2" t="s">
        <v>1174</v>
      </c>
    </row>
    <row r="140" spans="1:5" x14ac:dyDescent="0.35">
      <c r="A140" s="2" t="s">
        <v>156</v>
      </c>
      <c r="B140" s="2" t="s">
        <v>156</v>
      </c>
      <c r="C140" s="2" t="s">
        <v>2236</v>
      </c>
      <c r="D140" s="2" t="s">
        <v>2137</v>
      </c>
      <c r="E140" s="2" t="s">
        <v>2137</v>
      </c>
    </row>
    <row r="141" spans="1:5" x14ac:dyDescent="0.35">
      <c r="A141" s="2" t="s">
        <v>788</v>
      </c>
      <c r="B141" s="2" t="s">
        <v>788</v>
      </c>
      <c r="C141" s="2" t="s">
        <v>2236</v>
      </c>
      <c r="D141" s="2" t="s">
        <v>789</v>
      </c>
      <c r="E141" s="2" t="s">
        <v>789</v>
      </c>
    </row>
    <row r="142" spans="1:5" x14ac:dyDescent="0.35">
      <c r="A142" s="2" t="s">
        <v>546</v>
      </c>
      <c r="B142" s="2" t="s">
        <v>546</v>
      </c>
      <c r="C142" s="2" t="s">
        <v>2236</v>
      </c>
      <c r="D142" s="2" t="s">
        <v>547</v>
      </c>
      <c r="E142" s="2" t="s">
        <v>547</v>
      </c>
    </row>
    <row r="143" spans="1:5" x14ac:dyDescent="0.35">
      <c r="A143" s="2" t="s">
        <v>1666</v>
      </c>
      <c r="B143" s="2" t="s">
        <v>1666</v>
      </c>
      <c r="C143" s="2" t="s">
        <v>2236</v>
      </c>
      <c r="D143" s="2" t="s">
        <v>1667</v>
      </c>
      <c r="E143" s="2" t="s">
        <v>1667</v>
      </c>
    </row>
    <row r="144" spans="1:5" x14ac:dyDescent="0.35">
      <c r="A144" s="2" t="s">
        <v>565</v>
      </c>
      <c r="B144" s="2" t="s">
        <v>565</v>
      </c>
      <c r="C144" s="2" t="s">
        <v>2236</v>
      </c>
      <c r="D144" s="2" t="s">
        <v>566</v>
      </c>
      <c r="E144" s="2" t="s">
        <v>566</v>
      </c>
    </row>
    <row r="145" spans="1:5" x14ac:dyDescent="0.35">
      <c r="A145" s="2" t="s">
        <v>537</v>
      </c>
      <c r="B145" s="2" t="s">
        <v>537</v>
      </c>
      <c r="C145" s="2" t="s">
        <v>2236</v>
      </c>
      <c r="D145" s="2" t="s">
        <v>538</v>
      </c>
      <c r="E145" s="2" t="s">
        <v>538</v>
      </c>
    </row>
    <row r="146" spans="1:5" x14ac:dyDescent="0.35">
      <c r="A146" s="2" t="s">
        <v>624</v>
      </c>
      <c r="B146" s="2" t="s">
        <v>624</v>
      </c>
      <c r="C146" s="2" t="s">
        <v>2236</v>
      </c>
      <c r="D146" s="2" t="s">
        <v>625</v>
      </c>
      <c r="E146" s="2" t="s">
        <v>625</v>
      </c>
    </row>
    <row r="147" spans="1:5" x14ac:dyDescent="0.35">
      <c r="A147" s="2" t="s">
        <v>930</v>
      </c>
      <c r="B147" s="2" t="s">
        <v>930</v>
      </c>
      <c r="C147" s="2" t="s">
        <v>2236</v>
      </c>
      <c r="D147" s="2" t="s">
        <v>931</v>
      </c>
      <c r="E147" s="2" t="s">
        <v>931</v>
      </c>
    </row>
    <row r="148" spans="1:5" x14ac:dyDescent="0.35">
      <c r="A148" s="2" t="s">
        <v>518</v>
      </c>
      <c r="B148" s="2" t="s">
        <v>518</v>
      </c>
      <c r="C148" s="2" t="s">
        <v>2236</v>
      </c>
      <c r="D148" s="2" t="s">
        <v>519</v>
      </c>
      <c r="E148" s="2" t="s">
        <v>519</v>
      </c>
    </row>
    <row r="149" spans="1:5" x14ac:dyDescent="0.35">
      <c r="A149" s="2" t="s">
        <v>1797</v>
      </c>
      <c r="B149" s="2" t="s">
        <v>1797</v>
      </c>
      <c r="C149" s="2" t="s">
        <v>2236</v>
      </c>
      <c r="D149" s="2" t="s">
        <v>1798</v>
      </c>
      <c r="E149" s="2" t="s">
        <v>1798</v>
      </c>
    </row>
    <row r="150" spans="1:5" x14ac:dyDescent="0.35">
      <c r="A150" s="2" t="s">
        <v>887</v>
      </c>
      <c r="B150" s="2" t="s">
        <v>887</v>
      </c>
      <c r="C150" s="2" t="s">
        <v>2236</v>
      </c>
      <c r="D150" s="2" t="s">
        <v>888</v>
      </c>
      <c r="E150" s="2" t="s">
        <v>888</v>
      </c>
    </row>
    <row r="151" spans="1:5" x14ac:dyDescent="0.35">
      <c r="A151" s="2" t="s">
        <v>1440</v>
      </c>
      <c r="B151" s="2" t="s">
        <v>1440</v>
      </c>
      <c r="C151" s="2" t="s">
        <v>2236</v>
      </c>
      <c r="D151" s="2" t="s">
        <v>1441</v>
      </c>
      <c r="E151" s="2" t="s">
        <v>1441</v>
      </c>
    </row>
    <row r="152" spans="1:5" x14ac:dyDescent="0.35">
      <c r="A152" s="2" t="s">
        <v>655</v>
      </c>
      <c r="B152" s="2" t="s">
        <v>655</v>
      </c>
      <c r="C152" s="2" t="s">
        <v>2236</v>
      </c>
      <c r="D152" s="2" t="s">
        <v>656</v>
      </c>
      <c r="E152" s="2" t="s">
        <v>656</v>
      </c>
    </row>
    <row r="153" spans="1:5" x14ac:dyDescent="0.35">
      <c r="A153" s="2" t="s">
        <v>1861</v>
      </c>
      <c r="B153" s="2" t="s">
        <v>1861</v>
      </c>
      <c r="C153" s="2" t="s">
        <v>2236</v>
      </c>
      <c r="D153" s="2" t="s">
        <v>1862</v>
      </c>
      <c r="E153" s="2" t="s">
        <v>1862</v>
      </c>
    </row>
    <row r="154" spans="1:5" x14ac:dyDescent="0.35">
      <c r="A154" s="2" t="s">
        <v>1289</v>
      </c>
      <c r="B154" s="2" t="s">
        <v>1289</v>
      </c>
      <c r="C154" s="2" t="s">
        <v>2236</v>
      </c>
      <c r="D154" s="2" t="s">
        <v>1290</v>
      </c>
      <c r="E154" s="2" t="s">
        <v>1290</v>
      </c>
    </row>
    <row r="155" spans="1:5" x14ac:dyDescent="0.35">
      <c r="A155" s="2" t="s">
        <v>1010</v>
      </c>
      <c r="B155" s="2" t="s">
        <v>1010</v>
      </c>
      <c r="C155" s="2" t="s">
        <v>2236</v>
      </c>
      <c r="D155" s="2" t="s">
        <v>1011</v>
      </c>
      <c r="E155" s="2" t="s">
        <v>1011</v>
      </c>
    </row>
    <row r="156" spans="1:5" x14ac:dyDescent="0.35">
      <c r="A156" s="2" t="s">
        <v>1882</v>
      </c>
      <c r="B156" s="2" t="s">
        <v>1882</v>
      </c>
      <c r="C156" s="2" t="s">
        <v>2236</v>
      </c>
      <c r="D156" s="2" t="s">
        <v>1883</v>
      </c>
      <c r="E156" s="2" t="s">
        <v>1883</v>
      </c>
    </row>
    <row r="157" spans="1:5" x14ac:dyDescent="0.35">
      <c r="A157" s="2" t="s">
        <v>739</v>
      </c>
      <c r="B157" s="2" t="s">
        <v>739</v>
      </c>
      <c r="C157" s="2" t="s">
        <v>2236</v>
      </c>
      <c r="D157" s="2" t="s">
        <v>740</v>
      </c>
      <c r="E157" s="2" t="s">
        <v>740</v>
      </c>
    </row>
    <row r="158" spans="1:5" x14ac:dyDescent="0.35">
      <c r="A158" s="2" t="s">
        <v>684</v>
      </c>
      <c r="B158" s="2" t="s">
        <v>684</v>
      </c>
      <c r="C158" s="2" t="s">
        <v>2236</v>
      </c>
      <c r="D158" s="2" t="s">
        <v>685</v>
      </c>
      <c r="E158" s="2" t="s">
        <v>685</v>
      </c>
    </row>
    <row r="159" spans="1:5" x14ac:dyDescent="0.35">
      <c r="A159" s="2" t="s">
        <v>449</v>
      </c>
      <c r="B159" s="2" t="s">
        <v>449</v>
      </c>
      <c r="C159" s="2" t="s">
        <v>2236</v>
      </c>
      <c r="D159" s="2" t="s">
        <v>450</v>
      </c>
      <c r="E159" s="2" t="s">
        <v>450</v>
      </c>
    </row>
    <row r="160" spans="1:5" x14ac:dyDescent="0.35">
      <c r="A160" s="2" t="s">
        <v>414</v>
      </c>
      <c r="B160" s="2" t="s">
        <v>414</v>
      </c>
      <c r="C160" s="2" t="s">
        <v>2236</v>
      </c>
      <c r="D160" s="2" t="s">
        <v>415</v>
      </c>
      <c r="E160" s="2" t="s">
        <v>415</v>
      </c>
    </row>
    <row r="161" spans="1:5" x14ac:dyDescent="0.35">
      <c r="A161" s="2" t="s">
        <v>1230</v>
      </c>
      <c r="B161" s="2" t="s">
        <v>1230</v>
      </c>
      <c r="C161" s="2" t="s">
        <v>2236</v>
      </c>
      <c r="D161" s="2" t="s">
        <v>1231</v>
      </c>
      <c r="E161" s="2" t="s">
        <v>1231</v>
      </c>
    </row>
    <row r="162" spans="1:5" x14ac:dyDescent="0.35">
      <c r="A162" s="2" t="s">
        <v>746</v>
      </c>
      <c r="B162" s="2" t="s">
        <v>746</v>
      </c>
      <c r="C162" s="2" t="s">
        <v>2236</v>
      </c>
      <c r="D162" s="2" t="s">
        <v>747</v>
      </c>
      <c r="E162" s="2" t="s">
        <v>747</v>
      </c>
    </row>
    <row r="163" spans="1:5" x14ac:dyDescent="0.35">
      <c r="A163" s="2" t="s">
        <v>1078</v>
      </c>
      <c r="B163" s="2" t="s">
        <v>1078</v>
      </c>
      <c r="C163" s="2" t="s">
        <v>2236</v>
      </c>
      <c r="D163" s="2" t="s">
        <v>1079</v>
      </c>
      <c r="E163" s="2" t="s">
        <v>1079</v>
      </c>
    </row>
    <row r="164" spans="1:5" x14ac:dyDescent="0.35">
      <c r="A164" s="2" t="s">
        <v>272</v>
      </c>
      <c r="B164" s="2" t="s">
        <v>272</v>
      </c>
      <c r="C164" s="2" t="s">
        <v>2236</v>
      </c>
      <c r="D164" s="2" t="s">
        <v>273</v>
      </c>
      <c r="E164" s="2" t="s">
        <v>273</v>
      </c>
    </row>
    <row r="165" spans="1:5" x14ac:dyDescent="0.35">
      <c r="A165" s="2" t="s">
        <v>1191</v>
      </c>
      <c r="B165" s="2" t="s">
        <v>1191</v>
      </c>
      <c r="C165" s="2" t="s">
        <v>2236</v>
      </c>
      <c r="D165" s="2" t="s">
        <v>1192</v>
      </c>
      <c r="E165" s="2" t="s">
        <v>1192</v>
      </c>
    </row>
    <row r="166" spans="1:5" x14ac:dyDescent="0.35">
      <c r="A166" s="2" t="s">
        <v>325</v>
      </c>
      <c r="B166" s="2" t="s">
        <v>325</v>
      </c>
      <c r="C166" s="2" t="s">
        <v>2236</v>
      </c>
      <c r="D166" s="2" t="s">
        <v>326</v>
      </c>
      <c r="E166" s="2" t="s">
        <v>326</v>
      </c>
    </row>
    <row r="167" spans="1:5" x14ac:dyDescent="0.35">
      <c r="A167" s="2" t="s">
        <v>1524</v>
      </c>
      <c r="B167" s="2" t="s">
        <v>1524</v>
      </c>
      <c r="C167" s="2" t="s">
        <v>2236</v>
      </c>
      <c r="D167" s="2" t="s">
        <v>1525</v>
      </c>
      <c r="E167" s="2" t="s">
        <v>1525</v>
      </c>
    </row>
    <row r="168" spans="1:5" x14ac:dyDescent="0.35">
      <c r="A168" s="2" t="s">
        <v>663</v>
      </c>
      <c r="B168" s="2" t="s">
        <v>663</v>
      </c>
      <c r="C168" s="2" t="s">
        <v>2236</v>
      </c>
      <c r="D168" s="2" t="s">
        <v>664</v>
      </c>
      <c r="E168" s="2" t="s">
        <v>664</v>
      </c>
    </row>
    <row r="169" spans="1:5" x14ac:dyDescent="0.35">
      <c r="A169" s="2" t="s">
        <v>466</v>
      </c>
      <c r="B169" s="2" t="s">
        <v>466</v>
      </c>
      <c r="C169" s="2" t="s">
        <v>2236</v>
      </c>
      <c r="D169" s="2" t="s">
        <v>467</v>
      </c>
      <c r="E169" s="2" t="s">
        <v>467</v>
      </c>
    </row>
    <row r="170" spans="1:5" x14ac:dyDescent="0.35">
      <c r="A170" s="2" t="s">
        <v>1127</v>
      </c>
      <c r="B170" s="2" t="s">
        <v>1127</v>
      </c>
      <c r="C170" s="2" t="s">
        <v>2236</v>
      </c>
      <c r="D170" s="2" t="s">
        <v>2179</v>
      </c>
      <c r="E170" s="2" t="s">
        <v>2179</v>
      </c>
    </row>
    <row r="171" spans="1:5" x14ac:dyDescent="0.35">
      <c r="A171" s="2" t="s">
        <v>1121</v>
      </c>
      <c r="B171" s="2" t="s">
        <v>1019</v>
      </c>
      <c r="C171" s="2" t="s">
        <v>2237</v>
      </c>
      <c r="D171" s="2" t="s">
        <v>1122</v>
      </c>
      <c r="E171" s="2" t="s">
        <v>1020</v>
      </c>
    </row>
    <row r="172" spans="1:5" x14ac:dyDescent="0.35">
      <c r="A172" s="2" t="s">
        <v>1019</v>
      </c>
      <c r="B172" s="2" t="s">
        <v>1019</v>
      </c>
      <c r="C172" s="2" t="s">
        <v>2236</v>
      </c>
      <c r="D172" s="2" t="s">
        <v>1020</v>
      </c>
      <c r="E172" s="2" t="s">
        <v>1020</v>
      </c>
    </row>
    <row r="173" spans="1:5" x14ac:dyDescent="0.35">
      <c r="A173" s="2" t="s">
        <v>1070</v>
      </c>
      <c r="B173" s="2" t="s">
        <v>1070</v>
      </c>
      <c r="C173" s="2" t="s">
        <v>2236</v>
      </c>
      <c r="D173" s="2" t="s">
        <v>1071</v>
      </c>
      <c r="E173" s="2" t="s">
        <v>1071</v>
      </c>
    </row>
    <row r="174" spans="1:5" x14ac:dyDescent="0.35">
      <c r="A174" s="2" t="s">
        <v>1965</v>
      </c>
      <c r="B174" s="2" t="s">
        <v>1965</v>
      </c>
      <c r="C174" s="2" t="s">
        <v>2236</v>
      </c>
      <c r="D174" s="2" t="s">
        <v>1966</v>
      </c>
      <c r="E174" s="2" t="s">
        <v>1966</v>
      </c>
    </row>
    <row r="175" spans="1:5" x14ac:dyDescent="0.35">
      <c r="A175" s="2" t="s">
        <v>1203</v>
      </c>
      <c r="B175" s="2" t="s">
        <v>1203</v>
      </c>
      <c r="C175" s="2" t="s">
        <v>2236</v>
      </c>
      <c r="D175" s="2" t="s">
        <v>1204</v>
      </c>
      <c r="E175" s="2" t="s">
        <v>1204</v>
      </c>
    </row>
    <row r="176" spans="1:5" x14ac:dyDescent="0.35">
      <c r="A176" s="2" t="s">
        <v>351</v>
      </c>
      <c r="B176" s="2" t="s">
        <v>351</v>
      </c>
      <c r="C176" s="2" t="s">
        <v>2236</v>
      </c>
      <c r="D176" s="2" t="s">
        <v>352</v>
      </c>
      <c r="E176" s="2" t="s">
        <v>352</v>
      </c>
    </row>
    <row r="177" spans="1:5" x14ac:dyDescent="0.35">
      <c r="A177" s="2" t="s">
        <v>144</v>
      </c>
      <c r="B177" s="2" t="s">
        <v>155</v>
      </c>
      <c r="C177" s="2" t="s">
        <v>2238</v>
      </c>
      <c r="D177" s="2" t="s">
        <v>145</v>
      </c>
      <c r="E177" s="2" t="s">
        <v>1908</v>
      </c>
    </row>
    <row r="178" spans="1:5" x14ac:dyDescent="0.35">
      <c r="A178" s="2" t="s">
        <v>155</v>
      </c>
      <c r="B178" s="2" t="s">
        <v>155</v>
      </c>
      <c r="C178" s="2" t="s">
        <v>2236</v>
      </c>
      <c r="D178" s="2" t="s">
        <v>1908</v>
      </c>
      <c r="E178" s="2" t="s">
        <v>1908</v>
      </c>
    </row>
    <row r="179" spans="1:5" x14ac:dyDescent="0.35">
      <c r="A179" s="2" t="s">
        <v>1788</v>
      </c>
      <c r="B179" s="2" t="s">
        <v>1788</v>
      </c>
      <c r="C179" s="2" t="s">
        <v>2236</v>
      </c>
      <c r="D179" s="2" t="s">
        <v>1789</v>
      </c>
      <c r="E179" s="2" t="s">
        <v>1789</v>
      </c>
    </row>
    <row r="180" spans="1:5" x14ac:dyDescent="0.35">
      <c r="A180" s="2" t="s">
        <v>1533</v>
      </c>
      <c r="B180" s="2" t="s">
        <v>1533</v>
      </c>
      <c r="C180" s="2" t="s">
        <v>2236</v>
      </c>
      <c r="D180" s="2" t="s">
        <v>1534</v>
      </c>
      <c r="E180" s="2" t="s">
        <v>1534</v>
      </c>
    </row>
    <row r="181" spans="1:5" x14ac:dyDescent="0.35">
      <c r="A181" s="2" t="s">
        <v>1103</v>
      </c>
      <c r="B181" s="2" t="s">
        <v>1103</v>
      </c>
      <c r="C181" s="2" t="s">
        <v>2236</v>
      </c>
      <c r="D181" s="2" t="s">
        <v>1104</v>
      </c>
      <c r="E181" s="2" t="s">
        <v>1104</v>
      </c>
    </row>
    <row r="182" spans="1:5" x14ac:dyDescent="0.35">
      <c r="A182" s="2" t="s">
        <v>642</v>
      </c>
      <c r="B182" s="2" t="s">
        <v>642</v>
      </c>
      <c r="C182" s="2" t="s">
        <v>2236</v>
      </c>
      <c r="D182" s="2" t="s">
        <v>643</v>
      </c>
      <c r="E182" s="2" t="s">
        <v>643</v>
      </c>
    </row>
    <row r="183" spans="1:5" x14ac:dyDescent="0.35">
      <c r="A183" s="2" t="s">
        <v>234</v>
      </c>
      <c r="B183" s="2" t="s">
        <v>234</v>
      </c>
      <c r="C183" s="2" t="s">
        <v>2236</v>
      </c>
      <c r="D183" s="2" t="s">
        <v>235</v>
      </c>
      <c r="E183" s="2" t="s">
        <v>235</v>
      </c>
    </row>
    <row r="184" spans="1:5" x14ac:dyDescent="0.35">
      <c r="A184" s="2" t="s">
        <v>176</v>
      </c>
      <c r="B184" s="2" t="s">
        <v>176</v>
      </c>
      <c r="C184" s="2" t="s">
        <v>2236</v>
      </c>
      <c r="D184" s="2" t="s">
        <v>177</v>
      </c>
      <c r="E184" s="2" t="s">
        <v>177</v>
      </c>
    </row>
    <row r="185" spans="1:5" x14ac:dyDescent="0.35">
      <c r="A185" s="2" t="s">
        <v>857</v>
      </c>
      <c r="B185" s="2" t="s">
        <v>857</v>
      </c>
      <c r="C185" s="2" t="s">
        <v>2236</v>
      </c>
      <c r="D185" s="2" t="s">
        <v>858</v>
      </c>
      <c r="E185" s="2" t="s">
        <v>858</v>
      </c>
    </row>
    <row r="186" spans="1:5" x14ac:dyDescent="0.35">
      <c r="A186" s="2" t="s">
        <v>457</v>
      </c>
      <c r="B186" s="2" t="s">
        <v>457</v>
      </c>
      <c r="C186" s="2" t="s">
        <v>2236</v>
      </c>
      <c r="D186" s="2" t="s">
        <v>458</v>
      </c>
      <c r="E186" s="2" t="s">
        <v>458</v>
      </c>
    </row>
    <row r="187" spans="1:5" x14ac:dyDescent="0.35">
      <c r="A187" s="2" t="s">
        <v>870</v>
      </c>
      <c r="B187" s="2" t="s">
        <v>870</v>
      </c>
      <c r="C187" s="2" t="s">
        <v>2236</v>
      </c>
      <c r="D187" s="2" t="s">
        <v>871</v>
      </c>
      <c r="E187" s="2" t="s">
        <v>871</v>
      </c>
    </row>
    <row r="188" spans="1:5" x14ac:dyDescent="0.35">
      <c r="A188" s="2" t="s">
        <v>820</v>
      </c>
      <c r="B188" s="2" t="s">
        <v>820</v>
      </c>
      <c r="C188" s="2" t="s">
        <v>2236</v>
      </c>
      <c r="D188" s="2" t="s">
        <v>821</v>
      </c>
      <c r="E188" s="2" t="s">
        <v>821</v>
      </c>
    </row>
    <row r="189" spans="1:5" x14ac:dyDescent="0.35">
      <c r="A189" s="2" t="s">
        <v>1574</v>
      </c>
      <c r="B189" s="2" t="s">
        <v>1574</v>
      </c>
      <c r="C189" s="2" t="s">
        <v>2236</v>
      </c>
      <c r="D189" s="2" t="s">
        <v>1575</v>
      </c>
      <c r="E189" s="2" t="s">
        <v>1575</v>
      </c>
    </row>
    <row r="190" spans="1:5" x14ac:dyDescent="0.35">
      <c r="A190" s="2" t="s">
        <v>186</v>
      </c>
      <c r="B190" s="2" t="s">
        <v>186</v>
      </c>
      <c r="C190" s="2" t="s">
        <v>2236</v>
      </c>
      <c r="D190" s="2" t="s">
        <v>187</v>
      </c>
      <c r="E190" s="2" t="s">
        <v>187</v>
      </c>
    </row>
    <row r="191" spans="1:5" x14ac:dyDescent="0.35">
      <c r="A191" s="2" t="s">
        <v>1364</v>
      </c>
      <c r="B191" s="2" t="s">
        <v>1364</v>
      </c>
      <c r="C191" s="2" t="s">
        <v>2236</v>
      </c>
      <c r="D191" s="2" t="s">
        <v>1365</v>
      </c>
      <c r="E191" s="2" t="s">
        <v>1365</v>
      </c>
    </row>
    <row r="192" spans="1:5" x14ac:dyDescent="0.35">
      <c r="A192" s="2" t="s">
        <v>1323</v>
      </c>
      <c r="B192" s="2" t="s">
        <v>1323</v>
      </c>
      <c r="C192" s="2" t="s">
        <v>2236</v>
      </c>
      <c r="D192" s="2" t="s">
        <v>1324</v>
      </c>
      <c r="E192" s="2" t="s">
        <v>1324</v>
      </c>
    </row>
    <row r="193" spans="1:5" x14ac:dyDescent="0.35">
      <c r="A193" s="2" t="s">
        <v>1701</v>
      </c>
      <c r="B193" s="2" t="s">
        <v>1701</v>
      </c>
      <c r="C193" s="2" t="s">
        <v>2236</v>
      </c>
      <c r="D193" s="2" t="s">
        <v>1702</v>
      </c>
      <c r="E193" s="2" t="s">
        <v>1702</v>
      </c>
    </row>
    <row r="194" spans="1:5" x14ac:dyDescent="0.35">
      <c r="A194" s="2" t="s">
        <v>1355</v>
      </c>
      <c r="B194" s="2" t="s">
        <v>1355</v>
      </c>
      <c r="C194" s="2" t="s">
        <v>2236</v>
      </c>
      <c r="D194" s="2" t="s">
        <v>1356</v>
      </c>
      <c r="E194" s="2" t="s">
        <v>1356</v>
      </c>
    </row>
    <row r="195" spans="1:5" x14ac:dyDescent="0.35">
      <c r="A195" s="2" t="s">
        <v>1591</v>
      </c>
      <c r="B195" s="2" t="s">
        <v>1591</v>
      </c>
      <c r="C195" s="2" t="s">
        <v>2236</v>
      </c>
      <c r="D195" s="2" t="s">
        <v>2206</v>
      </c>
      <c r="E195" s="2" t="s">
        <v>2206</v>
      </c>
    </row>
    <row r="196" spans="1:5" x14ac:dyDescent="0.35">
      <c r="A196" s="2" t="s">
        <v>1149</v>
      </c>
      <c r="B196" s="2" t="s">
        <v>1149</v>
      </c>
      <c r="C196" s="2" t="s">
        <v>2236</v>
      </c>
      <c r="D196" s="2" t="s">
        <v>1150</v>
      </c>
      <c r="E196" s="2" t="s">
        <v>1150</v>
      </c>
    </row>
    <row r="197" spans="1:5" x14ac:dyDescent="0.35">
      <c r="A197" s="2" t="s">
        <v>1599</v>
      </c>
      <c r="B197" s="2" t="s">
        <v>1599</v>
      </c>
      <c r="C197" s="2" t="s">
        <v>2236</v>
      </c>
      <c r="D197" s="2" t="s">
        <v>2208</v>
      </c>
      <c r="E197" s="2" t="s">
        <v>2208</v>
      </c>
    </row>
    <row r="198" spans="1:5" x14ac:dyDescent="0.35">
      <c r="A198" s="2" t="s">
        <v>1741</v>
      </c>
      <c r="B198" s="2" t="s">
        <v>1741</v>
      </c>
      <c r="C198" s="2" t="s">
        <v>2236</v>
      </c>
      <c r="D198" s="2" t="s">
        <v>1742</v>
      </c>
      <c r="E198" s="2" t="s">
        <v>1742</v>
      </c>
    </row>
    <row r="199" spans="1:5" x14ac:dyDescent="0.35">
      <c r="A199" s="2" t="s">
        <v>1900</v>
      </c>
      <c r="B199" s="2" t="s">
        <v>1900</v>
      </c>
      <c r="C199" s="2" t="s">
        <v>2236</v>
      </c>
      <c r="D199" s="2" t="s">
        <v>1901</v>
      </c>
      <c r="E199" s="2" t="s">
        <v>1901</v>
      </c>
    </row>
    <row r="200" spans="1:5" x14ac:dyDescent="0.35">
      <c r="A200" s="2" t="s">
        <v>1506</v>
      </c>
      <c r="B200" s="2" t="s">
        <v>1506</v>
      </c>
      <c r="C200" s="2" t="s">
        <v>2236</v>
      </c>
      <c r="D200" s="2" t="s">
        <v>1507</v>
      </c>
      <c r="E200" s="2" t="s">
        <v>1507</v>
      </c>
    </row>
    <row r="201" spans="1:5" x14ac:dyDescent="0.35">
      <c r="A201" s="2" t="s">
        <v>342</v>
      </c>
      <c r="B201" s="2" t="s">
        <v>350</v>
      </c>
      <c r="C201" s="2" t="s">
        <v>2238</v>
      </c>
      <c r="D201" s="2" t="s">
        <v>343</v>
      </c>
      <c r="E201" s="2" t="s">
        <v>814</v>
      </c>
    </row>
    <row r="202" spans="1:5" x14ac:dyDescent="0.35">
      <c r="A202" s="2" t="s">
        <v>350</v>
      </c>
      <c r="B202" s="2" t="s">
        <v>350</v>
      </c>
      <c r="C202" s="2" t="s">
        <v>2236</v>
      </c>
      <c r="D202" s="2" t="s">
        <v>814</v>
      </c>
      <c r="E202" s="2" t="s">
        <v>814</v>
      </c>
    </row>
    <row r="203" spans="1:5" x14ac:dyDescent="0.35">
      <c r="A203" s="2" t="s">
        <v>264</v>
      </c>
      <c r="B203" s="2" t="s">
        <v>264</v>
      </c>
      <c r="C203" s="2" t="s">
        <v>2236</v>
      </c>
      <c r="D203" s="2" t="s">
        <v>265</v>
      </c>
      <c r="E203" s="2" t="s">
        <v>265</v>
      </c>
    </row>
    <row r="204" spans="1:5" x14ac:dyDescent="0.35">
      <c r="A204" s="2" t="s">
        <v>769</v>
      </c>
      <c r="B204" s="2" t="s">
        <v>299</v>
      </c>
      <c r="C204" s="2" t="s">
        <v>2237</v>
      </c>
      <c r="D204" s="2" t="s">
        <v>770</v>
      </c>
      <c r="E204" s="2" t="s">
        <v>300</v>
      </c>
    </row>
    <row r="205" spans="1:5" x14ac:dyDescent="0.35">
      <c r="A205" s="2" t="s">
        <v>299</v>
      </c>
      <c r="B205" s="2" t="s">
        <v>299</v>
      </c>
      <c r="C205" s="2" t="s">
        <v>2236</v>
      </c>
      <c r="D205" s="2" t="s">
        <v>300</v>
      </c>
      <c r="E205" s="2" t="s">
        <v>300</v>
      </c>
    </row>
    <row r="206" spans="1:5" x14ac:dyDescent="0.35">
      <c r="A206" s="2" t="s">
        <v>1347</v>
      </c>
      <c r="B206" s="2" t="s">
        <v>1347</v>
      </c>
      <c r="C206" s="2" t="s">
        <v>2236</v>
      </c>
      <c r="D206" s="2" t="s">
        <v>1348</v>
      </c>
      <c r="E206" s="2" t="s">
        <v>1348</v>
      </c>
    </row>
    <row r="207" spans="1:5" x14ac:dyDescent="0.35">
      <c r="A207" s="2" t="s">
        <v>1449</v>
      </c>
      <c r="B207" s="2" t="s">
        <v>1027</v>
      </c>
      <c r="C207" s="2" t="s">
        <v>2237</v>
      </c>
      <c r="D207" s="2" t="s">
        <v>1450</v>
      </c>
      <c r="E207" s="2" t="s">
        <v>1450</v>
      </c>
    </row>
    <row r="208" spans="1:5" x14ac:dyDescent="0.35">
      <c r="A208" s="2" t="s">
        <v>1027</v>
      </c>
      <c r="B208" s="2" t="s">
        <v>1027</v>
      </c>
      <c r="C208" s="2" t="s">
        <v>2236</v>
      </c>
      <c r="D208" s="2" t="s">
        <v>1028</v>
      </c>
      <c r="E208" s="2" t="s">
        <v>1450</v>
      </c>
    </row>
    <row r="209" spans="1:5" x14ac:dyDescent="0.35">
      <c r="A209" s="2" t="s">
        <v>1931</v>
      </c>
      <c r="B209" s="2" t="s">
        <v>797</v>
      </c>
      <c r="C209" s="2" t="s">
        <v>2237</v>
      </c>
      <c r="D209" s="2" t="s">
        <v>1932</v>
      </c>
      <c r="E209" s="2" t="s">
        <v>2219</v>
      </c>
    </row>
    <row r="210" spans="1:5" x14ac:dyDescent="0.35">
      <c r="A210" s="2" t="s">
        <v>797</v>
      </c>
      <c r="B210" s="2" t="s">
        <v>797</v>
      </c>
      <c r="C210" s="2" t="s">
        <v>2236</v>
      </c>
      <c r="D210" s="2" t="s">
        <v>798</v>
      </c>
      <c r="E210" s="2" t="s">
        <v>2219</v>
      </c>
    </row>
    <row r="211" spans="1:5" x14ac:dyDescent="0.35">
      <c r="A211" s="2" t="s">
        <v>224</v>
      </c>
      <c r="B211" s="2" t="s">
        <v>233</v>
      </c>
      <c r="C211" s="2" t="s">
        <v>2237</v>
      </c>
      <c r="D211" s="2" t="s">
        <v>225</v>
      </c>
      <c r="E211" s="2" t="s">
        <v>225</v>
      </c>
    </row>
    <row r="212" spans="1:5" x14ac:dyDescent="0.35">
      <c r="A212" s="2" t="s">
        <v>233</v>
      </c>
      <c r="B212" s="2" t="s">
        <v>233</v>
      </c>
      <c r="C212" s="2" t="s">
        <v>2236</v>
      </c>
      <c r="D212" s="2" t="s">
        <v>866</v>
      </c>
      <c r="E212" s="2" t="s">
        <v>225</v>
      </c>
    </row>
    <row r="213" spans="1:5" x14ac:dyDescent="0.35">
      <c r="A213" s="2" t="s">
        <v>1719</v>
      </c>
      <c r="B213" s="2" t="s">
        <v>1551</v>
      </c>
      <c r="C213" s="2" t="s">
        <v>2237</v>
      </c>
      <c r="D213" s="2" t="s">
        <v>1720</v>
      </c>
      <c r="E213" s="2" t="s">
        <v>2222</v>
      </c>
    </row>
    <row r="214" spans="1:5" x14ac:dyDescent="0.35">
      <c r="A214" s="2" t="s">
        <v>1551</v>
      </c>
      <c r="B214" s="2" t="s">
        <v>1551</v>
      </c>
      <c r="C214" s="2" t="s">
        <v>2236</v>
      </c>
      <c r="D214" s="2" t="s">
        <v>1552</v>
      </c>
      <c r="E214" s="2" t="s">
        <v>2222</v>
      </c>
    </row>
    <row r="215" spans="1:5" x14ac:dyDescent="0.35">
      <c r="A215" s="2" t="s">
        <v>806</v>
      </c>
      <c r="B215" s="2" t="s">
        <v>813</v>
      </c>
      <c r="C215" s="2" t="s">
        <v>2237</v>
      </c>
      <c r="D215" s="2" t="s">
        <v>807</v>
      </c>
      <c r="E215" s="2" t="s">
        <v>2224</v>
      </c>
    </row>
    <row r="216" spans="1:5" x14ac:dyDescent="0.35">
      <c r="A216" s="2" t="s">
        <v>813</v>
      </c>
      <c r="B216" s="2" t="s">
        <v>813</v>
      </c>
      <c r="C216" s="2" t="s">
        <v>2236</v>
      </c>
      <c r="D216" s="2" t="s">
        <v>956</v>
      </c>
      <c r="E216" s="2" t="s">
        <v>2224</v>
      </c>
    </row>
    <row r="217" spans="1:5" x14ac:dyDescent="0.35">
      <c r="A217" s="2" t="s">
        <v>1824</v>
      </c>
      <c r="B217" s="2" t="s">
        <v>848</v>
      </c>
      <c r="C217" s="2" t="s">
        <v>2237</v>
      </c>
      <c r="D217" s="2" t="s">
        <v>1825</v>
      </c>
      <c r="E217" s="2" t="s">
        <v>2226</v>
      </c>
    </row>
    <row r="218" spans="1:5" x14ac:dyDescent="0.35">
      <c r="A218" s="2" t="s">
        <v>848</v>
      </c>
      <c r="B218" s="2" t="s">
        <v>848</v>
      </c>
      <c r="C218" s="2" t="s">
        <v>2236</v>
      </c>
      <c r="D218" s="2" t="s">
        <v>849</v>
      </c>
      <c r="E218" s="2" t="s">
        <v>2226</v>
      </c>
    </row>
    <row r="219" spans="1:5" x14ac:dyDescent="0.35">
      <c r="A219" s="2" t="s">
        <v>475</v>
      </c>
      <c r="B219" s="2" t="s">
        <v>475</v>
      </c>
      <c r="C219" s="2" t="s">
        <v>2236</v>
      </c>
      <c r="D219" s="2" t="s">
        <v>476</v>
      </c>
      <c r="E219" s="2" t="s">
        <v>476</v>
      </c>
    </row>
    <row r="220" spans="1:5" x14ac:dyDescent="0.35">
      <c r="A220" s="2" t="s">
        <v>1652</v>
      </c>
      <c r="B220" s="2" t="s">
        <v>1332</v>
      </c>
      <c r="C220" s="2" t="s">
        <v>2238</v>
      </c>
      <c r="D220" s="2" t="s">
        <v>1653</v>
      </c>
      <c r="E220" s="2" t="s">
        <v>1333</v>
      </c>
    </row>
    <row r="221" spans="1:5" x14ac:dyDescent="0.35">
      <c r="A221" s="2" t="s">
        <v>1332</v>
      </c>
      <c r="B221" s="2" t="s">
        <v>1332</v>
      </c>
      <c r="C221" s="2" t="s">
        <v>2236</v>
      </c>
      <c r="D221" s="2" t="s">
        <v>1333</v>
      </c>
      <c r="E221" s="2" t="s">
        <v>1333</v>
      </c>
    </row>
    <row r="222" spans="1:5" x14ac:dyDescent="0.35">
      <c r="A222" s="2" t="s">
        <v>939</v>
      </c>
      <c r="B222" s="2" t="s">
        <v>939</v>
      </c>
      <c r="C222" s="2" t="s">
        <v>2236</v>
      </c>
      <c r="D222" s="2" t="s">
        <v>940</v>
      </c>
      <c r="E222" s="2" t="s">
        <v>940</v>
      </c>
    </row>
    <row r="223" spans="1:5" x14ac:dyDescent="0.35">
      <c r="A223" s="2" t="s">
        <v>1767</v>
      </c>
      <c r="B223" s="2" t="s">
        <v>1515</v>
      </c>
      <c r="C223" s="2" t="s">
        <v>2238</v>
      </c>
      <c r="D223" s="2" t="s">
        <v>1768</v>
      </c>
      <c r="E223" s="2" t="s">
        <v>1516</v>
      </c>
    </row>
    <row r="224" spans="1:5" x14ac:dyDescent="0.35">
      <c r="A224" s="2" t="s">
        <v>1515</v>
      </c>
      <c r="B224" s="2" t="s">
        <v>1515</v>
      </c>
      <c r="C224" s="2" t="s">
        <v>2236</v>
      </c>
      <c r="D224" s="2" t="s">
        <v>1516</v>
      </c>
      <c r="E224" s="2" t="s">
        <v>1516</v>
      </c>
    </row>
    <row r="225" spans="1:5" x14ac:dyDescent="0.35">
      <c r="A225" s="2" t="s">
        <v>1696</v>
      </c>
      <c r="B225" s="2" t="s">
        <v>1696</v>
      </c>
      <c r="C225" s="2" t="s">
        <v>2236</v>
      </c>
      <c r="D225" s="2" t="s">
        <v>1697</v>
      </c>
      <c r="E225" s="2" t="s">
        <v>1697</v>
      </c>
    </row>
    <row r="226" spans="1:5" x14ac:dyDescent="0.35">
      <c r="A226" s="2" t="s">
        <v>783</v>
      </c>
      <c r="B226" s="2" t="s">
        <v>783</v>
      </c>
      <c r="C226" s="2" t="s">
        <v>2236</v>
      </c>
      <c r="D226" s="2" t="s">
        <v>784</v>
      </c>
      <c r="E226" s="2" t="s">
        <v>784</v>
      </c>
    </row>
    <row r="227" spans="1:5" x14ac:dyDescent="0.35">
      <c r="A227" s="2" t="s">
        <v>1870</v>
      </c>
      <c r="B227" s="2" t="s">
        <v>1870</v>
      </c>
      <c r="C227" s="2" t="s">
        <v>2236</v>
      </c>
      <c r="D227" s="2" t="s">
        <v>1871</v>
      </c>
      <c r="E227" s="2" t="s">
        <v>1871</v>
      </c>
    </row>
    <row r="228" spans="1:5" x14ac:dyDescent="0.35">
      <c r="A228" s="2" t="s">
        <v>651</v>
      </c>
      <c r="B228" s="2" t="s">
        <v>651</v>
      </c>
      <c r="C228" s="2" t="s">
        <v>2236</v>
      </c>
      <c r="D228" s="2" t="s">
        <v>652</v>
      </c>
      <c r="E228" s="2" t="s">
        <v>652</v>
      </c>
    </row>
    <row r="229" spans="1:5" x14ac:dyDescent="0.35">
      <c r="A229" s="2" t="s">
        <v>1612</v>
      </c>
      <c r="B229" s="2" t="s">
        <v>1612</v>
      </c>
      <c r="C229" s="2" t="s">
        <v>2236</v>
      </c>
      <c r="D229" s="2" t="s">
        <v>1613</v>
      </c>
      <c r="E229" s="2" t="s">
        <v>1613</v>
      </c>
    </row>
  </sheetData>
  <autoFilter ref="A1:E229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8F00"/>
  </sheetPr>
  <dimension ref="A1:H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44" customWidth="1"/>
    <col min="3" max="3" width="13" customWidth="1"/>
    <col min="4" max="4" width="10" customWidth="1"/>
    <col min="5" max="5" width="44" customWidth="1"/>
    <col min="6" max="6" width="13" customWidth="1"/>
    <col min="7" max="7" width="11" customWidth="1"/>
    <col min="8" max="8" width="58" customWidth="1"/>
  </cols>
  <sheetData>
    <row r="1" spans="1:8" x14ac:dyDescent="0.35">
      <c r="A1" s="1" t="s">
        <v>2239</v>
      </c>
      <c r="B1" s="1" t="s">
        <v>2240</v>
      </c>
      <c r="C1" s="1" t="s">
        <v>2241</v>
      </c>
      <c r="D1" s="1" t="s">
        <v>2242</v>
      </c>
      <c r="E1" s="1" t="s">
        <v>2243</v>
      </c>
      <c r="F1" s="1" t="s">
        <v>2244</v>
      </c>
      <c r="G1" s="1" t="s">
        <v>2245</v>
      </c>
      <c r="H1" s="1" t="s">
        <v>2246</v>
      </c>
    </row>
    <row r="2" spans="1:8" x14ac:dyDescent="0.35">
      <c r="A2" s="2" t="s">
        <v>598</v>
      </c>
      <c r="B2" s="2" t="s">
        <v>599</v>
      </c>
      <c r="C2" s="2" t="s">
        <v>600</v>
      </c>
      <c r="D2" s="2" t="s">
        <v>1870</v>
      </c>
      <c r="E2" s="2" t="s">
        <v>1871</v>
      </c>
      <c r="F2" s="2"/>
      <c r="G2" s="2" t="s">
        <v>2247</v>
      </c>
      <c r="H2" s="2" t="s">
        <v>2248</v>
      </c>
    </row>
    <row r="3" spans="1:8" x14ac:dyDescent="0.35">
      <c r="A3" s="2" t="s">
        <v>371</v>
      </c>
      <c r="B3" s="2" t="s">
        <v>372</v>
      </c>
      <c r="C3" s="2"/>
      <c r="D3" s="2" t="s">
        <v>651</v>
      </c>
      <c r="E3" s="2" t="s">
        <v>652</v>
      </c>
      <c r="F3" s="2"/>
      <c r="G3" s="2" t="s">
        <v>2249</v>
      </c>
      <c r="H3" s="2" t="s">
        <v>2248</v>
      </c>
    </row>
    <row r="4" spans="1:8" x14ac:dyDescent="0.35">
      <c r="A4" s="2" t="s">
        <v>1479</v>
      </c>
      <c r="B4" s="2" t="s">
        <v>1480</v>
      </c>
      <c r="C4" s="2" t="s">
        <v>1481</v>
      </c>
      <c r="D4" s="2" t="s">
        <v>1612</v>
      </c>
      <c r="E4" s="2" t="s">
        <v>1613</v>
      </c>
      <c r="F4" s="2"/>
      <c r="G4" s="2" t="s">
        <v>2250</v>
      </c>
      <c r="H4" s="2" t="s">
        <v>2248</v>
      </c>
    </row>
    <row r="5" spans="1:8" x14ac:dyDescent="0.35">
      <c r="A5" s="2" t="s">
        <v>760</v>
      </c>
      <c r="B5" s="2" t="s">
        <v>761</v>
      </c>
      <c r="C5" s="2" t="s">
        <v>762</v>
      </c>
      <c r="D5" s="2" t="s">
        <v>1289</v>
      </c>
      <c r="E5" s="2" t="s">
        <v>1290</v>
      </c>
      <c r="F5" s="2" t="s">
        <v>1291</v>
      </c>
      <c r="G5" s="2" t="s">
        <v>2251</v>
      </c>
      <c r="H5" s="2" t="s">
        <v>2252</v>
      </c>
    </row>
    <row r="6" spans="1:8" x14ac:dyDescent="0.35">
      <c r="A6" s="2" t="s">
        <v>1112</v>
      </c>
      <c r="B6" s="2" t="s">
        <v>1113</v>
      </c>
      <c r="C6" s="2" t="s">
        <v>1114</v>
      </c>
      <c r="D6" s="2" t="s">
        <v>196</v>
      </c>
      <c r="E6" s="2" t="s">
        <v>197</v>
      </c>
      <c r="F6" s="2" t="s">
        <v>198</v>
      </c>
      <c r="G6" s="2" t="s">
        <v>2253</v>
      </c>
      <c r="H6" s="2" t="s">
        <v>2252</v>
      </c>
    </row>
    <row r="7" spans="1:8" x14ac:dyDescent="0.35">
      <c r="A7" s="2" t="s">
        <v>1940</v>
      </c>
      <c r="B7" s="2" t="s">
        <v>1941</v>
      </c>
      <c r="C7" s="2" t="s">
        <v>1942</v>
      </c>
      <c r="D7" s="2" t="s">
        <v>1688</v>
      </c>
      <c r="E7" s="2" t="s">
        <v>1689</v>
      </c>
      <c r="F7" s="2" t="s">
        <v>1690</v>
      </c>
      <c r="G7" s="2" t="s">
        <v>2254</v>
      </c>
      <c r="H7" s="2" t="s">
        <v>2252</v>
      </c>
    </row>
    <row r="8" spans="1:8" x14ac:dyDescent="0.35">
      <c r="A8" s="2" t="s">
        <v>693</v>
      </c>
      <c r="B8" s="2" t="s">
        <v>694</v>
      </c>
      <c r="C8" s="2" t="s">
        <v>695</v>
      </c>
      <c r="D8" s="2" t="s">
        <v>1297</v>
      </c>
      <c r="E8" s="2" t="s">
        <v>1298</v>
      </c>
      <c r="F8" s="2" t="s">
        <v>1299</v>
      </c>
      <c r="G8" s="2" t="s">
        <v>2255</v>
      </c>
      <c r="H8" s="2" t="s">
        <v>2252</v>
      </c>
    </row>
    <row r="9" spans="1:8" x14ac:dyDescent="0.35">
      <c r="A9" s="2" t="s">
        <v>633</v>
      </c>
      <c r="B9" s="2" t="s">
        <v>634</v>
      </c>
      <c r="C9" s="2" t="s">
        <v>2106</v>
      </c>
      <c r="D9" s="2" t="s">
        <v>783</v>
      </c>
      <c r="E9" s="2" t="s">
        <v>784</v>
      </c>
      <c r="F9" s="2"/>
      <c r="G9" s="2" t="s">
        <v>2256</v>
      </c>
      <c r="H9" s="2" t="s">
        <v>2248</v>
      </c>
    </row>
    <row r="10" spans="1:8" x14ac:dyDescent="0.35">
      <c r="A10" s="2" t="s">
        <v>1078</v>
      </c>
      <c r="B10" s="2" t="s">
        <v>1079</v>
      </c>
      <c r="C10" s="2"/>
      <c r="D10" s="2" t="s">
        <v>1696</v>
      </c>
      <c r="E10" s="2" t="s">
        <v>1697</v>
      </c>
      <c r="F10" s="2"/>
      <c r="G10" s="2" t="s">
        <v>2257</v>
      </c>
      <c r="H10" s="2" t="s">
        <v>2248</v>
      </c>
    </row>
  </sheetData>
  <autoFilter ref="A1:H10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</sheetPr>
  <dimension ref="A1:G8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44" customWidth="1"/>
    <col min="3" max="3" width="10" customWidth="1"/>
    <col min="4" max="4" width="62" customWidth="1"/>
    <col min="5" max="5" width="11" customWidth="1"/>
    <col min="6" max="6" width="10" customWidth="1"/>
    <col min="7" max="7" width="70" customWidth="1"/>
  </cols>
  <sheetData>
    <row r="1" spans="1:7" ht="26" x14ac:dyDescent="0.35">
      <c r="A1" s="1" t="s">
        <v>103</v>
      </c>
      <c r="B1" s="1" t="s">
        <v>104</v>
      </c>
      <c r="C1" s="1" t="s">
        <v>105</v>
      </c>
      <c r="D1" s="1" t="s">
        <v>2258</v>
      </c>
      <c r="E1" s="1" t="s">
        <v>107</v>
      </c>
      <c r="F1" s="1" t="s">
        <v>2259</v>
      </c>
      <c r="G1" s="1" t="s">
        <v>2260</v>
      </c>
    </row>
    <row r="2" spans="1:7" x14ac:dyDescent="0.35">
      <c r="A2" s="2" t="s">
        <v>1364</v>
      </c>
      <c r="B2" s="2" t="s">
        <v>1365</v>
      </c>
      <c r="C2" s="2" t="s">
        <v>121</v>
      </c>
      <c r="D2" s="2" t="s">
        <v>2261</v>
      </c>
      <c r="E2" s="2" t="s">
        <v>2262</v>
      </c>
      <c r="F2" s="2" t="s">
        <v>60</v>
      </c>
      <c r="G2" s="2" t="s">
        <v>2263</v>
      </c>
    </row>
    <row r="3" spans="1:7" x14ac:dyDescent="0.35">
      <c r="A3" s="2" t="s">
        <v>783</v>
      </c>
      <c r="B3" s="2" t="s">
        <v>784</v>
      </c>
      <c r="C3" s="2" t="s">
        <v>121</v>
      </c>
      <c r="D3" s="2" t="s">
        <v>2264</v>
      </c>
      <c r="E3" s="2" t="s">
        <v>2262</v>
      </c>
      <c r="F3" s="2" t="s">
        <v>60</v>
      </c>
      <c r="G3" s="2" t="s">
        <v>2263</v>
      </c>
    </row>
    <row r="4" spans="1:7" x14ac:dyDescent="0.35">
      <c r="A4" s="2" t="s">
        <v>1167</v>
      </c>
      <c r="B4" s="2" t="s">
        <v>1168</v>
      </c>
      <c r="C4" s="2" t="s">
        <v>121</v>
      </c>
      <c r="D4" s="2" t="s">
        <v>2265</v>
      </c>
      <c r="E4" s="2" t="s">
        <v>2266</v>
      </c>
      <c r="F4" s="2" t="s">
        <v>60</v>
      </c>
      <c r="G4" s="2" t="s">
        <v>2263</v>
      </c>
    </row>
    <row r="5" spans="1:7" x14ac:dyDescent="0.35">
      <c r="A5" s="2" t="s">
        <v>582</v>
      </c>
      <c r="B5" s="2" t="s">
        <v>583</v>
      </c>
      <c r="C5" s="2" t="s">
        <v>121</v>
      </c>
      <c r="D5" s="2" t="s">
        <v>2267</v>
      </c>
      <c r="E5" s="2" t="s">
        <v>2266</v>
      </c>
      <c r="F5" s="2" t="s">
        <v>60</v>
      </c>
      <c r="G5" s="2" t="s">
        <v>2263</v>
      </c>
    </row>
    <row r="6" spans="1:7" x14ac:dyDescent="0.35">
      <c r="A6" s="2" t="s">
        <v>371</v>
      </c>
      <c r="B6" s="2" t="s">
        <v>372</v>
      </c>
      <c r="C6" s="2" t="s">
        <v>121</v>
      </c>
      <c r="D6" s="2" t="s">
        <v>2268</v>
      </c>
      <c r="E6" s="2" t="s">
        <v>2266</v>
      </c>
      <c r="F6" s="2" t="s">
        <v>60</v>
      </c>
      <c r="G6" s="2" t="s">
        <v>2263</v>
      </c>
    </row>
    <row r="7" spans="1:7" x14ac:dyDescent="0.35">
      <c r="A7" s="2" t="s">
        <v>1273</v>
      </c>
      <c r="B7" s="2" t="s">
        <v>1274</v>
      </c>
      <c r="C7" s="2" t="s">
        <v>121</v>
      </c>
      <c r="D7" s="2" t="s">
        <v>2267</v>
      </c>
      <c r="E7" s="2" t="s">
        <v>2266</v>
      </c>
      <c r="F7" s="2" t="s">
        <v>60</v>
      </c>
      <c r="G7" s="2" t="s">
        <v>2263</v>
      </c>
    </row>
    <row r="8" spans="1:7" x14ac:dyDescent="0.35">
      <c r="A8" s="2" t="s">
        <v>1837</v>
      </c>
      <c r="B8" s="2" t="s">
        <v>1838</v>
      </c>
      <c r="C8" s="2" t="s">
        <v>121</v>
      </c>
      <c r="D8" s="2" t="s">
        <v>2269</v>
      </c>
      <c r="E8" s="2" t="s">
        <v>2266</v>
      </c>
      <c r="F8" s="2" t="s">
        <v>60</v>
      </c>
      <c r="G8" s="2" t="s">
        <v>2263</v>
      </c>
    </row>
    <row r="9" spans="1:7" x14ac:dyDescent="0.35">
      <c r="A9" s="2" t="s">
        <v>676</v>
      </c>
      <c r="B9" s="2" t="s">
        <v>677</v>
      </c>
      <c r="C9" s="2" t="s">
        <v>142</v>
      </c>
      <c r="D9" s="2" t="s">
        <v>2270</v>
      </c>
      <c r="E9" s="2" t="s">
        <v>2266</v>
      </c>
      <c r="F9" s="2" t="s">
        <v>60</v>
      </c>
      <c r="G9" s="2" t="s">
        <v>2263</v>
      </c>
    </row>
    <row r="10" spans="1:7" x14ac:dyDescent="0.35">
      <c r="A10" s="2" t="s">
        <v>1054</v>
      </c>
      <c r="B10" s="2" t="s">
        <v>1055</v>
      </c>
      <c r="C10" s="2" t="s">
        <v>121</v>
      </c>
      <c r="D10" s="2" t="s">
        <v>2271</v>
      </c>
      <c r="E10" s="2" t="s">
        <v>2266</v>
      </c>
      <c r="F10" s="2" t="s">
        <v>60</v>
      </c>
      <c r="G10" s="2" t="s">
        <v>2263</v>
      </c>
    </row>
    <row r="11" spans="1:7" x14ac:dyDescent="0.35">
      <c r="A11" s="2" t="s">
        <v>1002</v>
      </c>
      <c r="B11" s="2" t="s">
        <v>1003</v>
      </c>
      <c r="C11" s="2" t="s">
        <v>121</v>
      </c>
      <c r="D11" s="2" t="s">
        <v>2268</v>
      </c>
      <c r="E11" s="2" t="s">
        <v>2266</v>
      </c>
      <c r="F11" s="2" t="s">
        <v>60</v>
      </c>
      <c r="G11" s="2" t="s">
        <v>2263</v>
      </c>
    </row>
    <row r="12" spans="1:7" x14ac:dyDescent="0.35">
      <c r="A12" s="2" t="s">
        <v>1078</v>
      </c>
      <c r="B12" s="2" t="s">
        <v>1079</v>
      </c>
      <c r="C12" s="2" t="s">
        <v>121</v>
      </c>
      <c r="D12" s="2" t="s">
        <v>2272</v>
      </c>
      <c r="E12" s="2" t="s">
        <v>2266</v>
      </c>
      <c r="F12" s="2" t="s">
        <v>60</v>
      </c>
      <c r="G12" s="2" t="s">
        <v>2263</v>
      </c>
    </row>
    <row r="13" spans="1:7" x14ac:dyDescent="0.35">
      <c r="A13" s="2" t="s">
        <v>1191</v>
      </c>
      <c r="B13" s="2" t="s">
        <v>1192</v>
      </c>
      <c r="C13" s="2" t="s">
        <v>142</v>
      </c>
      <c r="D13" s="2" t="s">
        <v>2269</v>
      </c>
      <c r="E13" s="2" t="s">
        <v>2266</v>
      </c>
      <c r="F13" s="2" t="s">
        <v>60</v>
      </c>
      <c r="G13" s="2" t="s">
        <v>2263</v>
      </c>
    </row>
    <row r="14" spans="1:7" x14ac:dyDescent="0.35">
      <c r="A14" s="2" t="s">
        <v>651</v>
      </c>
      <c r="B14" s="2" t="s">
        <v>652</v>
      </c>
      <c r="C14" s="2" t="s">
        <v>121</v>
      </c>
      <c r="D14" s="2" t="s">
        <v>2273</v>
      </c>
      <c r="E14" s="2" t="s">
        <v>2266</v>
      </c>
      <c r="F14" s="2" t="s">
        <v>60</v>
      </c>
      <c r="G14" s="2" t="s">
        <v>2263</v>
      </c>
    </row>
    <row r="15" spans="1:7" x14ac:dyDescent="0.35">
      <c r="A15" s="2" t="s">
        <v>1974</v>
      </c>
      <c r="B15" s="2" t="s">
        <v>1975</v>
      </c>
      <c r="C15" s="2" t="s">
        <v>121</v>
      </c>
      <c r="D15" s="2" t="s">
        <v>2274</v>
      </c>
      <c r="E15" s="2" t="s">
        <v>2275</v>
      </c>
      <c r="F15" s="2" t="s">
        <v>60</v>
      </c>
      <c r="G15" s="2" t="s">
        <v>2263</v>
      </c>
    </row>
    <row r="16" spans="1:7" x14ac:dyDescent="0.35">
      <c r="A16" s="2" t="s">
        <v>986</v>
      </c>
      <c r="B16" s="2" t="s">
        <v>987</v>
      </c>
      <c r="C16" s="2" t="s">
        <v>121</v>
      </c>
      <c r="D16" s="2" t="s">
        <v>2276</v>
      </c>
      <c r="E16" s="2" t="s">
        <v>2275</v>
      </c>
      <c r="F16" s="2" t="s">
        <v>60</v>
      </c>
      <c r="G16" s="2" t="s">
        <v>2263</v>
      </c>
    </row>
    <row r="17" spans="1:7" x14ac:dyDescent="0.35">
      <c r="A17" s="2" t="s">
        <v>896</v>
      </c>
      <c r="B17" s="2" t="s">
        <v>897</v>
      </c>
      <c r="C17" s="2" t="s">
        <v>121</v>
      </c>
      <c r="D17" s="2" t="s">
        <v>2277</v>
      </c>
      <c r="E17" s="2" t="s">
        <v>2275</v>
      </c>
      <c r="F17" s="2" t="s">
        <v>60</v>
      </c>
      <c r="G17" s="2" t="s">
        <v>2263</v>
      </c>
    </row>
    <row r="18" spans="1:7" x14ac:dyDescent="0.35">
      <c r="A18" s="2" t="s">
        <v>1341</v>
      </c>
      <c r="B18" s="2" t="s">
        <v>1342</v>
      </c>
      <c r="C18" s="2" t="s">
        <v>121</v>
      </c>
      <c r="D18" s="2" t="s">
        <v>2278</v>
      </c>
      <c r="E18" s="2" t="s">
        <v>2275</v>
      </c>
      <c r="F18" s="2" t="s">
        <v>60</v>
      </c>
      <c r="G18" s="2" t="s">
        <v>2263</v>
      </c>
    </row>
    <row r="19" spans="1:7" x14ac:dyDescent="0.35">
      <c r="A19" s="2" t="s">
        <v>528</v>
      </c>
      <c r="B19" s="2" t="s">
        <v>529</v>
      </c>
      <c r="C19" s="2" t="s">
        <v>121</v>
      </c>
      <c r="D19" s="2" t="s">
        <v>2279</v>
      </c>
      <c r="E19" s="2" t="s">
        <v>2275</v>
      </c>
      <c r="F19" s="2" t="s">
        <v>60</v>
      </c>
      <c r="G19" s="2" t="s">
        <v>2263</v>
      </c>
    </row>
    <row r="20" spans="1:7" x14ac:dyDescent="0.35">
      <c r="A20" s="2" t="s">
        <v>947</v>
      </c>
      <c r="B20" s="2" t="s">
        <v>948</v>
      </c>
      <c r="C20" s="2" t="s">
        <v>121</v>
      </c>
      <c r="D20" s="2" t="s">
        <v>2280</v>
      </c>
      <c r="E20" s="2" t="s">
        <v>2275</v>
      </c>
      <c r="F20" s="2" t="s">
        <v>60</v>
      </c>
      <c r="G20" s="2" t="s">
        <v>2263</v>
      </c>
    </row>
    <row r="21" spans="1:7" x14ac:dyDescent="0.35">
      <c r="A21" s="2" t="s">
        <v>493</v>
      </c>
      <c r="B21" s="2" t="s">
        <v>494</v>
      </c>
      <c r="C21" s="2" t="s">
        <v>121</v>
      </c>
      <c r="D21" s="2" t="s">
        <v>2281</v>
      </c>
      <c r="E21" s="2" t="s">
        <v>2275</v>
      </c>
      <c r="F21" s="2" t="s">
        <v>60</v>
      </c>
      <c r="G21" s="2" t="s">
        <v>2263</v>
      </c>
    </row>
    <row r="22" spans="1:7" x14ac:dyDescent="0.35">
      <c r="A22" s="2" t="s">
        <v>1314</v>
      </c>
      <c r="B22" s="2" t="s">
        <v>1315</v>
      </c>
      <c r="C22" s="2" t="s">
        <v>121</v>
      </c>
      <c r="D22" s="2" t="s">
        <v>2282</v>
      </c>
      <c r="E22" s="2" t="s">
        <v>2275</v>
      </c>
      <c r="F22" s="2" t="s">
        <v>60</v>
      </c>
      <c r="G22" s="2" t="s">
        <v>2263</v>
      </c>
    </row>
    <row r="23" spans="1:7" x14ac:dyDescent="0.35">
      <c r="A23" s="2" t="s">
        <v>291</v>
      </c>
      <c r="B23" s="2" t="s">
        <v>292</v>
      </c>
      <c r="C23" s="2" t="s">
        <v>142</v>
      </c>
      <c r="D23" s="2" t="s">
        <v>2283</v>
      </c>
      <c r="E23" s="2" t="s">
        <v>2275</v>
      </c>
      <c r="F23" s="2" t="s">
        <v>60</v>
      </c>
      <c r="G23" s="2" t="s">
        <v>2263</v>
      </c>
    </row>
    <row r="24" spans="1:7" x14ac:dyDescent="0.35">
      <c r="A24" s="2" t="s">
        <v>701</v>
      </c>
      <c r="B24" s="2" t="s">
        <v>702</v>
      </c>
      <c r="C24" s="2" t="s">
        <v>142</v>
      </c>
      <c r="D24" s="2" t="s">
        <v>2284</v>
      </c>
      <c r="E24" s="2" t="s">
        <v>2275</v>
      </c>
      <c r="F24" s="2" t="s">
        <v>60</v>
      </c>
      <c r="G24" s="2" t="s">
        <v>2263</v>
      </c>
    </row>
    <row r="25" spans="1:7" x14ac:dyDescent="0.35">
      <c r="A25" s="2" t="s">
        <v>1227</v>
      </c>
      <c r="B25" s="2" t="s">
        <v>1228</v>
      </c>
      <c r="C25" s="2" t="s">
        <v>121</v>
      </c>
      <c r="D25" s="2" t="s">
        <v>2274</v>
      </c>
      <c r="E25" s="2" t="s">
        <v>2275</v>
      </c>
      <c r="F25" s="2" t="s">
        <v>60</v>
      </c>
      <c r="G25" s="2" t="s">
        <v>2263</v>
      </c>
    </row>
    <row r="26" spans="1:7" x14ac:dyDescent="0.35">
      <c r="A26" s="2" t="s">
        <v>1845</v>
      </c>
      <c r="B26" s="2" t="s">
        <v>1846</v>
      </c>
      <c r="C26" s="2" t="s">
        <v>121</v>
      </c>
      <c r="D26" s="2" t="s">
        <v>2274</v>
      </c>
      <c r="E26" s="2" t="s">
        <v>2275</v>
      </c>
      <c r="F26" s="2" t="s">
        <v>60</v>
      </c>
      <c r="G26" s="2" t="s">
        <v>2263</v>
      </c>
    </row>
    <row r="27" spans="1:7" x14ac:dyDescent="0.35">
      <c r="A27" s="2" t="s">
        <v>1583</v>
      </c>
      <c r="B27" s="2" t="s">
        <v>1584</v>
      </c>
      <c r="C27" s="2" t="s">
        <v>121</v>
      </c>
      <c r="D27" s="2" t="s">
        <v>2280</v>
      </c>
      <c r="E27" s="2" t="s">
        <v>2275</v>
      </c>
      <c r="F27" s="2" t="s">
        <v>60</v>
      </c>
      <c r="G27" s="2" t="s">
        <v>2263</v>
      </c>
    </row>
    <row r="28" spans="1:7" x14ac:dyDescent="0.35">
      <c r="A28" s="2" t="s">
        <v>1257</v>
      </c>
      <c r="B28" s="2" t="s">
        <v>1258</v>
      </c>
      <c r="C28" s="2" t="s">
        <v>121</v>
      </c>
      <c r="D28" s="2" t="s">
        <v>2285</v>
      </c>
      <c r="E28" s="2" t="s">
        <v>2275</v>
      </c>
      <c r="F28" s="2" t="s">
        <v>60</v>
      </c>
      <c r="G28" s="2" t="s">
        <v>2263</v>
      </c>
    </row>
    <row r="29" spans="1:7" x14ac:dyDescent="0.35">
      <c r="A29" s="2" t="s">
        <v>1173</v>
      </c>
      <c r="B29" s="2" t="s">
        <v>1174</v>
      </c>
      <c r="C29" s="2" t="s">
        <v>142</v>
      </c>
      <c r="D29" s="2" t="s">
        <v>2280</v>
      </c>
      <c r="E29" s="2" t="s">
        <v>2275</v>
      </c>
      <c r="F29" s="2" t="s">
        <v>60</v>
      </c>
      <c r="G29" s="2" t="s">
        <v>2263</v>
      </c>
    </row>
    <row r="30" spans="1:7" x14ac:dyDescent="0.35">
      <c r="A30" s="2" t="s">
        <v>887</v>
      </c>
      <c r="B30" s="2" t="s">
        <v>888</v>
      </c>
      <c r="C30" s="2" t="s">
        <v>121</v>
      </c>
      <c r="D30" s="2" t="s">
        <v>2280</v>
      </c>
      <c r="E30" s="2" t="s">
        <v>2275</v>
      </c>
      <c r="F30" s="2" t="s">
        <v>60</v>
      </c>
      <c r="G30" s="2" t="s">
        <v>2263</v>
      </c>
    </row>
    <row r="31" spans="1:7" x14ac:dyDescent="0.35">
      <c r="A31" s="2" t="s">
        <v>870</v>
      </c>
      <c r="B31" s="2" t="s">
        <v>871</v>
      </c>
      <c r="C31" s="2" t="s">
        <v>121</v>
      </c>
      <c r="D31" s="2" t="s">
        <v>2277</v>
      </c>
      <c r="E31" s="2" t="s">
        <v>2275</v>
      </c>
      <c r="F31" s="2" t="s">
        <v>60</v>
      </c>
      <c r="G31" s="2" t="s">
        <v>2263</v>
      </c>
    </row>
    <row r="32" spans="1:7" x14ac:dyDescent="0.35">
      <c r="A32" s="2" t="s">
        <v>1591</v>
      </c>
      <c r="B32" s="2" t="s">
        <v>2206</v>
      </c>
      <c r="C32" s="2" t="s">
        <v>121</v>
      </c>
      <c r="D32" s="2" t="s">
        <v>2286</v>
      </c>
      <c r="E32" s="2" t="s">
        <v>2275</v>
      </c>
      <c r="F32" s="2" t="s">
        <v>60</v>
      </c>
      <c r="G32" s="2" t="s">
        <v>2263</v>
      </c>
    </row>
    <row r="33" spans="1:7" x14ac:dyDescent="0.35">
      <c r="A33" s="2" t="s">
        <v>264</v>
      </c>
      <c r="B33" s="2" t="s">
        <v>265</v>
      </c>
      <c r="C33" s="2" t="s">
        <v>142</v>
      </c>
      <c r="D33" s="2" t="s">
        <v>2287</v>
      </c>
      <c r="E33" s="2" t="s">
        <v>2275</v>
      </c>
      <c r="F33" s="2" t="s">
        <v>60</v>
      </c>
      <c r="G33" s="2" t="s">
        <v>2263</v>
      </c>
    </row>
    <row r="34" spans="1:7" x14ac:dyDescent="0.35">
      <c r="A34" s="2" t="s">
        <v>939</v>
      </c>
      <c r="B34" s="2" t="s">
        <v>940</v>
      </c>
      <c r="C34" s="2" t="s">
        <v>121</v>
      </c>
      <c r="D34" s="2" t="s">
        <v>2274</v>
      </c>
      <c r="E34" s="2" t="s">
        <v>2275</v>
      </c>
      <c r="F34" s="2" t="s">
        <v>60</v>
      </c>
      <c r="G34" s="2" t="s">
        <v>2263</v>
      </c>
    </row>
    <row r="35" spans="1:7" x14ac:dyDescent="0.35">
      <c r="A35" s="2" t="s">
        <v>1696</v>
      </c>
      <c r="B35" s="2" t="s">
        <v>1697</v>
      </c>
      <c r="C35" s="2" t="s">
        <v>121</v>
      </c>
      <c r="D35" s="2" t="s">
        <v>2278</v>
      </c>
      <c r="E35" s="2" t="s">
        <v>2275</v>
      </c>
      <c r="F35" s="2" t="s">
        <v>60</v>
      </c>
      <c r="G35" s="2" t="s">
        <v>2263</v>
      </c>
    </row>
    <row r="36" spans="1:7" x14ac:dyDescent="0.35">
      <c r="A36" s="2" t="s">
        <v>1870</v>
      </c>
      <c r="B36" s="2" t="s">
        <v>1871</v>
      </c>
      <c r="C36" s="2" t="s">
        <v>121</v>
      </c>
      <c r="D36" s="2" t="s">
        <v>2278</v>
      </c>
      <c r="E36" s="2" t="s">
        <v>2275</v>
      </c>
      <c r="F36" s="2" t="s">
        <v>60</v>
      </c>
      <c r="G36" s="2" t="s">
        <v>2263</v>
      </c>
    </row>
    <row r="37" spans="1:7" x14ac:dyDescent="0.35">
      <c r="A37" s="2" t="s">
        <v>1612</v>
      </c>
      <c r="B37" s="2" t="s">
        <v>1613</v>
      </c>
      <c r="C37" s="2" t="s">
        <v>142</v>
      </c>
      <c r="D37" s="2" t="s">
        <v>2278</v>
      </c>
      <c r="E37" s="2" t="s">
        <v>2275</v>
      </c>
      <c r="F37" s="2" t="s">
        <v>60</v>
      </c>
      <c r="G37" s="2" t="s">
        <v>2263</v>
      </c>
    </row>
    <row r="38" spans="1:7" x14ac:dyDescent="0.35">
      <c r="A38" s="2" t="s">
        <v>1853</v>
      </c>
      <c r="B38" s="2" t="s">
        <v>1854</v>
      </c>
      <c r="C38" s="2" t="s">
        <v>121</v>
      </c>
      <c r="D38" s="2" t="s">
        <v>2288</v>
      </c>
      <c r="E38" s="2" t="s">
        <v>2289</v>
      </c>
      <c r="F38" s="2" t="s">
        <v>60</v>
      </c>
      <c r="G38" s="2" t="s">
        <v>2263</v>
      </c>
    </row>
    <row r="39" spans="1:7" x14ac:dyDescent="0.35">
      <c r="A39" s="2" t="s">
        <v>1806</v>
      </c>
      <c r="B39" s="2" t="s">
        <v>1807</v>
      </c>
      <c r="C39" s="2" t="s">
        <v>121</v>
      </c>
      <c r="D39" s="2" t="s">
        <v>2290</v>
      </c>
      <c r="E39" s="2" t="s">
        <v>2289</v>
      </c>
      <c r="F39" s="2" t="s">
        <v>60</v>
      </c>
      <c r="G39" s="2" t="s">
        <v>2263</v>
      </c>
    </row>
    <row r="40" spans="1:7" x14ac:dyDescent="0.35">
      <c r="A40" s="2" t="s">
        <v>978</v>
      </c>
      <c r="B40" s="2" t="s">
        <v>979</v>
      </c>
      <c r="C40" s="2" t="s">
        <v>121</v>
      </c>
      <c r="D40" s="2" t="s">
        <v>2291</v>
      </c>
      <c r="E40" s="2" t="s">
        <v>2289</v>
      </c>
      <c r="F40" s="2" t="s">
        <v>60</v>
      </c>
      <c r="G40" s="2" t="s">
        <v>2263</v>
      </c>
    </row>
    <row r="41" spans="1:7" x14ac:dyDescent="0.35">
      <c r="A41" s="2" t="s">
        <v>598</v>
      </c>
      <c r="B41" s="2" t="s">
        <v>599</v>
      </c>
      <c r="C41" s="2" t="s">
        <v>121</v>
      </c>
      <c r="D41" s="2" t="s">
        <v>2288</v>
      </c>
      <c r="E41" s="2" t="s">
        <v>2289</v>
      </c>
      <c r="F41" s="2" t="s">
        <v>60</v>
      </c>
      <c r="G41" s="2" t="s">
        <v>2263</v>
      </c>
    </row>
    <row r="42" spans="1:7" x14ac:dyDescent="0.35">
      <c r="A42" s="2" t="s">
        <v>1378</v>
      </c>
      <c r="B42" s="2" t="s">
        <v>1379</v>
      </c>
      <c r="C42" s="2" t="s">
        <v>121</v>
      </c>
      <c r="D42" s="2" t="s">
        <v>2291</v>
      </c>
      <c r="E42" s="2" t="s">
        <v>2289</v>
      </c>
      <c r="F42" s="2" t="s">
        <v>60</v>
      </c>
      <c r="G42" s="2" t="s">
        <v>2263</v>
      </c>
    </row>
    <row r="43" spans="1:7" x14ac:dyDescent="0.35">
      <c r="A43" s="2" t="s">
        <v>708</v>
      </c>
      <c r="B43" s="2" t="s">
        <v>709</v>
      </c>
      <c r="C43" s="2" t="s">
        <v>121</v>
      </c>
      <c r="D43" s="2" t="s">
        <v>2291</v>
      </c>
      <c r="E43" s="2" t="s">
        <v>2289</v>
      </c>
      <c r="F43" s="2" t="s">
        <v>60</v>
      </c>
      <c r="G43" s="2" t="s">
        <v>2263</v>
      </c>
    </row>
    <row r="44" spans="1:7" x14ac:dyDescent="0.35">
      <c r="A44" s="2" t="s">
        <v>574</v>
      </c>
      <c r="B44" s="2" t="s">
        <v>575</v>
      </c>
      <c r="C44" s="2" t="s">
        <v>121</v>
      </c>
      <c r="D44" s="2" t="s">
        <v>2291</v>
      </c>
      <c r="E44" s="2" t="s">
        <v>2289</v>
      </c>
      <c r="F44" s="2" t="s">
        <v>60</v>
      </c>
      <c r="G44" s="2" t="s">
        <v>2263</v>
      </c>
    </row>
    <row r="45" spans="1:7" x14ac:dyDescent="0.35">
      <c r="A45" s="2" t="s">
        <v>509</v>
      </c>
      <c r="B45" s="2" t="s">
        <v>510</v>
      </c>
      <c r="C45" s="2" t="s">
        <v>121</v>
      </c>
      <c r="D45" s="2" t="s">
        <v>2290</v>
      </c>
      <c r="E45" s="2" t="s">
        <v>2289</v>
      </c>
      <c r="F45" s="2" t="s">
        <v>60</v>
      </c>
      <c r="G45" s="2" t="s">
        <v>2263</v>
      </c>
    </row>
    <row r="46" spans="1:7" x14ac:dyDescent="0.35">
      <c r="A46" s="2" t="s">
        <v>722</v>
      </c>
      <c r="B46" s="2" t="s">
        <v>723</v>
      </c>
      <c r="C46" s="2" t="s">
        <v>121</v>
      </c>
      <c r="D46" s="2" t="s">
        <v>2288</v>
      </c>
      <c r="E46" s="2" t="s">
        <v>2289</v>
      </c>
      <c r="F46" s="2" t="s">
        <v>60</v>
      </c>
      <c r="G46" s="2" t="s">
        <v>2263</v>
      </c>
    </row>
    <row r="47" spans="1:7" x14ac:dyDescent="0.35">
      <c r="A47" s="2" t="s">
        <v>730</v>
      </c>
      <c r="B47" s="2" t="s">
        <v>731</v>
      </c>
      <c r="C47" s="2" t="s">
        <v>121</v>
      </c>
      <c r="D47" s="2" t="s">
        <v>2290</v>
      </c>
      <c r="E47" s="2" t="s">
        <v>2289</v>
      </c>
      <c r="F47" s="2" t="s">
        <v>60</v>
      </c>
      <c r="G47" s="2" t="s">
        <v>2263</v>
      </c>
    </row>
    <row r="48" spans="1:7" x14ac:dyDescent="0.35">
      <c r="A48" s="2" t="s">
        <v>1211</v>
      </c>
      <c r="B48" s="2" t="s">
        <v>1212</v>
      </c>
      <c r="C48" s="2" t="s">
        <v>121</v>
      </c>
      <c r="D48" s="2" t="s">
        <v>2292</v>
      </c>
      <c r="E48" s="2" t="s">
        <v>2289</v>
      </c>
      <c r="F48" s="2" t="s">
        <v>60</v>
      </c>
      <c r="G48" s="2" t="s">
        <v>2263</v>
      </c>
    </row>
    <row r="49" spans="1:7" x14ac:dyDescent="0.35">
      <c r="A49" s="2" t="s">
        <v>1710</v>
      </c>
      <c r="B49" s="2" t="s">
        <v>2069</v>
      </c>
      <c r="C49" s="2" t="s">
        <v>121</v>
      </c>
      <c r="D49" s="2" t="s">
        <v>2293</v>
      </c>
      <c r="E49" s="2" t="s">
        <v>2289</v>
      </c>
      <c r="F49" s="2" t="s">
        <v>60</v>
      </c>
      <c r="G49" s="2" t="s">
        <v>2263</v>
      </c>
    </row>
    <row r="50" spans="1:7" x14ac:dyDescent="0.35">
      <c r="A50" s="2" t="s">
        <v>308</v>
      </c>
      <c r="B50" s="2" t="s">
        <v>309</v>
      </c>
      <c r="C50" s="2" t="s">
        <v>121</v>
      </c>
      <c r="D50" s="2" t="s">
        <v>2291</v>
      </c>
      <c r="E50" s="2" t="s">
        <v>2289</v>
      </c>
      <c r="F50" s="2" t="s">
        <v>60</v>
      </c>
      <c r="G50" s="2" t="s">
        <v>2263</v>
      </c>
    </row>
    <row r="51" spans="1:7" x14ac:dyDescent="0.35">
      <c r="A51" s="2" t="s">
        <v>1219</v>
      </c>
      <c r="B51" s="2" t="s">
        <v>1220</v>
      </c>
      <c r="C51" s="2" t="s">
        <v>121</v>
      </c>
      <c r="D51" s="2" t="s">
        <v>2292</v>
      </c>
      <c r="E51" s="2" t="s">
        <v>2289</v>
      </c>
      <c r="F51" s="2" t="s">
        <v>60</v>
      </c>
      <c r="G51" s="2" t="s">
        <v>2263</v>
      </c>
    </row>
    <row r="52" spans="1:7" x14ac:dyDescent="0.35">
      <c r="A52" s="2" t="s">
        <v>1675</v>
      </c>
      <c r="B52" s="2" t="s">
        <v>1676</v>
      </c>
      <c r="C52" s="2" t="s">
        <v>121</v>
      </c>
      <c r="D52" s="2" t="s">
        <v>2293</v>
      </c>
      <c r="E52" s="2" t="s">
        <v>2289</v>
      </c>
      <c r="F52" s="2" t="s">
        <v>60</v>
      </c>
      <c r="G52" s="2" t="s">
        <v>2263</v>
      </c>
    </row>
    <row r="53" spans="1:7" x14ac:dyDescent="0.35">
      <c r="A53" s="2" t="s">
        <v>1422</v>
      </c>
      <c r="B53" s="2" t="s">
        <v>1423</v>
      </c>
      <c r="C53" s="2" t="s">
        <v>121</v>
      </c>
      <c r="D53" s="2" t="s">
        <v>2293</v>
      </c>
      <c r="E53" s="2" t="s">
        <v>2289</v>
      </c>
      <c r="F53" s="2" t="s">
        <v>60</v>
      </c>
      <c r="G53" s="2" t="s">
        <v>2263</v>
      </c>
    </row>
    <row r="54" spans="1:7" x14ac:dyDescent="0.35">
      <c r="A54" s="2" t="s">
        <v>922</v>
      </c>
      <c r="B54" s="2" t="s">
        <v>923</v>
      </c>
      <c r="C54" s="2" t="s">
        <v>121</v>
      </c>
      <c r="D54" s="2" t="s">
        <v>2292</v>
      </c>
      <c r="E54" s="2" t="s">
        <v>2289</v>
      </c>
      <c r="F54" s="2" t="s">
        <v>60</v>
      </c>
      <c r="G54" s="2" t="s">
        <v>2263</v>
      </c>
    </row>
    <row r="55" spans="1:7" x14ac:dyDescent="0.35">
      <c r="A55" s="2" t="s">
        <v>878</v>
      </c>
      <c r="B55" s="2" t="s">
        <v>879</v>
      </c>
      <c r="C55" s="2" t="s">
        <v>121</v>
      </c>
      <c r="D55" s="2" t="s">
        <v>2290</v>
      </c>
      <c r="E55" s="2" t="s">
        <v>2289</v>
      </c>
      <c r="F55" s="2" t="s">
        <v>60</v>
      </c>
      <c r="G55" s="2" t="s">
        <v>2263</v>
      </c>
    </row>
    <row r="56" spans="1:7" x14ac:dyDescent="0.35">
      <c r="A56" s="2" t="s">
        <v>1297</v>
      </c>
      <c r="B56" s="2" t="s">
        <v>1298</v>
      </c>
      <c r="C56" s="2" t="s">
        <v>121</v>
      </c>
      <c r="D56" s="2" t="s">
        <v>2288</v>
      </c>
      <c r="E56" s="2" t="s">
        <v>2289</v>
      </c>
      <c r="F56" s="2" t="s">
        <v>60</v>
      </c>
      <c r="G56" s="2" t="s">
        <v>2263</v>
      </c>
    </row>
    <row r="57" spans="1:7" x14ac:dyDescent="0.35">
      <c r="A57" s="2" t="s">
        <v>123</v>
      </c>
      <c r="B57" s="2" t="s">
        <v>124</v>
      </c>
      <c r="C57" s="2" t="s">
        <v>121</v>
      </c>
      <c r="D57" s="2" t="s">
        <v>2292</v>
      </c>
      <c r="E57" s="2" t="s">
        <v>2289</v>
      </c>
      <c r="F57" s="2" t="s">
        <v>60</v>
      </c>
      <c r="G57" s="2" t="s">
        <v>2263</v>
      </c>
    </row>
    <row r="58" spans="1:7" x14ac:dyDescent="0.35">
      <c r="A58" s="2" t="s">
        <v>1948</v>
      </c>
      <c r="B58" s="2" t="s">
        <v>1949</v>
      </c>
      <c r="C58" s="2" t="s">
        <v>121</v>
      </c>
      <c r="D58" s="2" t="s">
        <v>2288</v>
      </c>
      <c r="E58" s="2" t="s">
        <v>2289</v>
      </c>
      <c r="F58" s="2" t="s">
        <v>60</v>
      </c>
      <c r="G58" s="2" t="s">
        <v>2263</v>
      </c>
    </row>
    <row r="59" spans="1:7" x14ac:dyDescent="0.35">
      <c r="A59" s="2" t="s">
        <v>1643</v>
      </c>
      <c r="B59" s="2" t="s">
        <v>1644</v>
      </c>
      <c r="C59" s="2" t="s">
        <v>121</v>
      </c>
      <c r="D59" s="2" t="s">
        <v>2290</v>
      </c>
      <c r="E59" s="2" t="s">
        <v>2289</v>
      </c>
      <c r="F59" s="2" t="s">
        <v>60</v>
      </c>
      <c r="G59" s="2" t="s">
        <v>2263</v>
      </c>
    </row>
    <row r="60" spans="1:7" x14ac:dyDescent="0.35">
      <c r="A60" s="2" t="s">
        <v>422</v>
      </c>
      <c r="B60" s="2" t="s">
        <v>423</v>
      </c>
      <c r="C60" s="2" t="s">
        <v>121</v>
      </c>
      <c r="D60" s="2" t="s">
        <v>2294</v>
      </c>
      <c r="E60" s="2" t="s">
        <v>2289</v>
      </c>
      <c r="F60" s="2" t="s">
        <v>60</v>
      </c>
      <c r="G60" s="2" t="s">
        <v>2263</v>
      </c>
    </row>
    <row r="61" spans="1:7" x14ac:dyDescent="0.35">
      <c r="A61" s="2" t="s">
        <v>156</v>
      </c>
      <c r="B61" s="2" t="s">
        <v>2137</v>
      </c>
      <c r="C61" s="2" t="s">
        <v>121</v>
      </c>
      <c r="D61" s="2" t="s">
        <v>2293</v>
      </c>
      <c r="E61" s="2" t="s">
        <v>2289</v>
      </c>
      <c r="F61" s="2" t="s">
        <v>60</v>
      </c>
      <c r="G61" s="2" t="s">
        <v>2263</v>
      </c>
    </row>
    <row r="62" spans="1:7" x14ac:dyDescent="0.35">
      <c r="A62" s="2" t="s">
        <v>546</v>
      </c>
      <c r="B62" s="2" t="s">
        <v>547</v>
      </c>
      <c r="C62" s="2" t="s">
        <v>121</v>
      </c>
      <c r="D62" s="2" t="s">
        <v>2294</v>
      </c>
      <c r="E62" s="2" t="s">
        <v>2289</v>
      </c>
      <c r="F62" s="2" t="s">
        <v>60</v>
      </c>
      <c r="G62" s="2" t="s">
        <v>2263</v>
      </c>
    </row>
    <row r="63" spans="1:7" x14ac:dyDescent="0.35">
      <c r="A63" s="2" t="s">
        <v>1797</v>
      </c>
      <c r="B63" s="2" t="s">
        <v>1798</v>
      </c>
      <c r="C63" s="2" t="s">
        <v>121</v>
      </c>
      <c r="D63" s="2" t="s">
        <v>2294</v>
      </c>
      <c r="E63" s="2" t="s">
        <v>2289</v>
      </c>
      <c r="F63" s="2" t="s">
        <v>60</v>
      </c>
      <c r="G63" s="2" t="s">
        <v>2263</v>
      </c>
    </row>
    <row r="64" spans="1:7" x14ac:dyDescent="0.35">
      <c r="A64" s="2" t="s">
        <v>739</v>
      </c>
      <c r="B64" s="2" t="s">
        <v>740</v>
      </c>
      <c r="C64" s="2" t="s">
        <v>121</v>
      </c>
      <c r="D64" s="2" t="s">
        <v>2288</v>
      </c>
      <c r="E64" s="2" t="s">
        <v>2289</v>
      </c>
      <c r="F64" s="2" t="s">
        <v>60</v>
      </c>
      <c r="G64" s="2" t="s">
        <v>2263</v>
      </c>
    </row>
    <row r="65" spans="1:7" x14ac:dyDescent="0.35">
      <c r="A65" s="2" t="s">
        <v>414</v>
      </c>
      <c r="B65" s="2" t="s">
        <v>415</v>
      </c>
      <c r="C65" s="2" t="s">
        <v>121</v>
      </c>
      <c r="D65" s="2" t="s">
        <v>2292</v>
      </c>
      <c r="E65" s="2" t="s">
        <v>2289</v>
      </c>
      <c r="F65" s="2" t="s">
        <v>60</v>
      </c>
      <c r="G65" s="2" t="s">
        <v>2263</v>
      </c>
    </row>
    <row r="66" spans="1:7" x14ac:dyDescent="0.35">
      <c r="A66" s="2" t="s">
        <v>325</v>
      </c>
      <c r="B66" s="2" t="s">
        <v>326</v>
      </c>
      <c r="C66" s="2" t="s">
        <v>121</v>
      </c>
      <c r="D66" s="2" t="s">
        <v>2288</v>
      </c>
      <c r="E66" s="2" t="s">
        <v>2289</v>
      </c>
      <c r="F66" s="2" t="s">
        <v>60</v>
      </c>
      <c r="G66" s="2" t="s">
        <v>2263</v>
      </c>
    </row>
    <row r="67" spans="1:7" x14ac:dyDescent="0.35">
      <c r="A67" s="2" t="s">
        <v>1070</v>
      </c>
      <c r="B67" s="2" t="s">
        <v>1071</v>
      </c>
      <c r="C67" s="2" t="s">
        <v>121</v>
      </c>
      <c r="D67" s="2" t="s">
        <v>2288</v>
      </c>
      <c r="E67" s="2" t="s">
        <v>2289</v>
      </c>
      <c r="F67" s="2" t="s">
        <v>60</v>
      </c>
      <c r="G67" s="2" t="s">
        <v>2263</v>
      </c>
    </row>
    <row r="68" spans="1:7" x14ac:dyDescent="0.35">
      <c r="A68" s="2" t="s">
        <v>1203</v>
      </c>
      <c r="B68" s="2" t="s">
        <v>1204</v>
      </c>
      <c r="C68" s="2" t="s">
        <v>121</v>
      </c>
      <c r="D68" s="2" t="s">
        <v>2291</v>
      </c>
      <c r="E68" s="2" t="s">
        <v>2289</v>
      </c>
      <c r="F68" s="2" t="s">
        <v>60</v>
      </c>
      <c r="G68" s="2" t="s">
        <v>2263</v>
      </c>
    </row>
    <row r="69" spans="1:7" x14ac:dyDescent="0.35">
      <c r="A69" s="2" t="s">
        <v>351</v>
      </c>
      <c r="B69" s="2" t="s">
        <v>352</v>
      </c>
      <c r="C69" s="2" t="s">
        <v>121</v>
      </c>
      <c r="D69" s="2" t="s">
        <v>2294</v>
      </c>
      <c r="E69" s="2" t="s">
        <v>2289</v>
      </c>
      <c r="F69" s="2" t="s">
        <v>60</v>
      </c>
      <c r="G69" s="2" t="s">
        <v>2263</v>
      </c>
    </row>
    <row r="70" spans="1:7" x14ac:dyDescent="0.35">
      <c r="A70" s="2" t="s">
        <v>1701</v>
      </c>
      <c r="B70" s="2" t="s">
        <v>1702</v>
      </c>
      <c r="C70" s="2" t="s">
        <v>121</v>
      </c>
      <c r="D70" s="2" t="s">
        <v>2293</v>
      </c>
      <c r="E70" s="2" t="s">
        <v>2289</v>
      </c>
      <c r="F70" s="2" t="s">
        <v>60</v>
      </c>
      <c r="G70" s="2" t="s">
        <v>2263</v>
      </c>
    </row>
    <row r="71" spans="1:7" x14ac:dyDescent="0.35">
      <c r="A71" s="2" t="s">
        <v>1355</v>
      </c>
      <c r="B71" s="2" t="s">
        <v>1356</v>
      </c>
      <c r="C71" s="2" t="s">
        <v>121</v>
      </c>
      <c r="D71" s="2" t="s">
        <v>2293</v>
      </c>
      <c r="E71" s="2" t="s">
        <v>2289</v>
      </c>
      <c r="F71" s="2" t="s">
        <v>60</v>
      </c>
      <c r="G71" s="2" t="s">
        <v>2263</v>
      </c>
    </row>
    <row r="72" spans="1:7" x14ac:dyDescent="0.35">
      <c r="A72" s="2" t="s">
        <v>1900</v>
      </c>
      <c r="B72" s="2" t="s">
        <v>1901</v>
      </c>
      <c r="C72" s="2" t="s">
        <v>121</v>
      </c>
      <c r="D72" s="2" t="s">
        <v>2291</v>
      </c>
      <c r="E72" s="2" t="s">
        <v>2289</v>
      </c>
      <c r="F72" s="2" t="s">
        <v>60</v>
      </c>
      <c r="G72" s="2" t="s">
        <v>2263</v>
      </c>
    </row>
    <row r="73" spans="1:7" x14ac:dyDescent="0.35">
      <c r="A73" s="2" t="s">
        <v>715</v>
      </c>
      <c r="B73" s="2" t="s">
        <v>716</v>
      </c>
      <c r="C73" s="2" t="s">
        <v>121</v>
      </c>
      <c r="D73" s="2" t="s">
        <v>2295</v>
      </c>
      <c r="E73" s="2" t="s">
        <v>2275</v>
      </c>
      <c r="F73" s="2" t="s">
        <v>67</v>
      </c>
      <c r="G73" s="2" t="s">
        <v>2296</v>
      </c>
    </row>
    <row r="74" spans="1:7" x14ac:dyDescent="0.35">
      <c r="A74" s="2" t="s">
        <v>379</v>
      </c>
      <c r="B74" s="2" t="s">
        <v>380</v>
      </c>
      <c r="C74" s="2" t="s">
        <v>121</v>
      </c>
      <c r="D74" s="2" t="s">
        <v>2297</v>
      </c>
      <c r="E74" s="2" t="s">
        <v>2289</v>
      </c>
      <c r="F74" s="2" t="s">
        <v>67</v>
      </c>
      <c r="G74" s="2" t="s">
        <v>2296</v>
      </c>
    </row>
    <row r="75" spans="1:7" x14ac:dyDescent="0.35">
      <c r="A75" s="2" t="s">
        <v>206</v>
      </c>
      <c r="B75" s="2" t="s">
        <v>207</v>
      </c>
      <c r="C75" s="2" t="s">
        <v>121</v>
      </c>
      <c r="D75" s="2" t="s">
        <v>2298</v>
      </c>
      <c r="E75" s="2" t="s">
        <v>2289</v>
      </c>
      <c r="F75" s="2" t="s">
        <v>67</v>
      </c>
      <c r="G75" s="2" t="s">
        <v>2296</v>
      </c>
    </row>
    <row r="76" spans="1:7" x14ac:dyDescent="0.35">
      <c r="A76" s="2" t="s">
        <v>1086</v>
      </c>
      <c r="B76" s="2" t="s">
        <v>2027</v>
      </c>
      <c r="C76" s="2" t="s">
        <v>142</v>
      </c>
      <c r="D76" s="2" t="s">
        <v>2299</v>
      </c>
      <c r="E76" s="2" t="s">
        <v>2289</v>
      </c>
      <c r="F76" s="2" t="s">
        <v>67</v>
      </c>
      <c r="G76" s="2" t="s">
        <v>2296</v>
      </c>
    </row>
    <row r="77" spans="1:7" x14ac:dyDescent="0.35">
      <c r="A77" s="2" t="s">
        <v>589</v>
      </c>
      <c r="B77" s="2" t="s">
        <v>590</v>
      </c>
      <c r="C77" s="2" t="s">
        <v>121</v>
      </c>
      <c r="D77" s="2" t="s">
        <v>2298</v>
      </c>
      <c r="E77" s="2" t="s">
        <v>2289</v>
      </c>
      <c r="F77" s="2" t="s">
        <v>67</v>
      </c>
      <c r="G77" s="2" t="s">
        <v>2296</v>
      </c>
    </row>
    <row r="78" spans="1:7" x14ac:dyDescent="0.35">
      <c r="A78" s="2" t="s">
        <v>994</v>
      </c>
      <c r="B78" s="2" t="s">
        <v>2066</v>
      </c>
      <c r="C78" s="2" t="s">
        <v>121</v>
      </c>
      <c r="D78" s="2" t="s">
        <v>2297</v>
      </c>
      <c r="E78" s="2" t="s">
        <v>2289</v>
      </c>
      <c r="F78" s="2" t="s">
        <v>67</v>
      </c>
      <c r="G78" s="2" t="s">
        <v>2296</v>
      </c>
    </row>
    <row r="79" spans="1:7" x14ac:dyDescent="0.35">
      <c r="A79" s="2" t="s">
        <v>1462</v>
      </c>
      <c r="B79" s="2" t="s">
        <v>1463</v>
      </c>
      <c r="C79" s="2" t="s">
        <v>121</v>
      </c>
      <c r="D79" s="2" t="s">
        <v>2297</v>
      </c>
      <c r="E79" s="2" t="s">
        <v>2289</v>
      </c>
      <c r="F79" s="2" t="s">
        <v>67</v>
      </c>
      <c r="G79" s="2" t="s">
        <v>2296</v>
      </c>
    </row>
    <row r="80" spans="1:7" x14ac:dyDescent="0.35">
      <c r="A80" s="2" t="s">
        <v>405</v>
      </c>
      <c r="B80" s="2" t="s">
        <v>406</v>
      </c>
      <c r="C80" s="2" t="s">
        <v>121</v>
      </c>
      <c r="D80" s="2" t="s">
        <v>2300</v>
      </c>
      <c r="E80" s="2" t="s">
        <v>2289</v>
      </c>
      <c r="F80" s="2" t="s">
        <v>67</v>
      </c>
      <c r="G80" s="2" t="s">
        <v>2296</v>
      </c>
    </row>
    <row r="81" spans="1:7" x14ac:dyDescent="0.35">
      <c r="A81" s="2" t="s">
        <v>655</v>
      </c>
      <c r="B81" s="2" t="s">
        <v>656</v>
      </c>
      <c r="C81" s="2" t="s">
        <v>121</v>
      </c>
      <c r="D81" s="2" t="s">
        <v>2297</v>
      </c>
      <c r="E81" s="2" t="s">
        <v>2289</v>
      </c>
      <c r="F81" s="2" t="s">
        <v>67</v>
      </c>
      <c r="G81" s="2" t="s">
        <v>2296</v>
      </c>
    </row>
    <row r="82" spans="1:7" x14ac:dyDescent="0.35">
      <c r="A82" s="2" t="s">
        <v>1289</v>
      </c>
      <c r="B82" s="2" t="s">
        <v>1290</v>
      </c>
      <c r="C82" s="2" t="s">
        <v>121</v>
      </c>
      <c r="D82" s="2" t="s">
        <v>2300</v>
      </c>
      <c r="E82" s="2" t="s">
        <v>2289</v>
      </c>
      <c r="F82" s="2" t="s">
        <v>67</v>
      </c>
      <c r="G82" s="2" t="s">
        <v>2296</v>
      </c>
    </row>
    <row r="83" spans="1:7" x14ac:dyDescent="0.35">
      <c r="A83" s="2" t="s">
        <v>684</v>
      </c>
      <c r="B83" s="2" t="s">
        <v>685</v>
      </c>
      <c r="C83" s="2" t="s">
        <v>121</v>
      </c>
      <c r="D83" s="2" t="s">
        <v>2299</v>
      </c>
      <c r="E83" s="2" t="s">
        <v>2289</v>
      </c>
      <c r="F83" s="2" t="s">
        <v>67</v>
      </c>
      <c r="G83" s="2" t="s">
        <v>2296</v>
      </c>
    </row>
    <row r="84" spans="1:7" x14ac:dyDescent="0.35">
      <c r="A84" s="2" t="s">
        <v>449</v>
      </c>
      <c r="B84" s="2" t="s">
        <v>450</v>
      </c>
      <c r="C84" s="2" t="s">
        <v>121</v>
      </c>
      <c r="D84" s="2" t="s">
        <v>2297</v>
      </c>
      <c r="E84" s="2" t="s">
        <v>2289</v>
      </c>
      <c r="F84" s="2" t="s">
        <v>67</v>
      </c>
      <c r="G84" s="2" t="s">
        <v>2296</v>
      </c>
    </row>
    <row r="85" spans="1:7" x14ac:dyDescent="0.35">
      <c r="A85" s="2" t="s">
        <v>1524</v>
      </c>
      <c r="B85" s="2" t="s">
        <v>1525</v>
      </c>
      <c r="C85" s="2" t="s">
        <v>121</v>
      </c>
      <c r="D85" s="2" t="s">
        <v>2298</v>
      </c>
      <c r="E85" s="2" t="s">
        <v>2289</v>
      </c>
      <c r="F85" s="2" t="s">
        <v>67</v>
      </c>
      <c r="G85" s="2" t="s">
        <v>2296</v>
      </c>
    </row>
    <row r="86" spans="1:7" x14ac:dyDescent="0.35">
      <c r="A86" s="2" t="s">
        <v>820</v>
      </c>
      <c r="B86" s="2" t="s">
        <v>821</v>
      </c>
      <c r="C86" s="2" t="s">
        <v>121</v>
      </c>
      <c r="D86" s="2" t="s">
        <v>2297</v>
      </c>
      <c r="E86" s="2" t="s">
        <v>2289</v>
      </c>
      <c r="F86" s="2" t="s">
        <v>67</v>
      </c>
      <c r="G86" s="2" t="s">
        <v>2296</v>
      </c>
    </row>
  </sheetData>
  <autoFilter ref="A1:G86" xr:uid="{00000000-0009-0000-0000-000008000000}"/>
  <conditionalFormatting sqref="F2:F86">
    <cfRule type="cellIs" dxfId="3" priority="2" operator="equal">
      <formula>"High"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M51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6" customWidth="1"/>
    <col min="2" max="3" width="13" customWidth="1"/>
    <col min="4" max="4" width="17" customWidth="1"/>
    <col min="5" max="5" width="13" customWidth="1"/>
    <col min="6" max="6" width="15" customWidth="1"/>
    <col min="7" max="7" width="42" customWidth="1"/>
    <col min="8" max="8" width="13" customWidth="1"/>
    <col min="9" max="9" width="17" customWidth="1"/>
    <col min="10" max="10" width="13" customWidth="1"/>
    <col min="11" max="11" width="15" customWidth="1"/>
    <col min="12" max="12" width="11" customWidth="1"/>
    <col min="13" max="13" width="18" customWidth="1"/>
  </cols>
  <sheetData>
    <row r="1" spans="1:13" ht="31.5" customHeight="1" x14ac:dyDescent="0.35">
      <c r="A1" s="1" t="s">
        <v>2301</v>
      </c>
      <c r="B1" s="1" t="s">
        <v>2302</v>
      </c>
      <c r="C1" s="1" t="s">
        <v>2303</v>
      </c>
      <c r="D1" s="1" t="s">
        <v>2304</v>
      </c>
      <c r="E1" s="1" t="s">
        <v>2305</v>
      </c>
      <c r="F1" s="1" t="s">
        <v>2232</v>
      </c>
      <c r="G1" s="1" t="s">
        <v>2306</v>
      </c>
      <c r="H1" s="1" t="s">
        <v>2307</v>
      </c>
      <c r="I1" s="1" t="s">
        <v>2308</v>
      </c>
      <c r="J1" s="1" t="s">
        <v>2309</v>
      </c>
      <c r="K1" s="1" t="s">
        <v>2310</v>
      </c>
      <c r="L1" s="1" t="s">
        <v>110</v>
      </c>
      <c r="M1" s="1" t="s">
        <v>2311</v>
      </c>
    </row>
    <row r="2" spans="1:13" x14ac:dyDescent="0.35">
      <c r="A2" s="2" t="s">
        <v>2312</v>
      </c>
      <c r="B2" s="2" t="s">
        <v>1199</v>
      </c>
      <c r="C2" s="2" t="s">
        <v>2313</v>
      </c>
      <c r="D2" s="16">
        <v>9500</v>
      </c>
      <c r="E2" s="2" t="s">
        <v>2314</v>
      </c>
      <c r="F2" s="2" t="str">
        <f>IFERROR(INDEX(Vendor_ID_Map!$B$2:$B$229,MATCH(B2,Vendor_ID_Map!$A$2:$A$229,0)),"UNMAPPED")</f>
        <v>V1079</v>
      </c>
      <c r="G2" s="2" t="str">
        <f>IFERROR(INDEX(Vendor_Master_Golden!$B$2:$B$208,MATCH(F2,Vendor_Master_Golden!$A$2:$A$208,0)),"-")</f>
        <v>Falcon Landscaping Pvt Ltd</v>
      </c>
      <c r="H2" s="2" t="str">
        <f>IFERROR(INDEX(Vendor_Master_Golden!$K$2:$K$208,MATCH(F2,Vendor_Master_Golden!$A$2:$A$208,0)),"-")</f>
        <v>Active</v>
      </c>
      <c r="I2" s="2" t="str">
        <f t="shared" ref="I2:I65" si="0">IF(F2="UNMAPPED","Orphan Vendor ID",IF(H2="Inactive","Inactive Vendor","OK"))</f>
        <v>OK</v>
      </c>
      <c r="J2" s="2">
        <f>COUNTIFS($B$2:B2,B2,$A$2:A2,A2,$D$2:D2,D2)</f>
        <v>1</v>
      </c>
      <c r="K2" s="2">
        <f>COUNTIFS($F$2:F2,F2,$A$2:A2,A2,$D$2:D2,D2)</f>
        <v>1</v>
      </c>
      <c r="L2" s="2" t="str">
        <f t="shared" ref="L2:L65" si="1">IF(K2&gt;1,"Duplicate","Unique")</f>
        <v>Unique</v>
      </c>
      <c r="M2" s="2" t="str">
        <f t="shared" ref="M2:M65" si="2">IF(AND(K2&gt;1,J2=1),"Yes","No")</f>
        <v>No</v>
      </c>
    </row>
    <row r="3" spans="1:13" x14ac:dyDescent="0.35">
      <c r="A3" s="2" t="s">
        <v>2315</v>
      </c>
      <c r="B3" s="2" t="s">
        <v>1191</v>
      </c>
      <c r="C3" s="2" t="s">
        <v>2313</v>
      </c>
      <c r="D3" s="16">
        <v>94400</v>
      </c>
      <c r="E3" s="2" t="s">
        <v>2316</v>
      </c>
      <c r="F3" s="2" t="str">
        <f>IFERROR(INDEX(Vendor_ID_Map!$B$2:$B$229,MATCH(B3,Vendor_ID_Map!$A$2:$A$229,0)),"UNMAPPED")</f>
        <v>V1162</v>
      </c>
      <c r="G3" s="2" t="str">
        <f>IFERROR(INDEX(Vendor_Master_Golden!$B$2:$B$208,MATCH(F3,Vendor_Master_Golden!$A$2:$A$208,0)),"-")</f>
        <v>Apex Facility Services Limited</v>
      </c>
      <c r="H3" s="2" t="str">
        <f>IFERROR(INDEX(Vendor_Master_Golden!$K$2:$K$208,MATCH(F3,Vendor_Master_Golden!$A$2:$A$208,0)),"-")</f>
        <v>Inactive</v>
      </c>
      <c r="I3" s="2" t="str">
        <f t="shared" si="0"/>
        <v>Inactive Vendor</v>
      </c>
      <c r="J3" s="2">
        <f>COUNTIFS($B$2:B3,B3,$A$2:A3,A3,$D$2:D3,D3)</f>
        <v>1</v>
      </c>
      <c r="K3" s="2">
        <f>COUNTIFS($F$2:F3,F3,$A$2:A3,A3,$D$2:D3,D3)</f>
        <v>1</v>
      </c>
      <c r="L3" s="2" t="str">
        <f t="shared" si="1"/>
        <v>Unique</v>
      </c>
      <c r="M3" s="2" t="str">
        <f t="shared" si="2"/>
        <v>No</v>
      </c>
    </row>
    <row r="4" spans="1:13" x14ac:dyDescent="0.35">
      <c r="A4" s="2" t="s">
        <v>2317</v>
      </c>
      <c r="B4" s="2" t="s">
        <v>493</v>
      </c>
      <c r="C4" s="2" t="s">
        <v>2318</v>
      </c>
      <c r="D4" s="16">
        <v>77600</v>
      </c>
      <c r="E4" s="2" t="s">
        <v>2316</v>
      </c>
      <c r="F4" s="2" t="str">
        <f>IFERROR(INDEX(Vendor_ID_Map!$B$2:$B$229,MATCH(B4,Vendor_ID_Map!$A$2:$A$229,0)),"UNMAPPED")</f>
        <v>V1084</v>
      </c>
      <c r="G4" s="2" t="str">
        <f>IFERROR(INDEX(Vendor_Master_Golden!$B$2:$B$208,MATCH(F4,Vendor_Master_Golden!$A$2:$A$208,0)),"-")</f>
        <v>Zenith IT Services Pvt Ltd</v>
      </c>
      <c r="H4" s="2" t="str">
        <f>IFERROR(INDEX(Vendor_Master_Golden!$K$2:$K$208,MATCH(F4,Vendor_Master_Golden!$A$2:$A$208,0)),"-")</f>
        <v>Active</v>
      </c>
      <c r="I4" s="2" t="str">
        <f t="shared" si="0"/>
        <v>OK</v>
      </c>
      <c r="J4" s="2">
        <f>COUNTIFS($B$2:B4,B4,$A$2:A4,A4,$D$2:D4,D4)</f>
        <v>1</v>
      </c>
      <c r="K4" s="2">
        <f>COUNTIFS($F$2:F4,F4,$A$2:A4,A4,$D$2:D4,D4)</f>
        <v>1</v>
      </c>
      <c r="L4" s="2" t="str">
        <f t="shared" si="1"/>
        <v>Unique</v>
      </c>
      <c r="M4" s="2" t="str">
        <f t="shared" si="2"/>
        <v>No</v>
      </c>
    </row>
    <row r="5" spans="1:13" x14ac:dyDescent="0.35">
      <c r="A5" s="2" t="s">
        <v>2319</v>
      </c>
      <c r="B5" s="2" t="s">
        <v>484</v>
      </c>
      <c r="C5" s="2" t="s">
        <v>2320</v>
      </c>
      <c r="D5" s="16">
        <v>70200</v>
      </c>
      <c r="E5" s="2" t="s">
        <v>2316</v>
      </c>
      <c r="F5" s="2" t="str">
        <f>IFERROR(INDEX(Vendor_ID_Map!$B$2:$B$229,MATCH(B5,Vendor_ID_Map!$A$2:$A$229,0)),"UNMAPPED")</f>
        <v>V1096</v>
      </c>
      <c r="G5" s="2" t="str">
        <f>IFERROR(INDEX(Vendor_Master_Golden!$B$2:$B$208,MATCH(F5,Vendor_Master_Golden!$A$2:$A$208,0)),"-")</f>
        <v>Deccan Maintenance Private Limited</v>
      </c>
      <c r="H5" s="2" t="str">
        <f>IFERROR(INDEX(Vendor_Master_Golden!$K$2:$K$208,MATCH(F5,Vendor_Master_Golden!$A$2:$A$208,0)),"-")</f>
        <v>Active</v>
      </c>
      <c r="I5" s="2" t="str">
        <f t="shared" si="0"/>
        <v>OK</v>
      </c>
      <c r="J5" s="2">
        <f>COUNTIFS($B$2:B5,B5,$A$2:A5,A5,$D$2:D5,D5)</f>
        <v>1</v>
      </c>
      <c r="K5" s="2">
        <f>COUNTIFS($F$2:F5,F5,$A$2:A5,A5,$D$2:D5,D5)</f>
        <v>1</v>
      </c>
      <c r="L5" s="2" t="str">
        <f t="shared" si="1"/>
        <v>Unique</v>
      </c>
      <c r="M5" s="2" t="str">
        <f t="shared" si="2"/>
        <v>No</v>
      </c>
    </row>
    <row r="6" spans="1:13" x14ac:dyDescent="0.35">
      <c r="A6" s="2" t="s">
        <v>2321</v>
      </c>
      <c r="B6" s="2" t="s">
        <v>1956</v>
      </c>
      <c r="C6" s="2" t="s">
        <v>2320</v>
      </c>
      <c r="D6" s="16">
        <v>55400</v>
      </c>
      <c r="E6" s="2" t="s">
        <v>2314</v>
      </c>
      <c r="F6" s="2" t="str">
        <f>IFERROR(INDEX(Vendor_ID_Map!$B$2:$B$229,MATCH(B6,Vendor_ID_Map!$A$2:$A$229,0)),"UNMAPPED")</f>
        <v>V1122</v>
      </c>
      <c r="G6" s="2" t="str">
        <f>IFERROR(INDEX(Vendor_Master_Golden!$B$2:$B$208,MATCH(F6,Vendor_Master_Golden!$A$2:$A$208,0)),"-")</f>
        <v>Orchid Power Systems Limited</v>
      </c>
      <c r="H6" s="2" t="str">
        <f>IFERROR(INDEX(Vendor_Master_Golden!$K$2:$K$208,MATCH(F6,Vendor_Master_Golden!$A$2:$A$208,0)),"-")</f>
        <v>Inactive</v>
      </c>
      <c r="I6" s="2" t="str">
        <f t="shared" si="0"/>
        <v>Inactive Vendor</v>
      </c>
      <c r="J6" s="2">
        <f>COUNTIFS($B$2:B6,B6,$A$2:A6,A6,$D$2:D6,D6)</f>
        <v>1</v>
      </c>
      <c r="K6" s="2">
        <f>COUNTIFS($F$2:F6,F6,$A$2:A6,A6,$D$2:D6,D6)</f>
        <v>1</v>
      </c>
      <c r="L6" s="2" t="str">
        <f t="shared" si="1"/>
        <v>Unique</v>
      </c>
      <c r="M6" s="2" t="str">
        <f t="shared" si="2"/>
        <v>No</v>
      </c>
    </row>
    <row r="7" spans="1:13" x14ac:dyDescent="0.35">
      <c r="A7" s="2" t="s">
        <v>2322</v>
      </c>
      <c r="B7" s="2" t="s">
        <v>1280</v>
      </c>
      <c r="C7" s="2" t="s">
        <v>2323</v>
      </c>
      <c r="D7" s="16">
        <v>67600</v>
      </c>
      <c r="E7" s="2" t="s">
        <v>2314</v>
      </c>
      <c r="F7" s="2" t="str">
        <f>IFERROR(INDEX(Vendor_ID_Map!$B$2:$B$229,MATCH(B7,Vendor_ID_Map!$A$2:$A$229,0)),"UNMAPPED")</f>
        <v>V1080</v>
      </c>
      <c r="G7" s="2" t="str">
        <f>IFERROR(INDEX(Vendor_Master_Golden!$B$2:$B$208,MATCH(F7,Vendor_Master_Golden!$A$2:$A$208,0)),"-")</f>
        <v>Nova Water Solutions Limited</v>
      </c>
      <c r="H7" s="2" t="str">
        <f>IFERROR(INDEX(Vendor_Master_Golden!$K$2:$K$208,MATCH(F7,Vendor_Master_Golden!$A$2:$A$208,0)),"-")</f>
        <v>Active</v>
      </c>
      <c r="I7" s="2" t="str">
        <f t="shared" si="0"/>
        <v>OK</v>
      </c>
      <c r="J7" s="2">
        <f>COUNTIFS($B$2:B7,B7,$A$2:A7,A7,$D$2:D7,D7)</f>
        <v>1</v>
      </c>
      <c r="K7" s="2">
        <f>COUNTIFS($F$2:F7,F7,$A$2:A7,A7,$D$2:D7,D7)</f>
        <v>1</v>
      </c>
      <c r="L7" s="2" t="str">
        <f t="shared" si="1"/>
        <v>Unique</v>
      </c>
      <c r="M7" s="2" t="str">
        <f t="shared" si="2"/>
        <v>No</v>
      </c>
    </row>
    <row r="8" spans="1:13" x14ac:dyDescent="0.35">
      <c r="A8" s="2" t="s">
        <v>2324</v>
      </c>
      <c r="B8" s="2" t="s">
        <v>589</v>
      </c>
      <c r="C8" s="2" t="s">
        <v>2323</v>
      </c>
      <c r="D8" s="16">
        <v>187000</v>
      </c>
      <c r="E8" s="2" t="s">
        <v>2316</v>
      </c>
      <c r="F8" s="2" t="str">
        <f>IFERROR(INDEX(Vendor_ID_Map!$B$2:$B$229,MATCH(B8,Vendor_ID_Map!$A$2:$A$229,0)),"UNMAPPED")</f>
        <v>V1058</v>
      </c>
      <c r="G8" s="2" t="str">
        <f>IFERROR(INDEX(Vendor_Master_Golden!$B$2:$B$208,MATCH(F8,Vendor_Master_Golden!$A$2:$A$208,0)),"-")</f>
        <v>Crestline Pest Control Limited</v>
      </c>
      <c r="H8" s="2" t="str">
        <f>IFERROR(INDEX(Vendor_Master_Golden!$K$2:$K$208,MATCH(F8,Vendor_Master_Golden!$A$2:$A$208,0)),"-")</f>
        <v>Active</v>
      </c>
      <c r="I8" s="2" t="str">
        <f t="shared" si="0"/>
        <v>OK</v>
      </c>
      <c r="J8" s="2">
        <f>COUNTIFS($B$2:B8,B8,$A$2:A8,A8,$D$2:D8,D8)</f>
        <v>1</v>
      </c>
      <c r="K8" s="2">
        <f>COUNTIFS($F$2:F8,F8,$A$2:A8,A8,$D$2:D8,D8)</f>
        <v>1</v>
      </c>
      <c r="L8" s="2" t="str">
        <f t="shared" si="1"/>
        <v>Unique</v>
      </c>
      <c r="M8" s="2" t="str">
        <f t="shared" si="2"/>
        <v>No</v>
      </c>
    </row>
    <row r="9" spans="1:13" x14ac:dyDescent="0.35">
      <c r="A9" s="2" t="s">
        <v>2325</v>
      </c>
      <c r="B9" s="2" t="s">
        <v>196</v>
      </c>
      <c r="C9" s="2" t="s">
        <v>2326</v>
      </c>
      <c r="D9" s="16">
        <v>14600</v>
      </c>
      <c r="E9" s="2" t="s">
        <v>2314</v>
      </c>
      <c r="F9" s="2" t="str">
        <f>IFERROR(INDEX(Vendor_ID_Map!$B$2:$B$229,MATCH(B9,Vendor_ID_Map!$A$2:$A$229,0)),"UNMAPPED")</f>
        <v>V1108</v>
      </c>
      <c r="G9" s="2" t="str">
        <f>IFERROR(INDEX(Vendor_Master_Golden!$B$2:$B$208,MATCH(F9,Vendor_Master_Golden!$A$2:$A$208,0)),"-")</f>
        <v>Western Water Solutions Private Limited</v>
      </c>
      <c r="H9" s="2" t="str">
        <f>IFERROR(INDEX(Vendor_Master_Golden!$K$2:$K$208,MATCH(F9,Vendor_Master_Golden!$A$2:$A$208,0)),"-")</f>
        <v>Active</v>
      </c>
      <c r="I9" s="2" t="str">
        <f t="shared" si="0"/>
        <v>OK</v>
      </c>
      <c r="J9" s="2">
        <f>COUNTIFS($B$2:B9,B9,$A$2:A9,A9,$D$2:D9,D9)</f>
        <v>1</v>
      </c>
      <c r="K9" s="2">
        <f>COUNTIFS($F$2:F9,F9,$A$2:A9,A9,$D$2:D9,D9)</f>
        <v>1</v>
      </c>
      <c r="L9" s="2" t="str">
        <f t="shared" si="1"/>
        <v>Unique</v>
      </c>
      <c r="M9" s="2" t="str">
        <f t="shared" si="2"/>
        <v>No</v>
      </c>
    </row>
    <row r="10" spans="1:13" x14ac:dyDescent="0.35">
      <c r="A10" s="2" t="s">
        <v>2327</v>
      </c>
      <c r="B10" s="2" t="s">
        <v>1369</v>
      </c>
      <c r="C10" s="2" t="s">
        <v>2326</v>
      </c>
      <c r="D10" s="16">
        <v>57600</v>
      </c>
      <c r="E10" s="2" t="s">
        <v>2314</v>
      </c>
      <c r="F10" s="2" t="str">
        <f>IFERROR(INDEX(Vendor_ID_Map!$B$2:$B$229,MATCH(B10,Vendor_ID_Map!$A$2:$A$229,0)),"UNMAPPED")</f>
        <v>V1071</v>
      </c>
      <c r="G10" s="2" t="str">
        <f>IFERROR(INDEX(Vendor_Master_Golden!$B$2:$B$208,MATCH(F10,Vendor_Master_Golden!$A$2:$A$208,0)),"-")</f>
        <v>Bharat Pest Control Limited</v>
      </c>
      <c r="H10" s="2" t="str">
        <f>IFERROR(INDEX(Vendor_Master_Golden!$K$2:$K$208,MATCH(F10,Vendor_Master_Golden!$A$2:$A$208,0)),"-")</f>
        <v>Active</v>
      </c>
      <c r="I10" s="2" t="str">
        <f t="shared" si="0"/>
        <v>OK</v>
      </c>
      <c r="J10" s="2">
        <f>COUNTIFS($B$2:B10,B10,$A$2:A10,A10,$D$2:D10,D10)</f>
        <v>1</v>
      </c>
      <c r="K10" s="2">
        <f>COUNTIFS($F$2:F10,F10,$A$2:A10,A10,$D$2:D10,D10)</f>
        <v>1</v>
      </c>
      <c r="L10" s="2" t="str">
        <f t="shared" si="1"/>
        <v>Unique</v>
      </c>
      <c r="M10" s="2" t="str">
        <f t="shared" si="2"/>
        <v>No</v>
      </c>
    </row>
    <row r="11" spans="1:13" x14ac:dyDescent="0.35">
      <c r="A11" s="2" t="s">
        <v>2328</v>
      </c>
      <c r="B11" s="2" t="s">
        <v>887</v>
      </c>
      <c r="C11" s="2" t="s">
        <v>2326</v>
      </c>
      <c r="D11" s="16">
        <v>149400</v>
      </c>
      <c r="E11" s="2" t="s">
        <v>2314</v>
      </c>
      <c r="F11" s="2" t="str">
        <f>IFERROR(INDEX(Vendor_ID_Map!$B$2:$B$229,MATCH(B11,Vendor_ID_Map!$A$2:$A$229,0)),"UNMAPPED")</f>
        <v>V1147</v>
      </c>
      <c r="G11" s="2" t="str">
        <f>IFERROR(INDEX(Vendor_Master_Golden!$B$2:$B$208,MATCH(F11,Vendor_Master_Golden!$A$2:$A$208,0)),"-")</f>
        <v>Pinnacle Pest Control Private Limited</v>
      </c>
      <c r="H11" s="2" t="str">
        <f>IFERROR(INDEX(Vendor_Master_Golden!$K$2:$K$208,MATCH(F11,Vendor_Master_Golden!$A$2:$A$208,0)),"-")</f>
        <v>Active</v>
      </c>
      <c r="I11" s="2" t="str">
        <f t="shared" si="0"/>
        <v>OK</v>
      </c>
      <c r="J11" s="2">
        <f>COUNTIFS($B$2:B11,B11,$A$2:A11,A11,$D$2:D11,D11)</f>
        <v>1</v>
      </c>
      <c r="K11" s="2">
        <f>COUNTIFS($F$2:F11,F11,$A$2:A11,A11,$D$2:D11,D11)</f>
        <v>1</v>
      </c>
      <c r="L11" s="2" t="str">
        <f t="shared" si="1"/>
        <v>Unique</v>
      </c>
      <c r="M11" s="2" t="str">
        <f t="shared" si="2"/>
        <v>No</v>
      </c>
    </row>
    <row r="12" spans="1:13" x14ac:dyDescent="0.35">
      <c r="A12" s="2" t="s">
        <v>2329</v>
      </c>
      <c r="B12" s="2" t="s">
        <v>1191</v>
      </c>
      <c r="C12" s="2" t="s">
        <v>2326</v>
      </c>
      <c r="D12" s="16">
        <v>26000</v>
      </c>
      <c r="E12" s="2" t="s">
        <v>2316</v>
      </c>
      <c r="F12" s="2" t="str">
        <f>IFERROR(INDEX(Vendor_ID_Map!$B$2:$B$229,MATCH(B12,Vendor_ID_Map!$A$2:$A$229,0)),"UNMAPPED")</f>
        <v>V1162</v>
      </c>
      <c r="G12" s="2" t="str">
        <f>IFERROR(INDEX(Vendor_Master_Golden!$B$2:$B$208,MATCH(F12,Vendor_Master_Golden!$A$2:$A$208,0)),"-")</f>
        <v>Apex Facility Services Limited</v>
      </c>
      <c r="H12" s="2" t="str">
        <f>IFERROR(INDEX(Vendor_Master_Golden!$K$2:$K$208,MATCH(F12,Vendor_Master_Golden!$A$2:$A$208,0)),"-")</f>
        <v>Inactive</v>
      </c>
      <c r="I12" s="2" t="str">
        <f t="shared" si="0"/>
        <v>Inactive Vendor</v>
      </c>
      <c r="J12" s="2">
        <f>COUNTIFS($B$2:B12,B12,$A$2:A12,A12,$D$2:D12,D12)</f>
        <v>1</v>
      </c>
      <c r="K12" s="2">
        <f>COUNTIFS($F$2:F12,F12,$A$2:A12,A12,$D$2:D12,D12)</f>
        <v>1</v>
      </c>
      <c r="L12" s="2" t="str">
        <f t="shared" si="1"/>
        <v>Unique</v>
      </c>
      <c r="M12" s="2" t="str">
        <f t="shared" si="2"/>
        <v>No</v>
      </c>
    </row>
    <row r="13" spans="1:13" x14ac:dyDescent="0.35">
      <c r="A13" s="2" t="s">
        <v>2330</v>
      </c>
      <c r="B13" s="2" t="s">
        <v>1688</v>
      </c>
      <c r="C13" s="2" t="s">
        <v>2326</v>
      </c>
      <c r="D13" s="16">
        <v>25700</v>
      </c>
      <c r="E13" s="2" t="s">
        <v>2314</v>
      </c>
      <c r="F13" s="2" t="str">
        <f>IFERROR(INDEX(Vendor_ID_Map!$B$2:$B$229,MATCH(B13,Vendor_ID_Map!$A$2:$A$229,0)),"UNMAPPED")</f>
        <v>V1116</v>
      </c>
      <c r="G13" s="2" t="str">
        <f>IFERROR(INDEX(Vendor_Master_Golden!$B$2:$B$208,MATCH(F13,Vendor_Master_Golden!$A$2:$A$208,0)),"-")</f>
        <v>Eastern Housekeeping Private Limited</v>
      </c>
      <c r="H13" s="2" t="str">
        <f>IFERROR(INDEX(Vendor_Master_Golden!$K$2:$K$208,MATCH(F13,Vendor_Master_Golden!$A$2:$A$208,0)),"-")</f>
        <v>Active</v>
      </c>
      <c r="I13" s="2" t="str">
        <f t="shared" si="0"/>
        <v>OK</v>
      </c>
      <c r="J13" s="2">
        <f>COUNTIFS($B$2:B13,B13,$A$2:A13,A13,$D$2:D13,D13)</f>
        <v>1</v>
      </c>
      <c r="K13" s="2">
        <f>COUNTIFS($F$2:F13,F13,$A$2:A13,A13,$D$2:D13,D13)</f>
        <v>1</v>
      </c>
      <c r="L13" s="2" t="str">
        <f t="shared" si="1"/>
        <v>Unique</v>
      </c>
      <c r="M13" s="2" t="str">
        <f t="shared" si="2"/>
        <v>No</v>
      </c>
    </row>
    <row r="14" spans="1:13" x14ac:dyDescent="0.35">
      <c r="A14" s="2" t="s">
        <v>2331</v>
      </c>
      <c r="B14" s="2" t="s">
        <v>1882</v>
      </c>
      <c r="C14" s="2" t="s">
        <v>2332</v>
      </c>
      <c r="D14" s="16">
        <v>132900</v>
      </c>
      <c r="E14" s="2" t="s">
        <v>2314</v>
      </c>
      <c r="F14" s="2" t="str">
        <f>IFERROR(INDEX(Vendor_ID_Map!$B$2:$B$229,MATCH(B14,Vendor_ID_Map!$A$2:$A$229,0)),"UNMAPPED")</f>
        <v>V1153</v>
      </c>
      <c r="G14" s="2" t="str">
        <f>IFERROR(INDEX(Vendor_Master_Golden!$B$2:$B$208,MATCH(F14,Vendor_Master_Golden!$A$2:$A$208,0)),"-")</f>
        <v>Greenfield Water Solutions LLP</v>
      </c>
      <c r="H14" s="2" t="str">
        <f>IFERROR(INDEX(Vendor_Master_Golden!$K$2:$K$208,MATCH(F14,Vendor_Master_Golden!$A$2:$A$208,0)),"-")</f>
        <v>Active</v>
      </c>
      <c r="I14" s="2" t="str">
        <f t="shared" si="0"/>
        <v>OK</v>
      </c>
      <c r="J14" s="2">
        <f>COUNTIFS($B$2:B14,B14,$A$2:A14,A14,$D$2:D14,D14)</f>
        <v>1</v>
      </c>
      <c r="K14" s="2">
        <f>COUNTIFS($F$2:F14,F14,$A$2:A14,A14,$D$2:D14,D14)</f>
        <v>1</v>
      </c>
      <c r="L14" s="2" t="str">
        <f t="shared" si="1"/>
        <v>Unique</v>
      </c>
      <c r="M14" s="2" t="str">
        <f t="shared" si="2"/>
        <v>No</v>
      </c>
    </row>
    <row r="15" spans="1:13" x14ac:dyDescent="0.35">
      <c r="A15" s="2" t="s">
        <v>2333</v>
      </c>
      <c r="B15" s="2" t="s">
        <v>1861</v>
      </c>
      <c r="C15" s="2" t="s">
        <v>2332</v>
      </c>
      <c r="D15" s="16">
        <v>90800</v>
      </c>
      <c r="E15" s="2" t="s">
        <v>2314</v>
      </c>
      <c r="F15" s="2" t="str">
        <f>IFERROR(INDEX(Vendor_ID_Map!$B$2:$B$229,MATCH(B15,Vendor_ID_Map!$A$2:$A$229,0)),"UNMAPPED")</f>
        <v>V1150</v>
      </c>
      <c r="G15" s="2" t="str">
        <f>IFERROR(INDEX(Vendor_Master_Golden!$B$2:$B$208,MATCH(F15,Vendor_Master_Golden!$A$2:$A$208,0)),"-")</f>
        <v>Apex Electricals Pvt Ltd</v>
      </c>
      <c r="H15" s="2" t="str">
        <f>IFERROR(INDEX(Vendor_Master_Golden!$K$2:$K$208,MATCH(F15,Vendor_Master_Golden!$A$2:$A$208,0)),"-")</f>
        <v>Active</v>
      </c>
      <c r="I15" s="2" t="str">
        <f t="shared" si="0"/>
        <v>OK</v>
      </c>
      <c r="J15" s="2">
        <f>COUNTIFS($B$2:B15,B15,$A$2:A15,A15,$D$2:D15,D15)</f>
        <v>1</v>
      </c>
      <c r="K15" s="2">
        <f>COUNTIFS($F$2:F15,F15,$A$2:A15,A15,$D$2:D15,D15)</f>
        <v>1</v>
      </c>
      <c r="L15" s="2" t="str">
        <f t="shared" si="1"/>
        <v>Unique</v>
      </c>
      <c r="M15" s="2" t="str">
        <f t="shared" si="2"/>
        <v>No</v>
      </c>
    </row>
    <row r="16" spans="1:13" x14ac:dyDescent="0.35">
      <c r="A16" s="2" t="s">
        <v>2334</v>
      </c>
      <c r="B16" s="2" t="s">
        <v>1779</v>
      </c>
      <c r="C16" s="2" t="s">
        <v>332</v>
      </c>
      <c r="D16" s="16">
        <v>39600</v>
      </c>
      <c r="E16" s="2" t="s">
        <v>2314</v>
      </c>
      <c r="F16" s="2" t="str">
        <f>IFERROR(INDEX(Vendor_ID_Map!$B$2:$B$229,MATCH(B16,Vendor_ID_Map!$A$2:$A$229,0)),"UNMAPPED")</f>
        <v>V1075</v>
      </c>
      <c r="G16" s="2" t="str">
        <f>IFERROR(INDEX(Vendor_Master_Golden!$B$2:$B$208,MATCH(F16,Vendor_Master_Golden!$A$2:$A$208,0)),"-")</f>
        <v>Ganga Security Solutions LLP</v>
      </c>
      <c r="H16" s="2" t="str">
        <f>IFERROR(INDEX(Vendor_Master_Golden!$K$2:$K$208,MATCH(F16,Vendor_Master_Golden!$A$2:$A$208,0)),"-")</f>
        <v>Active</v>
      </c>
      <c r="I16" s="2" t="str">
        <f t="shared" si="0"/>
        <v>OK</v>
      </c>
      <c r="J16" s="2">
        <f>COUNTIFS($B$2:B16,B16,$A$2:A16,A16,$D$2:D16,D16)</f>
        <v>1</v>
      </c>
      <c r="K16" s="2">
        <f>COUNTIFS($F$2:F16,F16,$A$2:A16,A16,$D$2:D16,D16)</f>
        <v>1</v>
      </c>
      <c r="L16" s="2" t="str">
        <f t="shared" si="1"/>
        <v>Unique</v>
      </c>
      <c r="M16" s="2" t="str">
        <f t="shared" si="2"/>
        <v>No</v>
      </c>
    </row>
    <row r="17" spans="1:13" x14ac:dyDescent="0.35">
      <c r="A17" s="2" t="s">
        <v>2335</v>
      </c>
      <c r="B17" s="2" t="s">
        <v>1882</v>
      </c>
      <c r="C17" s="2" t="s">
        <v>2336</v>
      </c>
      <c r="D17" s="16">
        <v>333100</v>
      </c>
      <c r="E17" s="2" t="s">
        <v>2314</v>
      </c>
      <c r="F17" s="2" t="str">
        <f>IFERROR(INDEX(Vendor_ID_Map!$B$2:$B$229,MATCH(B17,Vendor_ID_Map!$A$2:$A$229,0)),"UNMAPPED")</f>
        <v>V1153</v>
      </c>
      <c r="G17" s="2" t="str">
        <f>IFERROR(INDEX(Vendor_Master_Golden!$B$2:$B$208,MATCH(F17,Vendor_Master_Golden!$A$2:$A$208,0)),"-")</f>
        <v>Greenfield Water Solutions LLP</v>
      </c>
      <c r="H17" s="2" t="str">
        <f>IFERROR(INDEX(Vendor_Master_Golden!$K$2:$K$208,MATCH(F17,Vendor_Master_Golden!$A$2:$A$208,0)),"-")</f>
        <v>Active</v>
      </c>
      <c r="I17" s="2" t="str">
        <f t="shared" si="0"/>
        <v>OK</v>
      </c>
      <c r="J17" s="2">
        <f>COUNTIFS($B$2:B17,B17,$A$2:A17,A17,$D$2:D17,D17)</f>
        <v>1</v>
      </c>
      <c r="K17" s="2">
        <f>COUNTIFS($F$2:F17,F17,$A$2:A17,A17,$D$2:D17,D17)</f>
        <v>1</v>
      </c>
      <c r="L17" s="2" t="str">
        <f t="shared" si="1"/>
        <v>Unique</v>
      </c>
      <c r="M17" s="2" t="str">
        <f t="shared" si="2"/>
        <v>No</v>
      </c>
    </row>
    <row r="18" spans="1:13" x14ac:dyDescent="0.35">
      <c r="A18" s="2" t="s">
        <v>2337</v>
      </c>
      <c r="B18" s="2" t="s">
        <v>1280</v>
      </c>
      <c r="C18" s="2" t="s">
        <v>2336</v>
      </c>
      <c r="D18" s="16">
        <v>61800</v>
      </c>
      <c r="E18" s="2" t="s">
        <v>2316</v>
      </c>
      <c r="F18" s="2" t="str">
        <f>IFERROR(INDEX(Vendor_ID_Map!$B$2:$B$229,MATCH(B18,Vendor_ID_Map!$A$2:$A$229,0)),"UNMAPPED")</f>
        <v>V1080</v>
      </c>
      <c r="G18" s="2" t="str">
        <f>IFERROR(INDEX(Vendor_Master_Golden!$B$2:$B$208,MATCH(F18,Vendor_Master_Golden!$A$2:$A$208,0)),"-")</f>
        <v>Nova Water Solutions Limited</v>
      </c>
      <c r="H18" s="2" t="str">
        <f>IFERROR(INDEX(Vendor_Master_Golden!$K$2:$K$208,MATCH(F18,Vendor_Master_Golden!$A$2:$A$208,0)),"-")</f>
        <v>Active</v>
      </c>
      <c r="I18" s="2" t="str">
        <f t="shared" si="0"/>
        <v>OK</v>
      </c>
      <c r="J18" s="2">
        <f>COUNTIFS($B$2:B18,B18,$A$2:A18,A18,$D$2:D18,D18)</f>
        <v>1</v>
      </c>
      <c r="K18" s="2">
        <f>COUNTIFS($F$2:F18,F18,$A$2:A18,A18,$D$2:D18,D18)</f>
        <v>1</v>
      </c>
      <c r="L18" s="2" t="str">
        <f t="shared" si="1"/>
        <v>Unique</v>
      </c>
      <c r="M18" s="2" t="str">
        <f t="shared" si="2"/>
        <v>No</v>
      </c>
    </row>
    <row r="19" spans="1:13" x14ac:dyDescent="0.35">
      <c r="A19" s="2" t="s">
        <v>2338</v>
      </c>
      <c r="B19" s="2" t="s">
        <v>969</v>
      </c>
      <c r="C19" s="2" t="s">
        <v>2336</v>
      </c>
      <c r="D19" s="16">
        <v>84800</v>
      </c>
      <c r="E19" s="2" t="s">
        <v>2316</v>
      </c>
      <c r="F19" s="2" t="str">
        <f>IFERROR(INDEX(Vendor_ID_Map!$B$2:$B$229,MATCH(B19,Vendor_ID_Map!$A$2:$A$229,0)),"UNMAPPED")</f>
        <v>V1114</v>
      </c>
      <c r="G19" s="2" t="str">
        <f>IFERROR(INDEX(Vendor_Master_Golden!$B$2:$B$208,MATCH(F19,Vendor_Master_Golden!$A$2:$A$208,0)),"-")</f>
        <v>Ganga Printing LLP</v>
      </c>
      <c r="H19" s="2" t="str">
        <f>IFERROR(INDEX(Vendor_Master_Golden!$K$2:$K$208,MATCH(F19,Vendor_Master_Golden!$A$2:$A$208,0)),"-")</f>
        <v>Active</v>
      </c>
      <c r="I19" s="2" t="str">
        <f t="shared" si="0"/>
        <v>OK</v>
      </c>
      <c r="J19" s="2">
        <f>COUNTIFS($B$2:B19,B19,$A$2:A19,A19,$D$2:D19,D19)</f>
        <v>1</v>
      </c>
      <c r="K19" s="2">
        <f>COUNTIFS($F$2:F19,F19,$A$2:A19,A19,$D$2:D19,D19)</f>
        <v>1</v>
      </c>
      <c r="L19" s="2" t="str">
        <f t="shared" si="1"/>
        <v>Unique</v>
      </c>
      <c r="M19" s="2" t="str">
        <f t="shared" si="2"/>
        <v>No</v>
      </c>
    </row>
    <row r="20" spans="1:13" x14ac:dyDescent="0.35">
      <c r="A20" s="2" t="s">
        <v>2339</v>
      </c>
      <c r="B20" s="2" t="s">
        <v>574</v>
      </c>
      <c r="C20" s="2" t="s">
        <v>2340</v>
      </c>
      <c r="D20" s="16">
        <v>111500</v>
      </c>
      <c r="E20" s="2" t="s">
        <v>2316</v>
      </c>
      <c r="F20" s="2" t="str">
        <f>IFERROR(INDEX(Vendor_ID_Map!$B$2:$B$229,MATCH(B20,Vendor_ID_Map!$A$2:$A$229,0)),"UNMAPPED")</f>
        <v>V1036</v>
      </c>
      <c r="G20" s="2" t="str">
        <f>IFERROR(INDEX(Vendor_Master_Golden!$B$2:$B$208,MATCH(F20,Vendor_Master_Golden!$A$2:$A$208,0)),"-")</f>
        <v>Apex Housekeeping LLP</v>
      </c>
      <c r="H20" s="2" t="str">
        <f>IFERROR(INDEX(Vendor_Master_Golden!$K$2:$K$208,MATCH(F20,Vendor_Master_Golden!$A$2:$A$208,0)),"-")</f>
        <v>Active</v>
      </c>
      <c r="I20" s="2" t="str">
        <f t="shared" si="0"/>
        <v>OK</v>
      </c>
      <c r="J20" s="2">
        <f>COUNTIFS($B$2:B20,B20,$A$2:A20,A20,$D$2:D20,D20)</f>
        <v>1</v>
      </c>
      <c r="K20" s="2">
        <f>COUNTIFS($F$2:F20,F20,$A$2:A20,A20,$D$2:D20,D20)</f>
        <v>1</v>
      </c>
      <c r="L20" s="2" t="str">
        <f t="shared" si="1"/>
        <v>Unique</v>
      </c>
      <c r="M20" s="2" t="str">
        <f t="shared" si="2"/>
        <v>No</v>
      </c>
    </row>
    <row r="21" spans="1:13" x14ac:dyDescent="0.35">
      <c r="A21" s="2" t="s">
        <v>2341</v>
      </c>
      <c r="B21" s="2" t="s">
        <v>1027</v>
      </c>
      <c r="C21" s="2" t="s">
        <v>2342</v>
      </c>
      <c r="D21" s="16">
        <v>77800</v>
      </c>
      <c r="E21" s="2" t="s">
        <v>2314</v>
      </c>
      <c r="F21" s="2" t="str">
        <f>IFERROR(INDEX(Vendor_ID_Map!$B$2:$B$229,MATCH(B21,Vendor_ID_Map!$A$2:$A$229,0)),"UNMAPPED")</f>
        <v>V1201</v>
      </c>
      <c r="G21" s="2" t="str">
        <f>IFERROR(INDEX(Vendor_Master_Golden!$B$2:$B$208,MATCH(F21,Vendor_Master_Golden!$A$2:$A$208,0)),"-")</f>
        <v>Nova Housekeeping Limited</v>
      </c>
      <c r="H21" s="2" t="str">
        <f>IFERROR(INDEX(Vendor_Master_Golden!$K$2:$K$208,MATCH(F21,Vendor_Master_Golden!$A$2:$A$208,0)),"-")</f>
        <v>Active</v>
      </c>
      <c r="I21" s="2" t="str">
        <f t="shared" si="0"/>
        <v>OK</v>
      </c>
      <c r="J21" s="2">
        <f>COUNTIFS($B$2:B21,B21,$A$2:A21,A21,$D$2:D21,D21)</f>
        <v>1</v>
      </c>
      <c r="K21" s="2">
        <f>COUNTIFS($F$2:F21,F21,$A$2:A21,A21,$D$2:D21,D21)</f>
        <v>1</v>
      </c>
      <c r="L21" s="2" t="str">
        <f t="shared" si="1"/>
        <v>Unique</v>
      </c>
      <c r="M21" s="2" t="str">
        <f t="shared" si="2"/>
        <v>No</v>
      </c>
    </row>
    <row r="22" spans="1:13" x14ac:dyDescent="0.35">
      <c r="A22" s="2" t="s">
        <v>2343</v>
      </c>
      <c r="B22" s="2" t="s">
        <v>440</v>
      </c>
      <c r="C22" s="2" t="s">
        <v>2342</v>
      </c>
      <c r="D22" s="16">
        <v>47600</v>
      </c>
      <c r="E22" s="2" t="s">
        <v>2314</v>
      </c>
      <c r="F22" s="2" t="str">
        <f>IFERROR(INDEX(Vendor_ID_Map!$B$2:$B$229,MATCH(B22,Vendor_ID_Map!$A$2:$A$229,0)),"UNMAPPED")</f>
        <v>V1006</v>
      </c>
      <c r="G22" s="2" t="str">
        <f>IFERROR(INDEX(Vendor_Master_Golden!$B$2:$B$208,MATCH(F22,Vendor_Master_Golden!$A$2:$A$208,0)),"-")</f>
        <v>Ironbridge Landscaping Limited</v>
      </c>
      <c r="H22" s="2" t="str">
        <f>IFERROR(INDEX(Vendor_Master_Golden!$K$2:$K$208,MATCH(F22,Vendor_Master_Golden!$A$2:$A$208,0)),"-")</f>
        <v>Inactive</v>
      </c>
      <c r="I22" s="2" t="str">
        <f t="shared" si="0"/>
        <v>Inactive Vendor</v>
      </c>
      <c r="J22" s="2">
        <f>COUNTIFS($B$2:B22,B22,$A$2:A22,A22,$D$2:D22,D22)</f>
        <v>1</v>
      </c>
      <c r="K22" s="2">
        <f>COUNTIFS($F$2:F22,F22,$A$2:A22,A22,$D$2:D22,D22)</f>
        <v>1</v>
      </c>
      <c r="L22" s="2" t="str">
        <f t="shared" si="1"/>
        <v>Unique</v>
      </c>
      <c r="M22" s="2" t="str">
        <f t="shared" si="2"/>
        <v>No</v>
      </c>
    </row>
    <row r="23" spans="1:13" x14ac:dyDescent="0.35">
      <c r="A23" s="2" t="s">
        <v>2344</v>
      </c>
      <c r="B23" s="2" t="s">
        <v>1191</v>
      </c>
      <c r="C23" s="2" t="s">
        <v>2345</v>
      </c>
      <c r="D23" s="16">
        <v>31100</v>
      </c>
      <c r="E23" s="2" t="s">
        <v>2314</v>
      </c>
      <c r="F23" s="2" t="str">
        <f>IFERROR(INDEX(Vendor_ID_Map!$B$2:$B$229,MATCH(B23,Vendor_ID_Map!$A$2:$A$229,0)),"UNMAPPED")</f>
        <v>V1162</v>
      </c>
      <c r="G23" s="2" t="str">
        <f>IFERROR(INDEX(Vendor_Master_Golden!$B$2:$B$208,MATCH(F23,Vendor_Master_Golden!$A$2:$A$208,0)),"-")</f>
        <v>Apex Facility Services Limited</v>
      </c>
      <c r="H23" s="2" t="str">
        <f>IFERROR(INDEX(Vendor_Master_Golden!$K$2:$K$208,MATCH(F23,Vendor_Master_Golden!$A$2:$A$208,0)),"-")</f>
        <v>Inactive</v>
      </c>
      <c r="I23" s="2" t="str">
        <f t="shared" si="0"/>
        <v>Inactive Vendor</v>
      </c>
      <c r="J23" s="2">
        <f>COUNTIFS($B$2:B23,B23,$A$2:A23,A23,$D$2:D23,D23)</f>
        <v>1</v>
      </c>
      <c r="K23" s="2">
        <f>COUNTIFS($F$2:F23,F23,$A$2:A23,A23,$D$2:D23,D23)</f>
        <v>1</v>
      </c>
      <c r="L23" s="2" t="str">
        <f t="shared" si="1"/>
        <v>Unique</v>
      </c>
      <c r="M23" s="2" t="str">
        <f t="shared" si="2"/>
        <v>No</v>
      </c>
    </row>
    <row r="24" spans="1:13" x14ac:dyDescent="0.35">
      <c r="A24" s="2" t="s">
        <v>2346</v>
      </c>
      <c r="B24" s="2" t="s">
        <v>396</v>
      </c>
      <c r="C24" s="2" t="s">
        <v>2345</v>
      </c>
      <c r="D24" s="16">
        <v>70300</v>
      </c>
      <c r="E24" s="2" t="s">
        <v>2314</v>
      </c>
      <c r="F24" s="2" t="str">
        <f>IFERROR(INDEX(Vendor_ID_Map!$B$2:$B$229,MATCH(B24,Vendor_ID_Map!$A$2:$A$229,0)),"UNMAPPED")</f>
        <v>V1015</v>
      </c>
      <c r="G24" s="2" t="str">
        <f>IFERROR(INDEX(Vendor_Master_Golden!$B$2:$B$208,MATCH(F24,Vendor_Master_Golden!$A$2:$A$208,0)),"-")</f>
        <v>Vertex Power Systems Pvt Ltd</v>
      </c>
      <c r="H24" s="2" t="str">
        <f>IFERROR(INDEX(Vendor_Master_Golden!$K$2:$K$208,MATCH(F24,Vendor_Master_Golden!$A$2:$A$208,0)),"-")</f>
        <v>Active</v>
      </c>
      <c r="I24" s="2" t="str">
        <f t="shared" si="0"/>
        <v>OK</v>
      </c>
      <c r="J24" s="2">
        <f>COUNTIFS($B$2:B24,B24,$A$2:A24,A24,$D$2:D24,D24)</f>
        <v>1</v>
      </c>
      <c r="K24" s="2">
        <f>COUNTIFS($F$2:F24,F24,$A$2:A24,A24,$D$2:D24,D24)</f>
        <v>1</v>
      </c>
      <c r="L24" s="2" t="str">
        <f t="shared" si="1"/>
        <v>Unique</v>
      </c>
      <c r="M24" s="2" t="str">
        <f t="shared" si="2"/>
        <v>No</v>
      </c>
    </row>
    <row r="25" spans="1:13" x14ac:dyDescent="0.35">
      <c r="A25" s="2" t="s">
        <v>2347</v>
      </c>
      <c r="B25" s="2" t="s">
        <v>546</v>
      </c>
      <c r="C25" s="2" t="s">
        <v>2345</v>
      </c>
      <c r="D25" s="16">
        <v>42900</v>
      </c>
      <c r="E25" s="2" t="s">
        <v>2314</v>
      </c>
      <c r="F25" s="2" t="str">
        <f>IFERROR(INDEX(Vendor_ID_Map!$B$2:$B$229,MATCH(B25,Vendor_ID_Map!$A$2:$A$229,0)),"UNMAPPED")</f>
        <v>V1139</v>
      </c>
      <c r="G25" s="2" t="str">
        <f>IFERROR(INDEX(Vendor_Master_Golden!$B$2:$B$208,MATCH(F25,Vendor_Master_Golden!$A$2:$A$208,0)),"-")</f>
        <v>Jupiter Security Solutions Private Limited</v>
      </c>
      <c r="H25" s="2" t="str">
        <f>IFERROR(INDEX(Vendor_Master_Golden!$K$2:$K$208,MATCH(F25,Vendor_Master_Golden!$A$2:$A$208,0)),"-")</f>
        <v>Active</v>
      </c>
      <c r="I25" s="2" t="str">
        <f t="shared" si="0"/>
        <v>OK</v>
      </c>
      <c r="J25" s="2">
        <f>COUNTIFS($B$2:B25,B25,$A$2:A25,A25,$D$2:D25,D25)</f>
        <v>1</v>
      </c>
      <c r="K25" s="2">
        <f>COUNTIFS($F$2:F25,F25,$A$2:A25,A25,$D$2:D25,D25)</f>
        <v>1</v>
      </c>
      <c r="L25" s="2" t="str">
        <f t="shared" si="1"/>
        <v>Unique</v>
      </c>
      <c r="M25" s="2" t="str">
        <f t="shared" si="2"/>
        <v>No</v>
      </c>
    </row>
    <row r="26" spans="1:13" x14ac:dyDescent="0.35">
      <c r="A26" s="2" t="s">
        <v>2348</v>
      </c>
      <c r="B26" s="2" t="s">
        <v>308</v>
      </c>
      <c r="C26" s="2" t="s">
        <v>2345</v>
      </c>
      <c r="D26" s="16">
        <v>40000</v>
      </c>
      <c r="E26" s="2" t="s">
        <v>2314</v>
      </c>
      <c r="F26" s="2" t="str">
        <f>IFERROR(INDEX(Vendor_ID_Map!$B$2:$B$229,MATCH(B26,Vendor_ID_Map!$A$2:$A$229,0)),"UNMAPPED")</f>
        <v>V1082</v>
      </c>
      <c r="G26" s="2" t="str">
        <f>IFERROR(INDEX(Vendor_Master_Golden!$B$2:$B$208,MATCH(F26,Vendor_Master_Golden!$A$2:$A$208,0)),"-")</f>
        <v>Horizon IT Services LLP</v>
      </c>
      <c r="H26" s="2" t="str">
        <f>IFERROR(INDEX(Vendor_Master_Golden!$K$2:$K$208,MATCH(F26,Vendor_Master_Golden!$A$2:$A$208,0)),"-")</f>
        <v>Active</v>
      </c>
      <c r="I26" s="2" t="str">
        <f t="shared" si="0"/>
        <v>OK</v>
      </c>
      <c r="J26" s="2">
        <f>COUNTIFS($B$2:B26,B26,$A$2:A26,A26,$D$2:D26,D26)</f>
        <v>1</v>
      </c>
      <c r="K26" s="2">
        <f>COUNTIFS($F$2:F26,F26,$A$2:A26,A26,$D$2:D26,D26)</f>
        <v>1</v>
      </c>
      <c r="L26" s="2" t="str">
        <f t="shared" si="1"/>
        <v>Unique</v>
      </c>
      <c r="M26" s="2" t="str">
        <f t="shared" si="2"/>
        <v>No</v>
      </c>
    </row>
    <row r="27" spans="1:13" x14ac:dyDescent="0.35">
      <c r="A27" s="2" t="s">
        <v>2349</v>
      </c>
      <c r="B27" s="2" t="s">
        <v>1583</v>
      </c>
      <c r="C27" s="2" t="s">
        <v>2345</v>
      </c>
      <c r="D27" s="16">
        <v>48200</v>
      </c>
      <c r="E27" s="2" t="s">
        <v>2314</v>
      </c>
      <c r="F27" s="2" t="str">
        <f>IFERROR(INDEX(Vendor_ID_Map!$B$2:$B$229,MATCH(B27,Vendor_ID_Map!$A$2:$A$229,0)),"UNMAPPED")</f>
        <v>V1133</v>
      </c>
      <c r="G27" s="2" t="str">
        <f>IFERROR(INDEX(Vendor_Master_Golden!$B$2:$B$208,MATCH(F27,Vendor_Master_Golden!$A$2:$A$208,0)),"-")</f>
        <v>Deccan Housekeeping Private Limited</v>
      </c>
      <c r="H27" s="2" t="str">
        <f>IFERROR(INDEX(Vendor_Master_Golden!$K$2:$K$208,MATCH(F27,Vendor_Master_Golden!$A$2:$A$208,0)),"-")</f>
        <v>Active</v>
      </c>
      <c r="I27" s="2" t="str">
        <f t="shared" si="0"/>
        <v>OK</v>
      </c>
      <c r="J27" s="2">
        <f>COUNTIFS($B$2:B27,B27,$A$2:A27,A27,$D$2:D27,D27)</f>
        <v>1</v>
      </c>
      <c r="K27" s="2">
        <f>COUNTIFS($F$2:F27,F27,$A$2:A27,A27,$D$2:D27,D27)</f>
        <v>1</v>
      </c>
      <c r="L27" s="2" t="str">
        <f t="shared" si="1"/>
        <v>Unique</v>
      </c>
      <c r="M27" s="2" t="str">
        <f t="shared" si="2"/>
        <v>No</v>
      </c>
    </row>
    <row r="28" spans="1:13" x14ac:dyDescent="0.35">
      <c r="A28" s="2" t="s">
        <v>2350</v>
      </c>
      <c r="B28" s="2" t="s">
        <v>797</v>
      </c>
      <c r="C28" s="2" t="s">
        <v>2345</v>
      </c>
      <c r="D28" s="16">
        <v>40100</v>
      </c>
      <c r="E28" s="2" t="s">
        <v>2314</v>
      </c>
      <c r="F28" s="2" t="str">
        <f>IFERROR(INDEX(Vendor_ID_Map!$B$2:$B$229,MATCH(B28,Vendor_ID_Map!$A$2:$A$229,0)),"UNMAPPED")</f>
        <v>V1202</v>
      </c>
      <c r="G28" s="2" t="str">
        <f>IFERROR(INDEX(Vendor_Master_Golden!$B$2:$B$208,MATCH(F28,Vendor_Master_Golden!$A$2:$A$208,0)),"-")</f>
        <v>Eastern It Services Limited</v>
      </c>
      <c r="H28" s="2" t="str">
        <f>IFERROR(INDEX(Vendor_Master_Golden!$K$2:$K$208,MATCH(F28,Vendor_Master_Golden!$A$2:$A$208,0)),"-")</f>
        <v>Active</v>
      </c>
      <c r="I28" s="2" t="str">
        <f t="shared" si="0"/>
        <v>OK</v>
      </c>
      <c r="J28" s="2">
        <f>COUNTIFS($B$2:B28,B28,$A$2:A28,A28,$D$2:D28,D28)</f>
        <v>1</v>
      </c>
      <c r="K28" s="2">
        <f>COUNTIFS($F$2:F28,F28,$A$2:A28,A28,$D$2:D28,D28)</f>
        <v>1</v>
      </c>
      <c r="L28" s="2" t="str">
        <f t="shared" si="1"/>
        <v>Unique</v>
      </c>
      <c r="M28" s="2" t="str">
        <f t="shared" si="2"/>
        <v>No</v>
      </c>
    </row>
    <row r="29" spans="1:13" x14ac:dyDescent="0.35">
      <c r="A29" s="2" t="s">
        <v>2339</v>
      </c>
      <c r="B29" s="2" t="s">
        <v>1684</v>
      </c>
      <c r="C29" s="2" t="s">
        <v>2351</v>
      </c>
      <c r="D29" s="16">
        <v>111500</v>
      </c>
      <c r="E29" s="2" t="s">
        <v>2314</v>
      </c>
      <c r="F29" s="2" t="str">
        <f>IFERROR(INDEX(Vendor_ID_Map!$B$2:$B$229,MATCH(B29,Vendor_ID_Map!$A$2:$A$229,0)),"UNMAPPED")</f>
        <v>V1036</v>
      </c>
      <c r="G29" s="2" t="str">
        <f>IFERROR(INDEX(Vendor_Master_Golden!$B$2:$B$208,MATCH(F29,Vendor_Master_Golden!$A$2:$A$208,0)),"-")</f>
        <v>Apex Housekeeping LLP</v>
      </c>
      <c r="H29" s="2" t="str">
        <f>IFERROR(INDEX(Vendor_Master_Golden!$K$2:$K$208,MATCH(F29,Vendor_Master_Golden!$A$2:$A$208,0)),"-")</f>
        <v>Active</v>
      </c>
      <c r="I29" s="2" t="str">
        <f t="shared" si="0"/>
        <v>OK</v>
      </c>
      <c r="J29" s="2">
        <f>COUNTIFS($B$2:B29,B29,$A$2:A29,A29,$D$2:D29,D29)</f>
        <v>1</v>
      </c>
      <c r="K29" s="2">
        <f>COUNTIFS($F$2:F29,F29,$A$2:A29,A29,$D$2:D29,D29)</f>
        <v>2</v>
      </c>
      <c r="L29" s="2" t="str">
        <f t="shared" si="1"/>
        <v>Duplicate</v>
      </c>
      <c r="M29" s="2" t="str">
        <f t="shared" si="2"/>
        <v>Yes</v>
      </c>
    </row>
    <row r="30" spans="1:13" x14ac:dyDescent="0.35">
      <c r="A30" s="2" t="s">
        <v>2352</v>
      </c>
      <c r="B30" s="2" t="s">
        <v>1248</v>
      </c>
      <c r="C30" s="2" t="s">
        <v>2351</v>
      </c>
      <c r="D30" s="16">
        <v>201000</v>
      </c>
      <c r="E30" s="2" t="s">
        <v>2314</v>
      </c>
      <c r="F30" s="2" t="str">
        <f>IFERROR(INDEX(Vendor_ID_Map!$B$2:$B$229,MATCH(B30,Vendor_ID_Map!$A$2:$A$229,0)),"UNMAPPED")</f>
        <v>V1088</v>
      </c>
      <c r="G30" s="2" t="str">
        <f>IFERROR(INDEX(Vendor_Master_Golden!$B$2:$B$208,MATCH(F30,Vendor_Master_Golden!$A$2:$A$208,0)),"-")</f>
        <v>Greenfield Housekeeping Pvt Ltd</v>
      </c>
      <c r="H30" s="2" t="str">
        <f>IFERROR(INDEX(Vendor_Master_Golden!$K$2:$K$208,MATCH(F30,Vendor_Master_Golden!$A$2:$A$208,0)),"-")</f>
        <v>Active</v>
      </c>
      <c r="I30" s="2" t="str">
        <f t="shared" si="0"/>
        <v>OK</v>
      </c>
      <c r="J30" s="2">
        <f>COUNTIFS($B$2:B30,B30,$A$2:A30,A30,$D$2:D30,D30)</f>
        <v>1</v>
      </c>
      <c r="K30" s="2">
        <f>COUNTIFS($F$2:F30,F30,$A$2:A30,A30,$D$2:D30,D30)</f>
        <v>1</v>
      </c>
      <c r="L30" s="2" t="str">
        <f t="shared" si="1"/>
        <v>Unique</v>
      </c>
      <c r="M30" s="2" t="str">
        <f t="shared" si="2"/>
        <v>No</v>
      </c>
    </row>
    <row r="31" spans="1:13" x14ac:dyDescent="0.35">
      <c r="A31" s="2" t="s">
        <v>2353</v>
      </c>
      <c r="B31" s="2" t="s">
        <v>857</v>
      </c>
      <c r="C31" s="2" t="s">
        <v>2354</v>
      </c>
      <c r="D31" s="16">
        <v>71500</v>
      </c>
      <c r="E31" s="2" t="s">
        <v>2316</v>
      </c>
      <c r="F31" s="2" t="str">
        <f>IFERROR(INDEX(Vendor_ID_Map!$B$2:$B$229,MATCH(B31,Vendor_ID_Map!$A$2:$A$229,0)),"UNMAPPED")</f>
        <v>V1181</v>
      </c>
      <c r="G31" s="2" t="str">
        <f>IFERROR(INDEX(Vendor_Master_Golden!$B$2:$B$208,MATCH(F31,Vendor_Master_Golden!$A$2:$A$208,0)),"-")</f>
        <v>Nova Logistics Limited</v>
      </c>
      <c r="H31" s="2" t="str">
        <f>IFERROR(INDEX(Vendor_Master_Golden!$K$2:$K$208,MATCH(F31,Vendor_Master_Golden!$A$2:$A$208,0)),"-")</f>
        <v>Inactive</v>
      </c>
      <c r="I31" s="2" t="str">
        <f t="shared" si="0"/>
        <v>Inactive Vendor</v>
      </c>
      <c r="J31" s="2">
        <f>COUNTIFS($B$2:B31,B31,$A$2:A31,A31,$D$2:D31,D31)</f>
        <v>1</v>
      </c>
      <c r="K31" s="2">
        <f>COUNTIFS($F$2:F31,F31,$A$2:A31,A31,$D$2:D31,D31)</f>
        <v>1</v>
      </c>
      <c r="L31" s="2" t="str">
        <f t="shared" si="1"/>
        <v>Unique</v>
      </c>
      <c r="M31" s="2" t="str">
        <f t="shared" si="2"/>
        <v>No</v>
      </c>
    </row>
    <row r="32" spans="1:13" x14ac:dyDescent="0.35">
      <c r="A32" s="2" t="s">
        <v>2355</v>
      </c>
      <c r="B32" s="2" t="s">
        <v>1824</v>
      </c>
      <c r="C32" s="2" t="s">
        <v>2356</v>
      </c>
      <c r="D32" s="16">
        <v>91300</v>
      </c>
      <c r="E32" s="2" t="s">
        <v>2314</v>
      </c>
      <c r="F32" s="2" t="str">
        <f>IFERROR(INDEX(Vendor_ID_Map!$B$2:$B$229,MATCH(B32,Vendor_ID_Map!$A$2:$A$229,0)),"UNMAPPED")</f>
        <v>V1213</v>
      </c>
      <c r="G32" s="2" t="str">
        <f>IFERROR(INDEX(Vendor_Master_Golden!$B$2:$B$208,MATCH(F32,Vendor_Master_Golden!$A$2:$A$208,0)),"-")</f>
        <v>Bharat It Services Pvt Ltd</v>
      </c>
      <c r="H32" s="2" t="str">
        <f>IFERROR(INDEX(Vendor_Master_Golden!$K$2:$K$208,MATCH(F32,Vendor_Master_Golden!$A$2:$A$208,0)),"-")</f>
        <v>Active</v>
      </c>
      <c r="I32" s="2" t="str">
        <f t="shared" si="0"/>
        <v>OK</v>
      </c>
      <c r="J32" s="2">
        <f>COUNTIFS($B$2:B32,B32,$A$2:A32,A32,$D$2:D32,D32)</f>
        <v>1</v>
      </c>
      <c r="K32" s="2">
        <f>COUNTIFS($F$2:F32,F32,$A$2:A32,A32,$D$2:D32,D32)</f>
        <v>1</v>
      </c>
      <c r="L32" s="2" t="str">
        <f t="shared" si="1"/>
        <v>Unique</v>
      </c>
      <c r="M32" s="2" t="str">
        <f t="shared" si="2"/>
        <v>No</v>
      </c>
    </row>
    <row r="33" spans="1:13" x14ac:dyDescent="0.35">
      <c r="A33" s="2" t="s">
        <v>2357</v>
      </c>
      <c r="B33" s="2" t="s">
        <v>1591</v>
      </c>
      <c r="C33" s="2" t="s">
        <v>2356</v>
      </c>
      <c r="D33" s="16">
        <v>78900</v>
      </c>
      <c r="E33" s="2" t="s">
        <v>2314</v>
      </c>
      <c r="F33" s="2" t="str">
        <f>IFERROR(INDEX(Vendor_ID_Map!$B$2:$B$229,MATCH(B33,Vendor_ID_Map!$A$2:$A$229,0)),"UNMAPPED")</f>
        <v>V1191</v>
      </c>
      <c r="G33" s="2" t="str">
        <f>IFERROR(INDEX(Vendor_Master_Golden!$B$2:$B$208,MATCH(F33,Vendor_Master_Golden!$A$2:$A$208,0)),"-")</f>
        <v>Ironbridge IT Services Pvt Ltd</v>
      </c>
      <c r="H33" s="2" t="str">
        <f>IFERROR(INDEX(Vendor_Master_Golden!$K$2:$K$208,MATCH(F33,Vendor_Master_Golden!$A$2:$A$208,0)),"-")</f>
        <v>Active</v>
      </c>
      <c r="I33" s="2" t="str">
        <f t="shared" si="0"/>
        <v>OK</v>
      </c>
      <c r="J33" s="2">
        <f>COUNTIFS($B$2:B33,B33,$A$2:A33,A33,$D$2:D33,D33)</f>
        <v>1</v>
      </c>
      <c r="K33" s="2">
        <f>COUNTIFS($F$2:F33,F33,$A$2:A33,A33,$D$2:D33,D33)</f>
        <v>1</v>
      </c>
      <c r="L33" s="2" t="str">
        <f t="shared" si="1"/>
        <v>Unique</v>
      </c>
      <c r="M33" s="2" t="str">
        <f t="shared" si="2"/>
        <v>No</v>
      </c>
    </row>
    <row r="34" spans="1:13" x14ac:dyDescent="0.35">
      <c r="A34" s="2" t="s">
        <v>2358</v>
      </c>
      <c r="B34" s="2" t="s">
        <v>922</v>
      </c>
      <c r="C34" s="2" t="s">
        <v>2359</v>
      </c>
      <c r="D34" s="16">
        <v>53500</v>
      </c>
      <c r="E34" s="2" t="s">
        <v>2316</v>
      </c>
      <c r="F34" s="2" t="str">
        <f>IFERROR(INDEX(Vendor_ID_Map!$B$2:$B$229,MATCH(B34,Vendor_ID_Map!$A$2:$A$229,0)),"UNMAPPED")</f>
        <v>V1099</v>
      </c>
      <c r="G34" s="2" t="str">
        <f>IFERROR(INDEX(Vendor_Master_Golden!$B$2:$B$208,MATCH(F34,Vendor_Master_Golden!$A$2:$A$208,0)),"-")</f>
        <v>Ironbridge Logistics LLP</v>
      </c>
      <c r="H34" s="2" t="str">
        <f>IFERROR(INDEX(Vendor_Master_Golden!$K$2:$K$208,MATCH(F34,Vendor_Master_Golden!$A$2:$A$208,0)),"-")</f>
        <v>Active</v>
      </c>
      <c r="I34" s="2" t="str">
        <f t="shared" si="0"/>
        <v>OK</v>
      </c>
      <c r="J34" s="2">
        <f>COUNTIFS($B$2:B34,B34,$A$2:A34,A34,$D$2:D34,D34)</f>
        <v>1</v>
      </c>
      <c r="K34" s="2">
        <f>COUNTIFS($F$2:F34,F34,$A$2:A34,A34,$D$2:D34,D34)</f>
        <v>1</v>
      </c>
      <c r="L34" s="2" t="str">
        <f t="shared" si="1"/>
        <v>Unique</v>
      </c>
      <c r="M34" s="2" t="str">
        <f t="shared" si="2"/>
        <v>No</v>
      </c>
    </row>
    <row r="35" spans="1:13" x14ac:dyDescent="0.35">
      <c r="A35" s="2" t="s">
        <v>2360</v>
      </c>
      <c r="B35" s="2" t="s">
        <v>1749</v>
      </c>
      <c r="C35" s="2" t="s">
        <v>2359</v>
      </c>
      <c r="D35" s="16">
        <v>38600</v>
      </c>
      <c r="E35" s="2" t="s">
        <v>2316</v>
      </c>
      <c r="F35" s="2" t="str">
        <f>IFERROR(INDEX(Vendor_ID_Map!$B$2:$B$229,MATCH(B35,Vendor_ID_Map!$A$2:$A$229,0)),"UNMAPPED")</f>
        <v>V1043</v>
      </c>
      <c r="G35" s="2" t="str">
        <f>IFERROR(INDEX(Vendor_Master_Golden!$B$2:$B$208,MATCH(F35,Vendor_Master_Golden!$A$2:$A$208,0)),"-")</f>
        <v>Horizon Pest Control Private Limited</v>
      </c>
      <c r="H35" s="2" t="str">
        <f>IFERROR(INDEX(Vendor_Master_Golden!$K$2:$K$208,MATCH(F35,Vendor_Master_Golden!$A$2:$A$208,0)),"-")</f>
        <v>Active</v>
      </c>
      <c r="I35" s="2" t="str">
        <f t="shared" si="0"/>
        <v>OK</v>
      </c>
      <c r="J35" s="2">
        <f>COUNTIFS($B$2:B35,B35,$A$2:A35,A35,$D$2:D35,D35)</f>
        <v>1</v>
      </c>
      <c r="K35" s="2">
        <f>COUNTIFS($F$2:F35,F35,$A$2:A35,A35,$D$2:D35,D35)</f>
        <v>1</v>
      </c>
      <c r="L35" s="2" t="str">
        <f t="shared" si="1"/>
        <v>Unique</v>
      </c>
      <c r="M35" s="2" t="str">
        <f t="shared" si="2"/>
        <v>No</v>
      </c>
    </row>
    <row r="36" spans="1:13" x14ac:dyDescent="0.35">
      <c r="A36" s="2" t="s">
        <v>2361</v>
      </c>
      <c r="B36" s="2" t="s">
        <v>1873</v>
      </c>
      <c r="C36" s="2" t="s">
        <v>2359</v>
      </c>
      <c r="D36" s="16">
        <v>323500</v>
      </c>
      <c r="E36" s="2" t="s">
        <v>2314</v>
      </c>
      <c r="F36" s="2" t="str">
        <f>IFERROR(INDEX(Vendor_ID_Map!$B$2:$B$229,MATCH(B36,Vendor_ID_Map!$A$2:$A$229,0)),"UNMAPPED")</f>
        <v>V1091</v>
      </c>
      <c r="G36" s="2" t="str">
        <f>IFERROR(INDEX(Vendor_Master_Golden!$B$2:$B$208,MATCH(F36,Vendor_Master_Golden!$A$2:$A$208,0)),"-")</f>
        <v>Aaryan Logistics LLP</v>
      </c>
      <c r="H36" s="2" t="str">
        <f>IFERROR(INDEX(Vendor_Master_Golden!$K$2:$K$208,MATCH(F36,Vendor_Master_Golden!$A$2:$A$208,0)),"-")</f>
        <v>Active</v>
      </c>
      <c r="I36" s="2" t="str">
        <f t="shared" si="0"/>
        <v>OK</v>
      </c>
      <c r="J36" s="2">
        <f>COUNTIFS($B$2:B36,B36,$A$2:A36,A36,$D$2:D36,D36)</f>
        <v>1</v>
      </c>
      <c r="K36" s="2">
        <f>COUNTIFS($F$2:F36,F36,$A$2:A36,A36,$D$2:D36,D36)</f>
        <v>1</v>
      </c>
      <c r="L36" s="2" t="str">
        <f t="shared" si="1"/>
        <v>Unique</v>
      </c>
      <c r="M36" s="2" t="str">
        <f t="shared" si="2"/>
        <v>No</v>
      </c>
    </row>
    <row r="37" spans="1:13" x14ac:dyDescent="0.35">
      <c r="A37" s="2" t="s">
        <v>2362</v>
      </c>
      <c r="B37" s="2" t="s">
        <v>233</v>
      </c>
      <c r="C37" s="2" t="s">
        <v>2363</v>
      </c>
      <c r="D37" s="16">
        <v>105700</v>
      </c>
      <c r="E37" s="2" t="s">
        <v>2314</v>
      </c>
      <c r="F37" s="2" t="str">
        <f>IFERROR(INDEX(Vendor_ID_Map!$B$2:$B$229,MATCH(B37,Vendor_ID_Map!$A$2:$A$229,0)),"UNMAPPED")</f>
        <v>V1203</v>
      </c>
      <c r="G37" s="2" t="str">
        <f>IFERROR(INDEX(Vendor_Master_Golden!$B$2:$B$208,MATCH(F37,Vendor_Master_Golden!$A$2:$A$208,0)),"-")</f>
        <v>Western Electricals Pvt Ltd</v>
      </c>
      <c r="H37" s="2" t="str">
        <f>IFERROR(INDEX(Vendor_Master_Golden!$K$2:$K$208,MATCH(F37,Vendor_Master_Golden!$A$2:$A$208,0)),"-")</f>
        <v>Inactive</v>
      </c>
      <c r="I37" s="2" t="str">
        <f t="shared" si="0"/>
        <v>Inactive Vendor</v>
      </c>
      <c r="J37" s="2">
        <f>COUNTIFS($B$2:B37,B37,$A$2:A37,A37,$D$2:D37,D37)</f>
        <v>1</v>
      </c>
      <c r="K37" s="2">
        <f>COUNTIFS($F$2:F37,F37,$A$2:A37,A37,$D$2:D37,D37)</f>
        <v>1</v>
      </c>
      <c r="L37" s="2" t="str">
        <f t="shared" si="1"/>
        <v>Unique</v>
      </c>
      <c r="M37" s="2" t="str">
        <f t="shared" si="2"/>
        <v>No</v>
      </c>
    </row>
    <row r="38" spans="1:13" x14ac:dyDescent="0.35">
      <c r="A38" s="2" t="s">
        <v>2364</v>
      </c>
      <c r="B38" s="2" t="s">
        <v>405</v>
      </c>
      <c r="C38" s="2" t="s">
        <v>2363</v>
      </c>
      <c r="D38" s="16">
        <v>35000</v>
      </c>
      <c r="E38" s="2" t="s">
        <v>2314</v>
      </c>
      <c r="F38" s="2" t="str">
        <f>IFERROR(INDEX(Vendor_ID_Map!$B$2:$B$229,MATCH(B38,Vendor_ID_Map!$A$2:$A$229,0)),"UNMAPPED")</f>
        <v>V1132</v>
      </c>
      <c r="G38" s="2" t="str">
        <f>IFERROR(INDEX(Vendor_Master_Golden!$B$2:$B$208,MATCH(F38,Vendor_Master_Golden!$A$2:$A$208,0)),"-")</f>
        <v>Deccan Logistics Limited</v>
      </c>
      <c r="H38" s="2" t="str">
        <f>IFERROR(INDEX(Vendor_Master_Golden!$K$2:$K$208,MATCH(F38,Vendor_Master_Golden!$A$2:$A$208,0)),"-")</f>
        <v>Active</v>
      </c>
      <c r="I38" s="2" t="str">
        <f t="shared" si="0"/>
        <v>OK</v>
      </c>
      <c r="J38" s="2">
        <f>COUNTIFS($B$2:B38,B38,$A$2:A38,A38,$D$2:D38,D38)</f>
        <v>1</v>
      </c>
      <c r="K38" s="2">
        <f>COUNTIFS($F$2:F38,F38,$A$2:A38,A38,$D$2:D38,D38)</f>
        <v>1</v>
      </c>
      <c r="L38" s="2" t="str">
        <f t="shared" si="1"/>
        <v>Unique</v>
      </c>
      <c r="M38" s="2" t="str">
        <f t="shared" si="2"/>
        <v>No</v>
      </c>
    </row>
    <row r="39" spans="1:13" x14ac:dyDescent="0.35">
      <c r="A39" s="2" t="s">
        <v>2365</v>
      </c>
      <c r="B39" s="2" t="s">
        <v>264</v>
      </c>
      <c r="C39" s="2" t="s">
        <v>1615</v>
      </c>
      <c r="D39" s="16">
        <v>267700</v>
      </c>
      <c r="E39" s="2" t="s">
        <v>2314</v>
      </c>
      <c r="F39" s="2" t="str">
        <f>IFERROR(INDEX(Vendor_ID_Map!$B$2:$B$229,MATCH(B39,Vendor_ID_Map!$A$2:$A$229,0)),"UNMAPPED")</f>
        <v>V1198</v>
      </c>
      <c r="G39" s="2" t="str">
        <f>IFERROR(INDEX(Vendor_Master_Golden!$B$2:$B$208,MATCH(F39,Vendor_Master_Golden!$A$2:$A$208,0)),"-")</f>
        <v>Western Engineering Works Limited</v>
      </c>
      <c r="H39" s="2" t="str">
        <f>IFERROR(INDEX(Vendor_Master_Golden!$K$2:$K$208,MATCH(F39,Vendor_Master_Golden!$A$2:$A$208,0)),"-")</f>
        <v>Inactive</v>
      </c>
      <c r="I39" s="2" t="str">
        <f t="shared" si="0"/>
        <v>Inactive Vendor</v>
      </c>
      <c r="J39" s="2">
        <f>COUNTIFS($B$2:B39,B39,$A$2:A39,A39,$D$2:D39,D39)</f>
        <v>1</v>
      </c>
      <c r="K39" s="2">
        <f>COUNTIFS($F$2:F39,F39,$A$2:A39,A39,$D$2:D39,D39)</f>
        <v>1</v>
      </c>
      <c r="L39" s="2" t="str">
        <f t="shared" si="1"/>
        <v>Unique</v>
      </c>
      <c r="M39" s="2" t="str">
        <f t="shared" si="2"/>
        <v>No</v>
      </c>
    </row>
    <row r="40" spans="1:13" x14ac:dyDescent="0.35">
      <c r="A40" s="2" t="s">
        <v>2366</v>
      </c>
      <c r="B40" s="2" t="s">
        <v>166</v>
      </c>
      <c r="C40" s="2" t="s">
        <v>1615</v>
      </c>
      <c r="D40" s="16">
        <v>64000</v>
      </c>
      <c r="E40" s="2" t="s">
        <v>2316</v>
      </c>
      <c r="F40" s="2" t="str">
        <f>IFERROR(INDEX(Vendor_ID_Map!$B$2:$B$229,MATCH(B40,Vendor_ID_Map!$A$2:$A$229,0)),"UNMAPPED")</f>
        <v>V1047</v>
      </c>
      <c r="G40" s="2" t="str">
        <f>IFERROR(INDEX(Vendor_Master_Golden!$B$2:$B$208,MATCH(F40,Vendor_Master_Golden!$A$2:$A$208,0)),"-")</f>
        <v>Nova Pest Control Private Limited</v>
      </c>
      <c r="H40" s="2" t="str">
        <f>IFERROR(INDEX(Vendor_Master_Golden!$K$2:$K$208,MATCH(F40,Vendor_Master_Golden!$A$2:$A$208,0)),"-")</f>
        <v>Active</v>
      </c>
      <c r="I40" s="2" t="str">
        <f t="shared" si="0"/>
        <v>OK</v>
      </c>
      <c r="J40" s="2">
        <f>COUNTIFS($B$2:B40,B40,$A$2:A40,A40,$D$2:D40,D40)</f>
        <v>1</v>
      </c>
      <c r="K40" s="2">
        <f>COUNTIFS($F$2:F40,F40,$A$2:A40,A40,$D$2:D40,D40)</f>
        <v>1</v>
      </c>
      <c r="L40" s="2" t="str">
        <f t="shared" si="1"/>
        <v>Unique</v>
      </c>
      <c r="M40" s="2" t="str">
        <f t="shared" si="2"/>
        <v>No</v>
      </c>
    </row>
    <row r="41" spans="1:13" x14ac:dyDescent="0.35">
      <c r="A41" s="2" t="s">
        <v>2367</v>
      </c>
      <c r="B41" s="2" t="s">
        <v>708</v>
      </c>
      <c r="C41" s="2" t="s">
        <v>2368</v>
      </c>
      <c r="D41" s="16">
        <v>151700</v>
      </c>
      <c r="E41" s="2" t="s">
        <v>2314</v>
      </c>
      <c r="F41" s="2" t="str">
        <f>IFERROR(INDEX(Vendor_ID_Map!$B$2:$B$229,MATCH(B41,Vendor_ID_Map!$A$2:$A$229,0)),"UNMAPPED")</f>
        <v>V1034</v>
      </c>
      <c r="G41" s="2" t="str">
        <f>IFERROR(INDEX(Vendor_Master_Golden!$B$2:$B$208,MATCH(F41,Vendor_Master_Golden!$A$2:$A$208,0)),"-")</f>
        <v>Vertex Water Solutions Private Limited</v>
      </c>
      <c r="H41" s="2" t="str">
        <f>IFERROR(INDEX(Vendor_Master_Golden!$K$2:$K$208,MATCH(F41,Vendor_Master_Golden!$A$2:$A$208,0)),"-")</f>
        <v>Active</v>
      </c>
      <c r="I41" s="2" t="str">
        <f t="shared" si="0"/>
        <v>OK</v>
      </c>
      <c r="J41" s="2">
        <f>COUNTIFS($B$2:B41,B41,$A$2:A41,A41,$D$2:D41,D41)</f>
        <v>1</v>
      </c>
      <c r="K41" s="2">
        <f>COUNTIFS($F$2:F41,F41,$A$2:A41,A41,$D$2:D41,D41)</f>
        <v>1</v>
      </c>
      <c r="L41" s="2" t="str">
        <f t="shared" si="1"/>
        <v>Unique</v>
      </c>
      <c r="M41" s="2" t="str">
        <f t="shared" si="2"/>
        <v>No</v>
      </c>
    </row>
    <row r="42" spans="1:13" x14ac:dyDescent="0.35">
      <c r="A42" s="2" t="s">
        <v>2369</v>
      </c>
      <c r="B42" s="2" t="s">
        <v>1948</v>
      </c>
      <c r="C42" s="2" t="s">
        <v>2368</v>
      </c>
      <c r="D42" s="16">
        <v>19800</v>
      </c>
      <c r="E42" s="2" t="s">
        <v>2314</v>
      </c>
      <c r="F42" s="2" t="str">
        <f>IFERROR(INDEX(Vendor_ID_Map!$B$2:$B$229,MATCH(B42,Vendor_ID_Map!$A$2:$A$229,0)),"UNMAPPED")</f>
        <v>V1110</v>
      </c>
      <c r="G42" s="2" t="str">
        <f>IFERROR(INDEX(Vendor_Master_Golden!$B$2:$B$208,MATCH(F42,Vendor_Master_Golden!$A$2:$A$208,0)),"-")</f>
        <v>Orchid Printing Pvt Ltd</v>
      </c>
      <c r="H42" s="2" t="str">
        <f>IFERROR(INDEX(Vendor_Master_Golden!$K$2:$K$208,MATCH(F42,Vendor_Master_Golden!$A$2:$A$208,0)),"-")</f>
        <v>Active</v>
      </c>
      <c r="I42" s="2" t="str">
        <f t="shared" si="0"/>
        <v>OK</v>
      </c>
      <c r="J42" s="2">
        <f>COUNTIFS($B$2:B42,B42,$A$2:A42,A42,$D$2:D42,D42)</f>
        <v>1</v>
      </c>
      <c r="K42" s="2">
        <f>COUNTIFS($F$2:F42,F42,$A$2:A42,A42,$D$2:D42,D42)</f>
        <v>1</v>
      </c>
      <c r="L42" s="2" t="str">
        <f t="shared" si="1"/>
        <v>Unique</v>
      </c>
      <c r="M42" s="2" t="str">
        <f t="shared" si="2"/>
        <v>No</v>
      </c>
    </row>
    <row r="43" spans="1:13" x14ac:dyDescent="0.35">
      <c r="A43" s="2" t="s">
        <v>2370</v>
      </c>
      <c r="B43" s="2" t="s">
        <v>316</v>
      </c>
      <c r="C43" s="2" t="s">
        <v>2371</v>
      </c>
      <c r="D43" s="16">
        <v>41700</v>
      </c>
      <c r="E43" s="2" t="s">
        <v>2314</v>
      </c>
      <c r="F43" s="2" t="str">
        <f>IFERROR(INDEX(Vendor_ID_Map!$B$2:$B$229,MATCH(B43,Vendor_ID_Map!$A$2:$A$229,0)),"UNMAPPED")</f>
        <v>V1024</v>
      </c>
      <c r="G43" s="2" t="str">
        <f>IFERROR(INDEX(Vendor_Master_Golden!$B$2:$B$208,MATCH(F43,Vendor_Master_Golden!$A$2:$A$208,0)),"-")</f>
        <v>Apex Landscaping Limited</v>
      </c>
      <c r="H43" s="2" t="str">
        <f>IFERROR(INDEX(Vendor_Master_Golden!$K$2:$K$208,MATCH(F43,Vendor_Master_Golden!$A$2:$A$208,0)),"-")</f>
        <v>Active</v>
      </c>
      <c r="I43" s="2" t="str">
        <f t="shared" si="0"/>
        <v>OK</v>
      </c>
      <c r="J43" s="2">
        <f>COUNTIFS($B$2:B43,B43,$A$2:A43,A43,$D$2:D43,D43)</f>
        <v>1</v>
      </c>
      <c r="K43" s="2">
        <f>COUNTIFS($F$2:F43,F43,$A$2:A43,A43,$D$2:D43,D43)</f>
        <v>1</v>
      </c>
      <c r="L43" s="2" t="str">
        <f t="shared" si="1"/>
        <v>Unique</v>
      </c>
      <c r="M43" s="2" t="str">
        <f t="shared" si="2"/>
        <v>No</v>
      </c>
    </row>
    <row r="44" spans="1:13" x14ac:dyDescent="0.35">
      <c r="A44" s="2" t="s">
        <v>2372</v>
      </c>
      <c r="B44" s="2" t="s">
        <v>930</v>
      </c>
      <c r="C44" s="2" t="s">
        <v>2373</v>
      </c>
      <c r="D44" s="16">
        <v>54900</v>
      </c>
      <c r="E44" s="2" t="s">
        <v>2316</v>
      </c>
      <c r="F44" s="2" t="str">
        <f>IFERROR(INDEX(Vendor_ID_Map!$B$2:$B$229,MATCH(B44,Vendor_ID_Map!$A$2:$A$229,0)),"UNMAPPED")</f>
        <v>V1144</v>
      </c>
      <c r="G44" s="2" t="str">
        <f>IFERROR(INDEX(Vendor_Master_Golden!$B$2:$B$208,MATCH(F44,Vendor_Master_Golden!$A$2:$A$208,0)),"-")</f>
        <v>Deccan Security Solutions Limited</v>
      </c>
      <c r="H44" s="2" t="str">
        <f>IFERROR(INDEX(Vendor_Master_Golden!$K$2:$K$208,MATCH(F44,Vendor_Master_Golden!$A$2:$A$208,0)),"-")</f>
        <v>Active</v>
      </c>
      <c r="I44" s="2" t="str">
        <f t="shared" si="0"/>
        <v>OK</v>
      </c>
      <c r="J44" s="2">
        <f>COUNTIFS($B$2:B44,B44,$A$2:A44,A44,$D$2:D44,D44)</f>
        <v>1</v>
      </c>
      <c r="K44" s="2">
        <f>COUNTIFS($F$2:F44,F44,$A$2:A44,A44,$D$2:D44,D44)</f>
        <v>1</v>
      </c>
      <c r="L44" s="2" t="str">
        <f t="shared" si="1"/>
        <v>Unique</v>
      </c>
      <c r="M44" s="2" t="str">
        <f t="shared" si="2"/>
        <v>No</v>
      </c>
    </row>
    <row r="45" spans="1:13" x14ac:dyDescent="0.35">
      <c r="A45" s="2" t="s">
        <v>2374</v>
      </c>
      <c r="B45" s="2" t="s">
        <v>206</v>
      </c>
      <c r="C45" s="2" t="s">
        <v>2373</v>
      </c>
      <c r="D45" s="16">
        <v>69900</v>
      </c>
      <c r="E45" s="2" t="s">
        <v>2314</v>
      </c>
      <c r="F45" s="2" t="str">
        <f>IFERROR(INDEX(Vendor_ID_Map!$B$2:$B$229,MATCH(B45,Vendor_ID_Map!$A$2:$A$229,0)),"UNMAPPED")</f>
        <v>V1022</v>
      </c>
      <c r="G45" s="2" t="str">
        <f>IFERROR(INDEX(Vendor_Master_Golden!$B$2:$B$208,MATCH(F45,Vendor_Master_Golden!$A$2:$A$208,0)),"-")</f>
        <v>Sunrise Printing Pvt Ltd</v>
      </c>
      <c r="H45" s="2" t="str">
        <f>IFERROR(INDEX(Vendor_Master_Golden!$K$2:$K$208,MATCH(F45,Vendor_Master_Golden!$A$2:$A$208,0)),"-")</f>
        <v>Active</v>
      </c>
      <c r="I45" s="2" t="str">
        <f t="shared" si="0"/>
        <v>OK</v>
      </c>
      <c r="J45" s="2">
        <f>COUNTIFS($B$2:B45,B45,$A$2:A45,A45,$D$2:D45,D45)</f>
        <v>1</v>
      </c>
      <c r="K45" s="2">
        <f>COUNTIFS($F$2:F45,F45,$A$2:A45,A45,$D$2:D45,D45)</f>
        <v>1</v>
      </c>
      <c r="L45" s="2" t="str">
        <f t="shared" si="1"/>
        <v>Unique</v>
      </c>
      <c r="M45" s="2" t="str">
        <f t="shared" si="2"/>
        <v>No</v>
      </c>
    </row>
    <row r="46" spans="1:13" x14ac:dyDescent="0.35">
      <c r="A46" s="2" t="s">
        <v>2375</v>
      </c>
      <c r="B46" s="2" t="s">
        <v>264</v>
      </c>
      <c r="C46" s="2" t="s">
        <v>2376</v>
      </c>
      <c r="D46" s="16">
        <v>167100</v>
      </c>
      <c r="E46" s="2" t="s">
        <v>2314</v>
      </c>
      <c r="F46" s="2" t="str">
        <f>IFERROR(INDEX(Vendor_ID_Map!$B$2:$B$229,MATCH(B46,Vendor_ID_Map!$A$2:$A$229,0)),"UNMAPPED")</f>
        <v>V1198</v>
      </c>
      <c r="G46" s="2" t="str">
        <f>IFERROR(INDEX(Vendor_Master_Golden!$B$2:$B$208,MATCH(F46,Vendor_Master_Golden!$A$2:$A$208,0)),"-")</f>
        <v>Western Engineering Works Limited</v>
      </c>
      <c r="H46" s="2" t="str">
        <f>IFERROR(INDEX(Vendor_Master_Golden!$K$2:$K$208,MATCH(F46,Vendor_Master_Golden!$A$2:$A$208,0)),"-")</f>
        <v>Inactive</v>
      </c>
      <c r="I46" s="2" t="str">
        <f t="shared" si="0"/>
        <v>Inactive Vendor</v>
      </c>
      <c r="J46" s="2">
        <f>COUNTIFS($B$2:B46,B46,$A$2:A46,A46,$D$2:D46,D46)</f>
        <v>1</v>
      </c>
      <c r="K46" s="2">
        <f>COUNTIFS($F$2:F46,F46,$A$2:A46,A46,$D$2:D46,D46)</f>
        <v>1</v>
      </c>
      <c r="L46" s="2" t="str">
        <f t="shared" si="1"/>
        <v>Unique</v>
      </c>
      <c r="M46" s="2" t="str">
        <f t="shared" si="2"/>
        <v>No</v>
      </c>
    </row>
    <row r="47" spans="1:13" x14ac:dyDescent="0.35">
      <c r="A47" s="2" t="s">
        <v>2377</v>
      </c>
      <c r="B47" s="2" t="s">
        <v>396</v>
      </c>
      <c r="C47" s="2" t="s">
        <v>605</v>
      </c>
      <c r="D47" s="16">
        <v>112300</v>
      </c>
      <c r="E47" s="2" t="s">
        <v>2314</v>
      </c>
      <c r="F47" s="2" t="str">
        <f>IFERROR(INDEX(Vendor_ID_Map!$B$2:$B$229,MATCH(B47,Vendor_ID_Map!$A$2:$A$229,0)),"UNMAPPED")</f>
        <v>V1015</v>
      </c>
      <c r="G47" s="2" t="str">
        <f>IFERROR(INDEX(Vendor_Master_Golden!$B$2:$B$208,MATCH(F47,Vendor_Master_Golden!$A$2:$A$208,0)),"-")</f>
        <v>Vertex Power Systems Pvt Ltd</v>
      </c>
      <c r="H47" s="2" t="str">
        <f>IFERROR(INDEX(Vendor_Master_Golden!$K$2:$K$208,MATCH(F47,Vendor_Master_Golden!$A$2:$A$208,0)),"-")</f>
        <v>Active</v>
      </c>
      <c r="I47" s="2" t="str">
        <f t="shared" si="0"/>
        <v>OK</v>
      </c>
      <c r="J47" s="2">
        <f>COUNTIFS($B$2:B47,B47,$A$2:A47,A47,$D$2:D47,D47)</f>
        <v>1</v>
      </c>
      <c r="K47" s="2">
        <f>COUNTIFS($F$2:F47,F47,$A$2:A47,A47,$D$2:D47,D47)</f>
        <v>1</v>
      </c>
      <c r="L47" s="2" t="str">
        <f t="shared" si="1"/>
        <v>Unique</v>
      </c>
      <c r="M47" s="2" t="str">
        <f t="shared" si="2"/>
        <v>No</v>
      </c>
    </row>
    <row r="48" spans="1:13" x14ac:dyDescent="0.35">
      <c r="A48" s="2" t="s">
        <v>2378</v>
      </c>
      <c r="B48" s="2" t="s">
        <v>1688</v>
      </c>
      <c r="C48" s="2" t="s">
        <v>2379</v>
      </c>
      <c r="D48" s="16">
        <v>81700</v>
      </c>
      <c r="E48" s="2" t="s">
        <v>2314</v>
      </c>
      <c r="F48" s="2" t="str">
        <f>IFERROR(INDEX(Vendor_ID_Map!$B$2:$B$229,MATCH(B48,Vendor_ID_Map!$A$2:$A$229,0)),"UNMAPPED")</f>
        <v>V1116</v>
      </c>
      <c r="G48" s="2" t="str">
        <f>IFERROR(INDEX(Vendor_Master_Golden!$B$2:$B$208,MATCH(F48,Vendor_Master_Golden!$A$2:$A$208,0)),"-")</f>
        <v>Eastern Housekeeping Private Limited</v>
      </c>
      <c r="H48" s="2" t="str">
        <f>IFERROR(INDEX(Vendor_Master_Golden!$K$2:$K$208,MATCH(F48,Vendor_Master_Golden!$A$2:$A$208,0)),"-")</f>
        <v>Active</v>
      </c>
      <c r="I48" s="2" t="str">
        <f t="shared" si="0"/>
        <v>OK</v>
      </c>
      <c r="J48" s="2">
        <f>COUNTIFS($B$2:B48,B48,$A$2:A48,A48,$D$2:D48,D48)</f>
        <v>1</v>
      </c>
      <c r="K48" s="2">
        <f>COUNTIFS($F$2:F48,F48,$A$2:A48,A48,$D$2:D48,D48)</f>
        <v>1</v>
      </c>
      <c r="L48" s="2" t="str">
        <f t="shared" si="1"/>
        <v>Unique</v>
      </c>
      <c r="M48" s="2" t="str">
        <f t="shared" si="2"/>
        <v>No</v>
      </c>
    </row>
    <row r="49" spans="1:13" x14ac:dyDescent="0.35">
      <c r="A49" s="2" t="s">
        <v>2380</v>
      </c>
      <c r="B49" s="2" t="s">
        <v>431</v>
      </c>
      <c r="C49" s="2" t="s">
        <v>2379</v>
      </c>
      <c r="D49" s="16">
        <v>76900</v>
      </c>
      <c r="E49" s="2" t="s">
        <v>2314</v>
      </c>
      <c r="F49" s="2" t="str">
        <f>IFERROR(INDEX(Vendor_ID_Map!$B$2:$B$229,MATCH(B49,Vendor_ID_Map!$A$2:$A$229,0)),"UNMAPPED")</f>
        <v>V1077</v>
      </c>
      <c r="G49" s="2" t="str">
        <f>IFERROR(INDEX(Vendor_Master_Golden!$B$2:$B$208,MATCH(F49,Vendor_Master_Golden!$A$2:$A$208,0)),"-")</f>
        <v>Zenith Housekeeping LLP</v>
      </c>
      <c r="H49" s="2" t="str">
        <f>IFERROR(INDEX(Vendor_Master_Golden!$K$2:$K$208,MATCH(F49,Vendor_Master_Golden!$A$2:$A$208,0)),"-")</f>
        <v>Active</v>
      </c>
      <c r="I49" s="2" t="str">
        <f t="shared" si="0"/>
        <v>OK</v>
      </c>
      <c r="J49" s="2">
        <f>COUNTIFS($B$2:B49,B49,$A$2:A49,A49,$D$2:D49,D49)</f>
        <v>1</v>
      </c>
      <c r="K49" s="2">
        <f>COUNTIFS($F$2:F49,F49,$A$2:A49,A49,$D$2:D49,D49)</f>
        <v>1</v>
      </c>
      <c r="L49" s="2" t="str">
        <f t="shared" si="1"/>
        <v>Unique</v>
      </c>
      <c r="M49" s="2" t="str">
        <f t="shared" si="2"/>
        <v>No</v>
      </c>
    </row>
    <row r="50" spans="1:13" x14ac:dyDescent="0.35">
      <c r="A50" s="2" t="s">
        <v>2381</v>
      </c>
      <c r="B50" s="2" t="s">
        <v>1264</v>
      </c>
      <c r="C50" s="2" t="s">
        <v>581</v>
      </c>
      <c r="D50" s="16">
        <v>83500</v>
      </c>
      <c r="E50" s="2" t="s">
        <v>2314</v>
      </c>
      <c r="F50" s="2" t="str">
        <f>IFERROR(INDEX(Vendor_ID_Map!$B$2:$B$229,MATCH(B50,Vendor_ID_Map!$A$2:$A$229,0)),"UNMAPPED")</f>
        <v>V1011</v>
      </c>
      <c r="G50" s="2" t="str">
        <f>IFERROR(INDEX(Vendor_Master_Golden!$B$2:$B$208,MATCH(F50,Vendor_Master_Golden!$A$2:$A$208,0)),"-")</f>
        <v>Aaryan Maintenance LLP</v>
      </c>
      <c r="H50" s="2" t="str">
        <f>IFERROR(INDEX(Vendor_Master_Golden!$K$2:$K$208,MATCH(F50,Vendor_Master_Golden!$A$2:$A$208,0)),"-")</f>
        <v>Active</v>
      </c>
      <c r="I50" s="2" t="str">
        <f t="shared" si="0"/>
        <v>OK</v>
      </c>
      <c r="J50" s="2">
        <f>COUNTIFS($B$2:B50,B50,$A$2:A50,A50,$D$2:D50,D50)</f>
        <v>1</v>
      </c>
      <c r="K50" s="2">
        <f>COUNTIFS($F$2:F50,F50,$A$2:A50,A50,$D$2:D50,D50)</f>
        <v>1</v>
      </c>
      <c r="L50" s="2" t="str">
        <f t="shared" si="1"/>
        <v>Unique</v>
      </c>
      <c r="M50" s="2" t="str">
        <f t="shared" si="2"/>
        <v>No</v>
      </c>
    </row>
    <row r="51" spans="1:13" x14ac:dyDescent="0.35">
      <c r="A51" s="2" t="s">
        <v>2382</v>
      </c>
      <c r="B51" s="2" t="s">
        <v>281</v>
      </c>
      <c r="C51" s="2" t="s">
        <v>581</v>
      </c>
      <c r="D51" s="16">
        <v>54200</v>
      </c>
      <c r="E51" s="2" t="s">
        <v>2314</v>
      </c>
      <c r="F51" s="2" t="str">
        <f>IFERROR(INDEX(Vendor_ID_Map!$B$2:$B$229,MATCH(B51,Vendor_ID_Map!$A$2:$A$229,0)),"UNMAPPED")</f>
        <v>V1010</v>
      </c>
      <c r="G51" s="2" t="str">
        <f>IFERROR(INDEX(Vendor_Master_Golden!$B$2:$B$208,MATCH(F51,Vendor_Master_Golden!$A$2:$A$208,0)),"-")</f>
        <v>Delta Maintenance Limited</v>
      </c>
      <c r="H51" s="2" t="str">
        <f>IFERROR(INDEX(Vendor_Master_Golden!$K$2:$K$208,MATCH(F51,Vendor_Master_Golden!$A$2:$A$208,0)),"-")</f>
        <v>Active</v>
      </c>
      <c r="I51" s="2" t="str">
        <f t="shared" si="0"/>
        <v>OK</v>
      </c>
      <c r="J51" s="2">
        <f>COUNTIFS($B$2:B51,B51,$A$2:A51,A51,$D$2:D51,D51)</f>
        <v>1</v>
      </c>
      <c r="K51" s="2">
        <f>COUNTIFS($F$2:F51,F51,$A$2:A51,A51,$D$2:D51,D51)</f>
        <v>1</v>
      </c>
      <c r="L51" s="2" t="str">
        <f t="shared" si="1"/>
        <v>Unique</v>
      </c>
      <c r="M51" s="2" t="str">
        <f t="shared" si="2"/>
        <v>No</v>
      </c>
    </row>
    <row r="52" spans="1:13" x14ac:dyDescent="0.35">
      <c r="A52" s="2" t="s">
        <v>2382</v>
      </c>
      <c r="B52" s="2" t="s">
        <v>281</v>
      </c>
      <c r="C52" s="2" t="s">
        <v>581</v>
      </c>
      <c r="D52" s="16">
        <v>54200</v>
      </c>
      <c r="E52" s="2" t="s">
        <v>2316</v>
      </c>
      <c r="F52" s="2" t="str">
        <f>IFERROR(INDEX(Vendor_ID_Map!$B$2:$B$229,MATCH(B52,Vendor_ID_Map!$A$2:$A$229,0)),"UNMAPPED")</f>
        <v>V1010</v>
      </c>
      <c r="G52" s="2" t="str">
        <f>IFERROR(INDEX(Vendor_Master_Golden!$B$2:$B$208,MATCH(F52,Vendor_Master_Golden!$A$2:$A$208,0)),"-")</f>
        <v>Delta Maintenance Limited</v>
      </c>
      <c r="H52" s="2" t="str">
        <f>IFERROR(INDEX(Vendor_Master_Golden!$K$2:$K$208,MATCH(F52,Vendor_Master_Golden!$A$2:$A$208,0)),"-")</f>
        <v>Active</v>
      </c>
      <c r="I52" s="2" t="str">
        <f t="shared" si="0"/>
        <v>OK</v>
      </c>
      <c r="J52" s="2">
        <f>COUNTIFS($B$2:B52,B52,$A$2:A52,A52,$D$2:D52,D52)</f>
        <v>2</v>
      </c>
      <c r="K52" s="2">
        <f>COUNTIFS($F$2:F52,F52,$A$2:A52,A52,$D$2:D52,D52)</f>
        <v>2</v>
      </c>
      <c r="L52" s="2" t="str">
        <f t="shared" si="1"/>
        <v>Duplicate</v>
      </c>
      <c r="M52" s="2" t="str">
        <f t="shared" si="2"/>
        <v>No</v>
      </c>
    </row>
    <row r="53" spans="1:13" x14ac:dyDescent="0.35">
      <c r="A53" s="2" t="s">
        <v>2383</v>
      </c>
      <c r="B53" s="2" t="s">
        <v>1770</v>
      </c>
      <c r="C53" s="2" t="s">
        <v>2384</v>
      </c>
      <c r="D53" s="16">
        <v>15600</v>
      </c>
      <c r="E53" s="2" t="s">
        <v>2314</v>
      </c>
      <c r="F53" s="2" t="str">
        <f>IFERROR(INDEX(Vendor_ID_Map!$B$2:$B$229,MATCH(B53,Vendor_ID_Map!$A$2:$A$229,0)),"UNMAPPED")</f>
        <v>V1059</v>
      </c>
      <c r="G53" s="2" t="str">
        <f>IFERROR(INDEX(Vendor_Master_Golden!$B$2:$B$208,MATCH(F53,Vendor_Master_Golden!$A$2:$A$208,0)),"-")</f>
        <v>Unity Security Solutions LLP</v>
      </c>
      <c r="H53" s="2" t="str">
        <f>IFERROR(INDEX(Vendor_Master_Golden!$K$2:$K$208,MATCH(F53,Vendor_Master_Golden!$A$2:$A$208,0)),"-")</f>
        <v>Active</v>
      </c>
      <c r="I53" s="2" t="str">
        <f t="shared" si="0"/>
        <v>OK</v>
      </c>
      <c r="J53" s="2">
        <f>COUNTIFS($B$2:B53,B53,$A$2:A53,A53,$D$2:D53,D53)</f>
        <v>1</v>
      </c>
      <c r="K53" s="2">
        <f>COUNTIFS($F$2:F53,F53,$A$2:A53,A53,$D$2:D53,D53)</f>
        <v>1</v>
      </c>
      <c r="L53" s="2" t="str">
        <f t="shared" si="1"/>
        <v>Unique</v>
      </c>
      <c r="M53" s="2" t="str">
        <f t="shared" si="2"/>
        <v>No</v>
      </c>
    </row>
    <row r="54" spans="1:13" x14ac:dyDescent="0.35">
      <c r="A54" s="2" t="s">
        <v>2385</v>
      </c>
      <c r="B54" s="2" t="s">
        <v>133</v>
      </c>
      <c r="C54" s="2" t="s">
        <v>2384</v>
      </c>
      <c r="D54" s="16">
        <v>86100</v>
      </c>
      <c r="E54" s="2" t="s">
        <v>2314</v>
      </c>
      <c r="F54" s="2" t="str">
        <f>IFERROR(INDEX(Vendor_ID_Map!$B$2:$B$229,MATCH(B54,Vendor_ID_Map!$A$2:$A$229,0)),"UNMAPPED")</f>
        <v>V1054</v>
      </c>
      <c r="G54" s="2" t="str">
        <f>IFERROR(INDEX(Vendor_Master_Golden!$B$2:$B$208,MATCH(F54,Vendor_Master_Golden!$A$2:$A$208,0)),"-")</f>
        <v>Quantum Stationers Pvt Ltd</v>
      </c>
      <c r="H54" s="2" t="str">
        <f>IFERROR(INDEX(Vendor_Master_Golden!$K$2:$K$208,MATCH(F54,Vendor_Master_Golden!$A$2:$A$208,0)),"-")</f>
        <v>Inactive</v>
      </c>
      <c r="I54" s="2" t="str">
        <f t="shared" si="0"/>
        <v>Inactive Vendor</v>
      </c>
      <c r="J54" s="2">
        <f>COUNTIFS($B$2:B54,B54,$A$2:A54,A54,$D$2:D54,D54)</f>
        <v>1</v>
      </c>
      <c r="K54" s="2">
        <f>COUNTIFS($F$2:F54,F54,$A$2:A54,A54,$D$2:D54,D54)</f>
        <v>1</v>
      </c>
      <c r="L54" s="2" t="str">
        <f t="shared" si="1"/>
        <v>Unique</v>
      </c>
      <c r="M54" s="2" t="str">
        <f t="shared" si="2"/>
        <v>No</v>
      </c>
    </row>
    <row r="55" spans="1:13" x14ac:dyDescent="0.35">
      <c r="A55" s="2" t="s">
        <v>2386</v>
      </c>
      <c r="B55" s="2" t="s">
        <v>176</v>
      </c>
      <c r="C55" s="2" t="s">
        <v>2384</v>
      </c>
      <c r="D55" s="16">
        <v>132900</v>
      </c>
      <c r="E55" s="2" t="s">
        <v>2316</v>
      </c>
      <c r="F55" s="2" t="str">
        <f>IFERROR(INDEX(Vendor_ID_Map!$B$2:$B$229,MATCH(B55,Vendor_ID_Map!$A$2:$A$229,0)),"UNMAPPED")</f>
        <v>V1180</v>
      </c>
      <c r="G55" s="2" t="str">
        <f>IFERROR(INDEX(Vendor_Master_Golden!$B$2:$B$208,MATCH(F55,Vendor_Master_Golden!$A$2:$A$208,0)),"-")</f>
        <v>Bluewave Water Solutions Limited</v>
      </c>
      <c r="H55" s="2" t="str">
        <f>IFERROR(INDEX(Vendor_Master_Golden!$K$2:$K$208,MATCH(F55,Vendor_Master_Golden!$A$2:$A$208,0)),"-")</f>
        <v>Active</v>
      </c>
      <c r="I55" s="2" t="str">
        <f t="shared" si="0"/>
        <v>OK</v>
      </c>
      <c r="J55" s="2">
        <f>COUNTIFS($B$2:B55,B55,$A$2:A55,A55,$D$2:D55,D55)</f>
        <v>1</v>
      </c>
      <c r="K55" s="2">
        <f>COUNTIFS($F$2:F55,F55,$A$2:A55,A55,$D$2:D55,D55)</f>
        <v>1</v>
      </c>
      <c r="L55" s="2" t="str">
        <f t="shared" si="1"/>
        <v>Unique</v>
      </c>
      <c r="M55" s="2" t="str">
        <f t="shared" si="2"/>
        <v>No</v>
      </c>
    </row>
    <row r="56" spans="1:13" x14ac:dyDescent="0.35">
      <c r="A56" s="2" t="s">
        <v>2387</v>
      </c>
      <c r="B56" s="2" t="s">
        <v>1203</v>
      </c>
      <c r="C56" s="2" t="s">
        <v>2388</v>
      </c>
      <c r="D56" s="16">
        <v>29800</v>
      </c>
      <c r="E56" s="2" t="s">
        <v>2314</v>
      </c>
      <c r="F56" s="2" t="str">
        <f>IFERROR(INDEX(Vendor_ID_Map!$B$2:$B$229,MATCH(B56,Vendor_ID_Map!$A$2:$A$229,0)),"UNMAPPED")</f>
        <v>V1172</v>
      </c>
      <c r="G56" s="2" t="str">
        <f>IFERROR(INDEX(Vendor_Master_Golden!$B$2:$B$208,MATCH(F56,Vendor_Master_Golden!$A$2:$A$208,0)),"-")</f>
        <v>Sunrise IT Services Limited</v>
      </c>
      <c r="H56" s="2" t="str">
        <f>IFERROR(INDEX(Vendor_Master_Golden!$K$2:$K$208,MATCH(F56,Vendor_Master_Golden!$A$2:$A$208,0)),"-")</f>
        <v>Active</v>
      </c>
      <c r="I56" s="2" t="str">
        <f t="shared" si="0"/>
        <v>OK</v>
      </c>
      <c r="J56" s="2">
        <f>COUNTIFS($B$2:B56,B56,$A$2:A56,A56,$D$2:D56,D56)</f>
        <v>1</v>
      </c>
      <c r="K56" s="2">
        <f>COUNTIFS($F$2:F56,F56,$A$2:A56,A56,$D$2:D56,D56)</f>
        <v>1</v>
      </c>
      <c r="L56" s="2" t="str">
        <f t="shared" si="1"/>
        <v>Unique</v>
      </c>
      <c r="M56" s="2" t="str">
        <f t="shared" si="2"/>
        <v>No</v>
      </c>
    </row>
    <row r="57" spans="1:13" x14ac:dyDescent="0.35">
      <c r="A57" s="2" t="s">
        <v>2389</v>
      </c>
      <c r="B57" s="2" t="s">
        <v>986</v>
      </c>
      <c r="C57" s="2" t="s">
        <v>2390</v>
      </c>
      <c r="D57" s="16">
        <v>128500</v>
      </c>
      <c r="E57" s="2" t="s">
        <v>2314</v>
      </c>
      <c r="F57" s="2" t="str">
        <f>IFERROR(INDEX(Vendor_ID_Map!$B$2:$B$229,MATCH(B57,Vendor_ID_Map!$A$2:$A$229,0)),"UNMAPPED")</f>
        <v>V1016</v>
      </c>
      <c r="G57" s="2" t="str">
        <f>IFERROR(INDEX(Vendor_Master_Golden!$B$2:$B$208,MATCH(F57,Vendor_Master_Golden!$A$2:$A$208,0)),"-")</f>
        <v>Pinnacle Printing Limited</v>
      </c>
      <c r="H57" s="2" t="str">
        <f>IFERROR(INDEX(Vendor_Master_Golden!$K$2:$K$208,MATCH(F57,Vendor_Master_Golden!$A$2:$A$208,0)),"-")</f>
        <v>Active</v>
      </c>
      <c r="I57" s="2" t="str">
        <f t="shared" si="0"/>
        <v>OK</v>
      </c>
      <c r="J57" s="2">
        <f>COUNTIFS($B$2:B57,B57,$A$2:A57,A57,$D$2:D57,D57)</f>
        <v>1</v>
      </c>
      <c r="K57" s="2">
        <f>COUNTIFS($F$2:F57,F57,$A$2:A57,A57,$D$2:D57,D57)</f>
        <v>1</v>
      </c>
      <c r="L57" s="2" t="str">
        <f t="shared" si="1"/>
        <v>Unique</v>
      </c>
      <c r="M57" s="2" t="str">
        <f t="shared" si="2"/>
        <v>No</v>
      </c>
    </row>
    <row r="58" spans="1:13" x14ac:dyDescent="0.35">
      <c r="A58" s="2" t="s">
        <v>2391</v>
      </c>
      <c r="B58" s="2" t="s">
        <v>1524</v>
      </c>
      <c r="C58" s="2" t="s">
        <v>2390</v>
      </c>
      <c r="D58" s="16">
        <v>105100</v>
      </c>
      <c r="E58" s="2" t="s">
        <v>2314</v>
      </c>
      <c r="F58" s="2" t="str">
        <f>IFERROR(INDEX(Vendor_ID_Map!$B$2:$B$229,MATCH(B58,Vendor_ID_Map!$A$2:$A$229,0)),"UNMAPPED")</f>
        <v>V1164</v>
      </c>
      <c r="G58" s="2" t="str">
        <f>IFERROR(INDEX(Vendor_Master_Golden!$B$2:$B$208,MATCH(F58,Vendor_Master_Golden!$A$2:$A$208,0)),"-")</f>
        <v>Redwood Pest Control Pvt Ltd</v>
      </c>
      <c r="H58" s="2" t="str">
        <f>IFERROR(INDEX(Vendor_Master_Golden!$K$2:$K$208,MATCH(F58,Vendor_Master_Golden!$A$2:$A$208,0)),"-")</f>
        <v>Active</v>
      </c>
      <c r="I58" s="2" t="str">
        <f t="shared" si="0"/>
        <v>OK</v>
      </c>
      <c r="J58" s="2">
        <f>COUNTIFS($B$2:B58,B58,$A$2:A58,A58,$D$2:D58,D58)</f>
        <v>1</v>
      </c>
      <c r="K58" s="2">
        <f>COUNTIFS($F$2:F58,F58,$A$2:A58,A58,$D$2:D58,D58)</f>
        <v>1</v>
      </c>
      <c r="L58" s="2" t="str">
        <f t="shared" si="1"/>
        <v>Unique</v>
      </c>
      <c r="M58" s="2" t="str">
        <f t="shared" si="2"/>
        <v>No</v>
      </c>
    </row>
    <row r="59" spans="1:13" x14ac:dyDescent="0.35">
      <c r="A59" s="2" t="s">
        <v>2392</v>
      </c>
      <c r="B59" s="2" t="s">
        <v>1199</v>
      </c>
      <c r="C59" s="2" t="s">
        <v>2393</v>
      </c>
      <c r="D59" s="16">
        <v>150200</v>
      </c>
      <c r="E59" s="2" t="s">
        <v>2316</v>
      </c>
      <c r="F59" s="2" t="str">
        <f>IFERROR(INDEX(Vendor_ID_Map!$B$2:$B$229,MATCH(B59,Vendor_ID_Map!$A$2:$A$229,0)),"UNMAPPED")</f>
        <v>V1079</v>
      </c>
      <c r="G59" s="2" t="str">
        <f>IFERROR(INDEX(Vendor_Master_Golden!$B$2:$B$208,MATCH(F59,Vendor_Master_Golden!$A$2:$A$208,0)),"-")</f>
        <v>Falcon Landscaping Pvt Ltd</v>
      </c>
      <c r="H59" s="2" t="str">
        <f>IFERROR(INDEX(Vendor_Master_Golden!$K$2:$K$208,MATCH(F59,Vendor_Master_Golden!$A$2:$A$208,0)),"-")</f>
        <v>Active</v>
      </c>
      <c r="I59" s="2" t="str">
        <f t="shared" si="0"/>
        <v>OK</v>
      </c>
      <c r="J59" s="2">
        <f>COUNTIFS($B$2:B59,B59,$A$2:A59,A59,$D$2:D59,D59)</f>
        <v>1</v>
      </c>
      <c r="K59" s="2">
        <f>COUNTIFS($F$2:F59,F59,$A$2:A59,A59,$D$2:D59,D59)</f>
        <v>1</v>
      </c>
      <c r="L59" s="2" t="str">
        <f t="shared" si="1"/>
        <v>Unique</v>
      </c>
      <c r="M59" s="2" t="str">
        <f t="shared" si="2"/>
        <v>No</v>
      </c>
    </row>
    <row r="60" spans="1:13" x14ac:dyDescent="0.35">
      <c r="A60" s="2" t="s">
        <v>2394</v>
      </c>
      <c r="B60" s="2" t="s">
        <v>245</v>
      </c>
      <c r="C60" s="2" t="s">
        <v>2395</v>
      </c>
      <c r="D60" s="16">
        <v>28300</v>
      </c>
      <c r="E60" s="2" t="s">
        <v>2314</v>
      </c>
      <c r="F60" s="2" t="str">
        <f>IFERROR(INDEX(Vendor_ID_Map!$B$2:$B$229,MATCH(B60,Vendor_ID_Map!$A$2:$A$229,0)),"UNMAPPED")</f>
        <v>V1073</v>
      </c>
      <c r="G60" s="2" t="str">
        <f>IFERROR(INDEX(Vendor_Master_Golden!$B$2:$B$208,MATCH(F60,Vendor_Master_Golden!$A$2:$A$208,0)),"-")</f>
        <v>Delta IT Services Limited</v>
      </c>
      <c r="H60" s="2" t="str">
        <f>IFERROR(INDEX(Vendor_Master_Golden!$K$2:$K$208,MATCH(F60,Vendor_Master_Golden!$A$2:$A$208,0)),"-")</f>
        <v>Active</v>
      </c>
      <c r="I60" s="2" t="str">
        <f t="shared" si="0"/>
        <v>OK</v>
      </c>
      <c r="J60" s="2">
        <f>COUNTIFS($B$2:B60,B60,$A$2:A60,A60,$D$2:D60,D60)</f>
        <v>1</v>
      </c>
      <c r="K60" s="2">
        <f>COUNTIFS($F$2:F60,F60,$A$2:A60,A60,$D$2:D60,D60)</f>
        <v>1</v>
      </c>
      <c r="L60" s="2" t="str">
        <f t="shared" si="1"/>
        <v>Unique</v>
      </c>
      <c r="M60" s="2" t="str">
        <f t="shared" si="2"/>
        <v>No</v>
      </c>
    </row>
    <row r="61" spans="1:13" x14ac:dyDescent="0.35">
      <c r="A61" s="2" t="s">
        <v>2396</v>
      </c>
      <c r="B61" s="2" t="s">
        <v>722</v>
      </c>
      <c r="C61" s="2" t="s">
        <v>2395</v>
      </c>
      <c r="D61" s="16">
        <v>22100</v>
      </c>
      <c r="E61" s="2" t="s">
        <v>2314</v>
      </c>
      <c r="F61" s="2" t="str">
        <f>IFERROR(INDEX(Vendor_ID_Map!$B$2:$B$229,MATCH(B61,Vendor_ID_Map!$A$2:$A$229,0)),"UNMAPPED")</f>
        <v>V1052</v>
      </c>
      <c r="G61" s="2" t="str">
        <f>IFERROR(INDEX(Vendor_Master_Golden!$B$2:$B$208,MATCH(F61,Vendor_Master_Golden!$A$2:$A$208,0)),"-")</f>
        <v>Jupiter IT Services Limited</v>
      </c>
      <c r="H61" s="2" t="str">
        <f>IFERROR(INDEX(Vendor_Master_Golden!$K$2:$K$208,MATCH(F61,Vendor_Master_Golden!$A$2:$A$208,0)),"-")</f>
        <v>Active</v>
      </c>
      <c r="I61" s="2" t="str">
        <f t="shared" si="0"/>
        <v>OK</v>
      </c>
      <c r="J61" s="2">
        <f>COUNTIFS($B$2:B61,B61,$A$2:A61,A61,$D$2:D61,D61)</f>
        <v>1</v>
      </c>
      <c r="K61" s="2">
        <f>COUNTIFS($F$2:F61,F61,$A$2:A61,A61,$D$2:D61,D61)</f>
        <v>1</v>
      </c>
      <c r="L61" s="2" t="str">
        <f t="shared" si="1"/>
        <v>Unique</v>
      </c>
      <c r="M61" s="2" t="str">
        <f t="shared" si="2"/>
        <v>No</v>
      </c>
    </row>
    <row r="62" spans="1:13" x14ac:dyDescent="0.35">
      <c r="A62" s="2" t="s">
        <v>2397</v>
      </c>
      <c r="B62" s="2" t="s">
        <v>1167</v>
      </c>
      <c r="C62" s="2" t="s">
        <v>2395</v>
      </c>
      <c r="D62" s="16">
        <v>131700</v>
      </c>
      <c r="E62" s="2" t="s">
        <v>2316</v>
      </c>
      <c r="F62" s="2" t="str">
        <f>IFERROR(INDEX(Vendor_ID_Map!$B$2:$B$229,MATCH(B62,Vendor_ID_Map!$A$2:$A$229,0)),"UNMAPPED")</f>
        <v>V1019</v>
      </c>
      <c r="G62" s="2" t="str">
        <f>IFERROR(INDEX(Vendor_Master_Golden!$B$2:$B$208,MATCH(F62,Vendor_Master_Golden!$A$2:$A$208,0)),"-")</f>
        <v>Delta Logistics LLP</v>
      </c>
      <c r="H62" s="2" t="str">
        <f>IFERROR(INDEX(Vendor_Master_Golden!$K$2:$K$208,MATCH(F62,Vendor_Master_Golden!$A$2:$A$208,0)),"-")</f>
        <v>Active</v>
      </c>
      <c r="I62" s="2" t="str">
        <f t="shared" si="0"/>
        <v>OK</v>
      </c>
      <c r="J62" s="2">
        <f>COUNTIFS($B$2:B62,B62,$A$2:A62,A62,$D$2:D62,D62)</f>
        <v>1</v>
      </c>
      <c r="K62" s="2">
        <f>COUNTIFS($F$2:F62,F62,$A$2:A62,A62,$D$2:D62,D62)</f>
        <v>1</v>
      </c>
      <c r="L62" s="2" t="str">
        <f t="shared" si="1"/>
        <v>Unique</v>
      </c>
      <c r="M62" s="2" t="str">
        <f t="shared" si="2"/>
        <v>No</v>
      </c>
    </row>
    <row r="63" spans="1:13" x14ac:dyDescent="0.35">
      <c r="A63" s="2" t="s">
        <v>2398</v>
      </c>
      <c r="B63" s="2" t="s">
        <v>1479</v>
      </c>
      <c r="C63" s="2" t="s">
        <v>2399</v>
      </c>
      <c r="D63" s="16">
        <v>104800</v>
      </c>
      <c r="E63" s="2" t="s">
        <v>2314</v>
      </c>
      <c r="F63" s="2" t="str">
        <f>IFERROR(INDEX(Vendor_ID_Map!$B$2:$B$229,MATCH(B63,Vendor_ID_Map!$A$2:$A$229,0)),"UNMAPPED")</f>
        <v>V1037</v>
      </c>
      <c r="G63" s="2" t="str">
        <f>IFERROR(INDEX(Vendor_Master_Golden!$B$2:$B$208,MATCH(F63,Vendor_Master_Golden!$A$2:$A$208,0)),"-")</f>
        <v>Falcon Stationers Private Limited</v>
      </c>
      <c r="H63" s="2" t="str">
        <f>IFERROR(INDEX(Vendor_Master_Golden!$K$2:$K$208,MATCH(F63,Vendor_Master_Golden!$A$2:$A$208,0)),"-")</f>
        <v>Inactive</v>
      </c>
      <c r="I63" s="2" t="str">
        <f t="shared" si="0"/>
        <v>Inactive Vendor</v>
      </c>
      <c r="J63" s="2">
        <f>COUNTIFS($B$2:B63,B63,$A$2:A63,A63,$D$2:D63,D63)</f>
        <v>1</v>
      </c>
      <c r="K63" s="2">
        <f>COUNTIFS($F$2:F63,F63,$A$2:A63,A63,$D$2:D63,D63)</f>
        <v>1</v>
      </c>
      <c r="L63" s="2" t="str">
        <f t="shared" si="1"/>
        <v>Unique</v>
      </c>
      <c r="M63" s="2" t="str">
        <f t="shared" si="2"/>
        <v>No</v>
      </c>
    </row>
    <row r="64" spans="1:13" x14ac:dyDescent="0.35">
      <c r="A64" s="2" t="s">
        <v>2400</v>
      </c>
      <c r="B64" s="2" t="s">
        <v>1078</v>
      </c>
      <c r="C64" s="2" t="s">
        <v>2399</v>
      </c>
      <c r="D64" s="16">
        <v>149300</v>
      </c>
      <c r="E64" s="2" t="s">
        <v>2314</v>
      </c>
      <c r="F64" s="2" t="str">
        <f>IFERROR(INDEX(Vendor_ID_Map!$B$2:$B$229,MATCH(B64,Vendor_ID_Map!$A$2:$A$229,0)),"UNMAPPED")</f>
        <v>V1160</v>
      </c>
      <c r="G64" s="2" t="str">
        <f>IFERROR(INDEX(Vendor_Master_Golden!$B$2:$B$208,MATCH(F64,Vendor_Master_Golden!$A$2:$A$208,0)),"-")</f>
        <v>Nova IT Services LLP</v>
      </c>
      <c r="H64" s="2" t="str">
        <f>IFERROR(INDEX(Vendor_Master_Golden!$K$2:$K$208,MATCH(F64,Vendor_Master_Golden!$A$2:$A$208,0)),"-")</f>
        <v>Active</v>
      </c>
      <c r="I64" s="2" t="str">
        <f t="shared" si="0"/>
        <v>OK</v>
      </c>
      <c r="J64" s="2">
        <f>COUNTIFS($B$2:B64,B64,$A$2:A64,A64,$D$2:D64,D64)</f>
        <v>1</v>
      </c>
      <c r="K64" s="2">
        <f>COUNTIFS($F$2:F64,F64,$A$2:A64,A64,$D$2:D64,D64)</f>
        <v>1</v>
      </c>
      <c r="L64" s="2" t="str">
        <f t="shared" si="1"/>
        <v>Unique</v>
      </c>
      <c r="M64" s="2" t="str">
        <f t="shared" si="2"/>
        <v>No</v>
      </c>
    </row>
    <row r="65" spans="1:13" x14ac:dyDescent="0.35">
      <c r="A65" s="2" t="s">
        <v>2401</v>
      </c>
      <c r="B65" s="2" t="s">
        <v>1314</v>
      </c>
      <c r="C65" s="2" t="s">
        <v>2399</v>
      </c>
      <c r="D65" s="16">
        <v>81300</v>
      </c>
      <c r="E65" s="2" t="s">
        <v>2314</v>
      </c>
      <c r="F65" s="2" t="str">
        <f>IFERROR(INDEX(Vendor_ID_Map!$B$2:$B$229,MATCH(B65,Vendor_ID_Map!$A$2:$A$229,0)),"UNMAPPED")</f>
        <v>V1085</v>
      </c>
      <c r="G65" s="2" t="str">
        <f>IFERROR(INDEX(Vendor_Master_Golden!$B$2:$B$208,MATCH(F65,Vendor_Master_Golden!$A$2:$A$208,0)),"-")</f>
        <v>Crestline Power Systems LLP</v>
      </c>
      <c r="H65" s="2" t="str">
        <f>IFERROR(INDEX(Vendor_Master_Golden!$K$2:$K$208,MATCH(F65,Vendor_Master_Golden!$A$2:$A$208,0)),"-")</f>
        <v>Active</v>
      </c>
      <c r="I65" s="2" t="str">
        <f t="shared" si="0"/>
        <v>OK</v>
      </c>
      <c r="J65" s="2">
        <f>COUNTIFS($B$2:B65,B65,$A$2:A65,A65,$D$2:D65,D65)</f>
        <v>1</v>
      </c>
      <c r="K65" s="2">
        <f>COUNTIFS($F$2:F65,F65,$A$2:A65,A65,$D$2:D65,D65)</f>
        <v>1</v>
      </c>
      <c r="L65" s="2" t="str">
        <f t="shared" si="1"/>
        <v>Unique</v>
      </c>
      <c r="M65" s="2" t="str">
        <f t="shared" si="2"/>
        <v>No</v>
      </c>
    </row>
    <row r="66" spans="1:13" x14ac:dyDescent="0.35">
      <c r="A66" s="2" t="s">
        <v>2402</v>
      </c>
      <c r="B66" s="2" t="s">
        <v>960</v>
      </c>
      <c r="C66" s="2" t="s">
        <v>2399</v>
      </c>
      <c r="D66" s="16">
        <v>293000</v>
      </c>
      <c r="E66" s="2" t="s">
        <v>2316</v>
      </c>
      <c r="F66" s="2" t="str">
        <f>IFERROR(INDEX(Vendor_ID_Map!$B$2:$B$229,MATCH(B66,Vendor_ID_Map!$A$2:$A$229,0)),"UNMAPPED")</f>
        <v>V1040</v>
      </c>
      <c r="G66" s="2" t="str">
        <f>IFERROR(INDEX(Vendor_Master_Golden!$B$2:$B$208,MATCH(F66,Vendor_Master_Golden!$A$2:$A$208,0)),"-")</f>
        <v>Metro Printing Limited</v>
      </c>
      <c r="H66" s="2" t="str">
        <f>IFERROR(INDEX(Vendor_Master_Golden!$K$2:$K$208,MATCH(F66,Vendor_Master_Golden!$A$2:$A$208,0)),"-")</f>
        <v>Active</v>
      </c>
      <c r="I66" s="2" t="str">
        <f t="shared" ref="I66:I129" si="3">IF(F66="UNMAPPED","Orphan Vendor ID",IF(H66="Inactive","Inactive Vendor","OK"))</f>
        <v>OK</v>
      </c>
      <c r="J66" s="2">
        <f>COUNTIFS($B$2:B66,B66,$A$2:A66,A66,$D$2:D66,D66)</f>
        <v>1</v>
      </c>
      <c r="K66" s="2">
        <f>COUNTIFS($F$2:F66,F66,$A$2:A66,A66,$D$2:D66,D66)</f>
        <v>1</v>
      </c>
      <c r="L66" s="2" t="str">
        <f t="shared" ref="L66:L129" si="4">IF(K66&gt;1,"Duplicate","Unique")</f>
        <v>Unique</v>
      </c>
      <c r="M66" s="2" t="str">
        <f t="shared" ref="M66:M129" si="5">IF(AND(K66&gt;1,J66=1),"Yes","No")</f>
        <v>No</v>
      </c>
    </row>
    <row r="67" spans="1:13" x14ac:dyDescent="0.35">
      <c r="A67" s="2" t="s">
        <v>2403</v>
      </c>
      <c r="B67" s="2" t="s">
        <v>1230</v>
      </c>
      <c r="C67" s="2" t="s">
        <v>2404</v>
      </c>
      <c r="D67" s="16">
        <v>58600</v>
      </c>
      <c r="E67" s="2" t="s">
        <v>2314</v>
      </c>
      <c r="F67" s="2" t="str">
        <f>IFERROR(INDEX(Vendor_ID_Map!$B$2:$B$229,MATCH(B67,Vendor_ID_Map!$A$2:$A$229,0)),"UNMAPPED")</f>
        <v>V1158</v>
      </c>
      <c r="G67" s="2" t="str">
        <f>IFERROR(INDEX(Vendor_Master_Golden!$B$2:$B$208,MATCH(F67,Vendor_Master_Golden!$A$2:$A$208,0)),"-")</f>
        <v>Eastern Security Solutions LLP</v>
      </c>
      <c r="H67" s="2" t="str">
        <f>IFERROR(INDEX(Vendor_Master_Golden!$K$2:$K$208,MATCH(F67,Vendor_Master_Golden!$A$2:$A$208,0)),"-")</f>
        <v>Active</v>
      </c>
      <c r="I67" s="2" t="str">
        <f t="shared" si="3"/>
        <v>OK</v>
      </c>
      <c r="J67" s="2">
        <f>COUNTIFS($B$2:B67,B67,$A$2:A67,A67,$D$2:D67,D67)</f>
        <v>1</v>
      </c>
      <c r="K67" s="2">
        <f>COUNTIFS($F$2:F67,F67,$A$2:A67,A67,$D$2:D67,D67)</f>
        <v>1</v>
      </c>
      <c r="L67" s="2" t="str">
        <f t="shared" si="4"/>
        <v>Unique</v>
      </c>
      <c r="M67" s="2" t="str">
        <f t="shared" si="5"/>
        <v>No</v>
      </c>
    </row>
    <row r="68" spans="1:13" x14ac:dyDescent="0.35">
      <c r="A68" s="2" t="s">
        <v>2405</v>
      </c>
      <c r="B68" s="2" t="s">
        <v>387</v>
      </c>
      <c r="C68" s="2" t="s">
        <v>2406</v>
      </c>
      <c r="D68" s="16">
        <v>55700</v>
      </c>
      <c r="E68" s="2" t="s">
        <v>2314</v>
      </c>
      <c r="F68" s="2" t="str">
        <f>IFERROR(INDEX(Vendor_ID_Map!$B$2:$B$229,MATCH(B68,Vendor_ID_Map!$A$2:$A$229,0)),"UNMAPPED")</f>
        <v>V1062</v>
      </c>
      <c r="G68" s="2" t="str">
        <f>IFERROR(INDEX(Vendor_Master_Golden!$B$2:$B$208,MATCH(F68,Vendor_Master_Golden!$A$2:$A$208,0)),"-")</f>
        <v>Western Power Systems Pvt Ltd</v>
      </c>
      <c r="H68" s="2" t="str">
        <f>IFERROR(INDEX(Vendor_Master_Golden!$K$2:$K$208,MATCH(F68,Vendor_Master_Golden!$A$2:$A$208,0)),"-")</f>
        <v>Active</v>
      </c>
      <c r="I68" s="2" t="str">
        <f t="shared" si="3"/>
        <v>OK</v>
      </c>
      <c r="J68" s="2">
        <f>COUNTIFS($B$2:B68,B68,$A$2:A68,A68,$D$2:D68,D68)</f>
        <v>1</v>
      </c>
      <c r="K68" s="2">
        <f>COUNTIFS($F$2:F68,F68,$A$2:A68,A68,$D$2:D68,D68)</f>
        <v>1</v>
      </c>
      <c r="L68" s="2" t="str">
        <f t="shared" si="4"/>
        <v>Unique</v>
      </c>
      <c r="M68" s="2" t="str">
        <f t="shared" si="5"/>
        <v>No</v>
      </c>
    </row>
    <row r="69" spans="1:13" x14ac:dyDescent="0.35">
      <c r="A69" s="2" t="s">
        <v>2407</v>
      </c>
      <c r="B69" s="2" t="s">
        <v>1341</v>
      </c>
      <c r="C69" s="2" t="s">
        <v>2406</v>
      </c>
      <c r="D69" s="16">
        <v>58600</v>
      </c>
      <c r="E69" s="2" t="s">
        <v>2314</v>
      </c>
      <c r="F69" s="2" t="str">
        <f>IFERROR(INDEX(Vendor_ID_Map!$B$2:$B$229,MATCH(B69,Vendor_ID_Map!$A$2:$A$229,0)),"UNMAPPED")</f>
        <v>V1045</v>
      </c>
      <c r="G69" s="2" t="str">
        <f>IFERROR(INDEX(Vendor_Master_Golden!$B$2:$B$208,MATCH(F69,Vendor_Master_Golden!$A$2:$A$208,0)),"-")</f>
        <v>Ganga Engineering Works Private Limited</v>
      </c>
      <c r="H69" s="2" t="str">
        <f>IFERROR(INDEX(Vendor_Master_Golden!$K$2:$K$208,MATCH(F69,Vendor_Master_Golden!$A$2:$A$208,0)),"-")</f>
        <v>Active</v>
      </c>
      <c r="I69" s="2" t="str">
        <f t="shared" si="3"/>
        <v>OK</v>
      </c>
      <c r="J69" s="2">
        <f>COUNTIFS($B$2:B69,B69,$A$2:A69,A69,$D$2:D69,D69)</f>
        <v>1</v>
      </c>
      <c r="K69" s="2">
        <f>COUNTIFS($F$2:F69,F69,$A$2:A69,A69,$D$2:D69,D69)</f>
        <v>1</v>
      </c>
      <c r="L69" s="2" t="str">
        <f t="shared" si="4"/>
        <v>Unique</v>
      </c>
      <c r="M69" s="2" t="str">
        <f t="shared" si="5"/>
        <v>No</v>
      </c>
    </row>
    <row r="70" spans="1:13" x14ac:dyDescent="0.35">
      <c r="A70" s="2" t="s">
        <v>2408</v>
      </c>
      <c r="B70" s="2" t="s">
        <v>1560</v>
      </c>
      <c r="C70" s="2" t="s">
        <v>2409</v>
      </c>
      <c r="D70" s="16">
        <v>41300</v>
      </c>
      <c r="E70" s="2" t="s">
        <v>2314</v>
      </c>
      <c r="F70" s="2" t="str">
        <f>IFERROR(INDEX(Vendor_ID_Map!$B$2:$B$229,MATCH(B70,Vendor_ID_Map!$A$2:$A$229,0)),"UNMAPPED")</f>
        <v>V1124</v>
      </c>
      <c r="G70" s="2" t="str">
        <f>IFERROR(INDEX(Vendor_Master_Golden!$B$2:$B$208,MATCH(F70,Vendor_Master_Golden!$A$2:$A$208,0)),"-")</f>
        <v>Zenith Security Solutions LLP</v>
      </c>
      <c r="H70" s="2" t="str">
        <f>IFERROR(INDEX(Vendor_Master_Golden!$K$2:$K$208,MATCH(F70,Vendor_Master_Golden!$A$2:$A$208,0)),"-")</f>
        <v>Active</v>
      </c>
      <c r="I70" s="2" t="str">
        <f t="shared" si="3"/>
        <v>OK</v>
      </c>
      <c r="J70" s="2">
        <f>COUNTIFS($B$2:B70,B70,$A$2:A70,A70,$D$2:D70,D70)</f>
        <v>1</v>
      </c>
      <c r="K70" s="2">
        <f>COUNTIFS($F$2:F70,F70,$A$2:A70,A70,$D$2:D70,D70)</f>
        <v>1</v>
      </c>
      <c r="L70" s="2" t="str">
        <f t="shared" si="4"/>
        <v>Unique</v>
      </c>
      <c r="M70" s="2" t="str">
        <f t="shared" si="5"/>
        <v>No</v>
      </c>
    </row>
    <row r="71" spans="1:13" x14ac:dyDescent="0.35">
      <c r="A71" s="2" t="s">
        <v>2410</v>
      </c>
      <c r="B71" s="2" t="s">
        <v>760</v>
      </c>
      <c r="C71" s="2" t="s">
        <v>2409</v>
      </c>
      <c r="D71" s="16">
        <v>63400</v>
      </c>
      <c r="E71" s="2" t="s">
        <v>2316</v>
      </c>
      <c r="F71" s="2" t="str">
        <f>IFERROR(INDEX(Vendor_ID_Map!$B$2:$B$229,MATCH(B71,Vendor_ID_Map!$A$2:$A$229,0)),"UNMAPPED")</f>
        <v>V1061</v>
      </c>
      <c r="G71" s="2" t="str">
        <f>IFERROR(INDEX(Vendor_Master_Golden!$B$2:$B$208,MATCH(F71,Vendor_Master_Golden!$A$2:$A$208,0)),"-")</f>
        <v>Western Landscaping LLP</v>
      </c>
      <c r="H71" s="2" t="str">
        <f>IFERROR(INDEX(Vendor_Master_Golden!$K$2:$K$208,MATCH(F71,Vendor_Master_Golden!$A$2:$A$208,0)),"-")</f>
        <v>Active</v>
      </c>
      <c r="I71" s="2" t="str">
        <f t="shared" si="3"/>
        <v>OK</v>
      </c>
      <c r="J71" s="2">
        <f>COUNTIFS($B$2:B71,B71,$A$2:A71,A71,$D$2:D71,D71)</f>
        <v>1</v>
      </c>
      <c r="K71" s="2">
        <f>COUNTIFS($F$2:F71,F71,$A$2:A71,A71,$D$2:D71,D71)</f>
        <v>1</v>
      </c>
      <c r="L71" s="2" t="str">
        <f t="shared" si="4"/>
        <v>Unique</v>
      </c>
      <c r="M71" s="2" t="str">
        <f t="shared" si="5"/>
        <v>No</v>
      </c>
    </row>
    <row r="72" spans="1:13" x14ac:dyDescent="0.35">
      <c r="A72" s="2" t="s">
        <v>2411</v>
      </c>
      <c r="B72" s="2" t="s">
        <v>797</v>
      </c>
      <c r="C72" s="2" t="s">
        <v>2412</v>
      </c>
      <c r="D72" s="16">
        <v>86400</v>
      </c>
      <c r="E72" s="2" t="s">
        <v>2314</v>
      </c>
      <c r="F72" s="2" t="str">
        <f>IFERROR(INDEX(Vendor_ID_Map!$B$2:$B$229,MATCH(B72,Vendor_ID_Map!$A$2:$A$229,0)),"UNMAPPED")</f>
        <v>V1202</v>
      </c>
      <c r="G72" s="2" t="str">
        <f>IFERROR(INDEX(Vendor_Master_Golden!$B$2:$B$208,MATCH(F72,Vendor_Master_Golden!$A$2:$A$208,0)),"-")</f>
        <v>Eastern It Services Limited</v>
      </c>
      <c r="H72" s="2" t="str">
        <f>IFERROR(INDEX(Vendor_Master_Golden!$K$2:$K$208,MATCH(F72,Vendor_Master_Golden!$A$2:$A$208,0)),"-")</f>
        <v>Active</v>
      </c>
      <c r="I72" s="2" t="str">
        <f t="shared" si="3"/>
        <v>OK</v>
      </c>
      <c r="J72" s="2">
        <f>COUNTIFS($B$2:B72,B72,$A$2:A72,A72,$D$2:D72,D72)</f>
        <v>1</v>
      </c>
      <c r="K72" s="2">
        <f>COUNTIFS($F$2:F72,F72,$A$2:A72,A72,$D$2:D72,D72)</f>
        <v>1</v>
      </c>
      <c r="L72" s="2" t="str">
        <f t="shared" si="4"/>
        <v>Unique</v>
      </c>
      <c r="M72" s="2" t="str">
        <f t="shared" si="5"/>
        <v>No</v>
      </c>
    </row>
    <row r="73" spans="1:13" x14ac:dyDescent="0.35">
      <c r="A73" s="2" t="s">
        <v>2413</v>
      </c>
      <c r="B73" s="2" t="s">
        <v>281</v>
      </c>
      <c r="C73" s="2" t="s">
        <v>2414</v>
      </c>
      <c r="D73" s="16">
        <v>27500</v>
      </c>
      <c r="E73" s="2" t="s">
        <v>2314</v>
      </c>
      <c r="F73" s="2" t="str">
        <f>IFERROR(INDEX(Vendor_ID_Map!$B$2:$B$229,MATCH(B73,Vendor_ID_Map!$A$2:$A$229,0)),"UNMAPPED")</f>
        <v>V1010</v>
      </c>
      <c r="G73" s="2" t="str">
        <f>IFERROR(INDEX(Vendor_Master_Golden!$B$2:$B$208,MATCH(F73,Vendor_Master_Golden!$A$2:$A$208,0)),"-")</f>
        <v>Delta Maintenance Limited</v>
      </c>
      <c r="H73" s="2" t="str">
        <f>IFERROR(INDEX(Vendor_Master_Golden!$K$2:$K$208,MATCH(F73,Vendor_Master_Golden!$A$2:$A$208,0)),"-")</f>
        <v>Active</v>
      </c>
      <c r="I73" s="2" t="str">
        <f t="shared" si="3"/>
        <v>OK</v>
      </c>
      <c r="J73" s="2">
        <f>COUNTIFS($B$2:B73,B73,$A$2:A73,A73,$D$2:D73,D73)</f>
        <v>1</v>
      </c>
      <c r="K73" s="2">
        <f>COUNTIFS($F$2:F73,F73,$A$2:A73,A73,$D$2:D73,D73)</f>
        <v>1</v>
      </c>
      <c r="L73" s="2" t="str">
        <f t="shared" si="4"/>
        <v>Unique</v>
      </c>
      <c r="M73" s="2" t="str">
        <f t="shared" si="5"/>
        <v>No</v>
      </c>
    </row>
    <row r="74" spans="1:13" x14ac:dyDescent="0.35">
      <c r="A74" s="2" t="s">
        <v>2415</v>
      </c>
      <c r="B74" s="2" t="s">
        <v>1758</v>
      </c>
      <c r="C74" s="2" t="s">
        <v>2414</v>
      </c>
      <c r="D74" s="16">
        <v>74600</v>
      </c>
      <c r="E74" s="2" t="s">
        <v>2314</v>
      </c>
      <c r="F74" s="2" t="str">
        <f>IFERROR(INDEX(Vendor_ID_Map!$B$2:$B$229,MATCH(B74,Vendor_ID_Map!$A$2:$A$229,0)),"UNMAPPED")</f>
        <v>V1129</v>
      </c>
      <c r="G74" s="2" t="str">
        <f>IFERROR(INDEX(Vendor_Master_Golden!$B$2:$B$208,MATCH(F74,Vendor_Master_Golden!$A$2:$A$208,0)),"-")</f>
        <v>Bluewave Maintenance LLP</v>
      </c>
      <c r="H74" s="2" t="str">
        <f>IFERROR(INDEX(Vendor_Master_Golden!$K$2:$K$208,MATCH(F74,Vendor_Master_Golden!$A$2:$A$208,0)),"-")</f>
        <v>Active</v>
      </c>
      <c r="I74" s="2" t="str">
        <f t="shared" si="3"/>
        <v>OK</v>
      </c>
      <c r="J74" s="2">
        <f>COUNTIFS($B$2:B74,B74,$A$2:A74,A74,$D$2:D74,D74)</f>
        <v>1</v>
      </c>
      <c r="K74" s="2">
        <f>COUNTIFS($F$2:F74,F74,$A$2:A74,A74,$D$2:D74,D74)</f>
        <v>1</v>
      </c>
      <c r="L74" s="2" t="str">
        <f t="shared" si="4"/>
        <v>Unique</v>
      </c>
      <c r="M74" s="2" t="str">
        <f t="shared" si="5"/>
        <v>No</v>
      </c>
    </row>
    <row r="75" spans="1:13" x14ac:dyDescent="0.35">
      <c r="A75" s="2" t="s">
        <v>2416</v>
      </c>
      <c r="B75" s="2" t="s">
        <v>1723</v>
      </c>
      <c r="C75" s="2" t="s">
        <v>2417</v>
      </c>
      <c r="D75" s="16">
        <v>41900</v>
      </c>
      <c r="E75" s="2" t="s">
        <v>2316</v>
      </c>
      <c r="F75" s="2" t="str">
        <f>IFERROR(INDEX(Vendor_ID_Map!$B$2:$B$229,MATCH(B75,Vendor_ID_Map!$A$2:$A$229,0)),"UNMAPPED")</f>
        <v>V1025</v>
      </c>
      <c r="G75" s="2" t="str">
        <f>IFERROR(INDEX(Vendor_Master_Golden!$B$2:$B$208,MATCH(F75,Vendor_Master_Golden!$A$2:$A$208,0)),"-")</f>
        <v>Unity Water Solutions Pvt Ltd</v>
      </c>
      <c r="H75" s="2" t="str">
        <f>IFERROR(INDEX(Vendor_Master_Golden!$K$2:$K$208,MATCH(F75,Vendor_Master_Golden!$A$2:$A$208,0)),"-")</f>
        <v>Inactive</v>
      </c>
      <c r="I75" s="2" t="str">
        <f t="shared" si="3"/>
        <v>Inactive Vendor</v>
      </c>
      <c r="J75" s="2">
        <f>COUNTIFS($B$2:B75,B75,$A$2:A75,A75,$D$2:D75,D75)</f>
        <v>1</v>
      </c>
      <c r="K75" s="2">
        <f>COUNTIFS($F$2:F75,F75,$A$2:A75,A75,$D$2:D75,D75)</f>
        <v>1</v>
      </c>
      <c r="L75" s="2" t="str">
        <f t="shared" si="4"/>
        <v>Unique</v>
      </c>
      <c r="M75" s="2" t="str">
        <f t="shared" si="5"/>
        <v>No</v>
      </c>
    </row>
    <row r="76" spans="1:13" x14ac:dyDescent="0.35">
      <c r="A76" s="2" t="s">
        <v>2418</v>
      </c>
      <c r="B76" s="2" t="s">
        <v>1045</v>
      </c>
      <c r="C76" s="2" t="s">
        <v>2417</v>
      </c>
      <c r="D76" s="16">
        <v>21500</v>
      </c>
      <c r="E76" s="2" t="s">
        <v>2316</v>
      </c>
      <c r="F76" s="2" t="str">
        <f>IFERROR(INDEX(Vendor_ID_Map!$B$2:$B$229,MATCH(B76,Vendor_ID_Map!$A$2:$A$229,0)),"UNMAPPED")</f>
        <v>V1120</v>
      </c>
      <c r="G76" s="2" t="str">
        <f>IFERROR(INDEX(Vendor_Master_Golden!$B$2:$B$208,MATCH(F76,Vendor_Master_Golden!$A$2:$A$208,0)),"-")</f>
        <v>Pinnacle IT Services Limited</v>
      </c>
      <c r="H76" s="2" t="str">
        <f>IFERROR(INDEX(Vendor_Master_Golden!$K$2:$K$208,MATCH(F76,Vendor_Master_Golden!$A$2:$A$208,0)),"-")</f>
        <v>Active</v>
      </c>
      <c r="I76" s="2" t="str">
        <f t="shared" si="3"/>
        <v>OK</v>
      </c>
      <c r="J76" s="2">
        <f>COUNTIFS($B$2:B76,B76,$A$2:A76,A76,$D$2:D76,D76)</f>
        <v>1</v>
      </c>
      <c r="K76" s="2">
        <f>COUNTIFS($F$2:F76,F76,$A$2:A76,A76,$D$2:D76,D76)</f>
        <v>1</v>
      </c>
      <c r="L76" s="2" t="str">
        <f t="shared" si="4"/>
        <v>Unique</v>
      </c>
      <c r="M76" s="2" t="str">
        <f t="shared" si="5"/>
        <v>No</v>
      </c>
    </row>
    <row r="77" spans="1:13" x14ac:dyDescent="0.35">
      <c r="A77" s="2" t="s">
        <v>2419</v>
      </c>
      <c r="B77" s="2" t="s">
        <v>1413</v>
      </c>
      <c r="C77" s="2" t="s">
        <v>2420</v>
      </c>
      <c r="D77" s="16">
        <v>43900</v>
      </c>
      <c r="E77" s="2" t="s">
        <v>2316</v>
      </c>
      <c r="F77" s="2" t="str">
        <f>IFERROR(INDEX(Vendor_ID_Map!$B$2:$B$229,MATCH(B77,Vendor_ID_Map!$A$2:$A$229,0)),"UNMAPPED")</f>
        <v>V1053</v>
      </c>
      <c r="G77" s="2" t="str">
        <f>IFERROR(INDEX(Vendor_Master_Golden!$B$2:$B$208,MATCH(F77,Vendor_Master_Golden!$A$2:$A$208,0)),"-")</f>
        <v>Bluewave Power Systems LLP</v>
      </c>
      <c r="H77" s="2" t="str">
        <f>IFERROR(INDEX(Vendor_Master_Golden!$K$2:$K$208,MATCH(F77,Vendor_Master_Golden!$A$2:$A$208,0)),"-")</f>
        <v>Active</v>
      </c>
      <c r="I77" s="2" t="str">
        <f t="shared" si="3"/>
        <v>OK</v>
      </c>
      <c r="J77" s="2">
        <f>COUNTIFS($B$2:B77,B77,$A$2:A77,A77,$D$2:D77,D77)</f>
        <v>1</v>
      </c>
      <c r="K77" s="2">
        <f>COUNTIFS($F$2:F77,F77,$A$2:A77,A77,$D$2:D77,D77)</f>
        <v>1</v>
      </c>
      <c r="L77" s="2" t="str">
        <f t="shared" si="4"/>
        <v>Unique</v>
      </c>
      <c r="M77" s="2" t="str">
        <f t="shared" si="5"/>
        <v>No</v>
      </c>
    </row>
    <row r="78" spans="1:13" x14ac:dyDescent="0.35">
      <c r="A78" s="2" t="s">
        <v>2421</v>
      </c>
      <c r="B78" s="2" t="s">
        <v>186</v>
      </c>
      <c r="C78" s="2" t="s">
        <v>2420</v>
      </c>
      <c r="D78" s="16">
        <v>80200</v>
      </c>
      <c r="E78" s="2" t="s">
        <v>2316</v>
      </c>
      <c r="F78" s="2" t="str">
        <f>IFERROR(INDEX(Vendor_ID_Map!$B$2:$B$229,MATCH(B78,Vendor_ID_Map!$A$2:$A$229,0)),"UNMAPPED")</f>
        <v>V1186</v>
      </c>
      <c r="G78" s="2" t="str">
        <f>IFERROR(INDEX(Vendor_Master_Golden!$B$2:$B$208,MATCH(F78,Vendor_Master_Golden!$A$2:$A$208,0)),"-")</f>
        <v>Titan Stationers Private Limited</v>
      </c>
      <c r="H78" s="2" t="str">
        <f>IFERROR(INDEX(Vendor_Master_Golden!$K$2:$K$208,MATCH(F78,Vendor_Master_Golden!$A$2:$A$208,0)),"-")</f>
        <v>Active</v>
      </c>
      <c r="I78" s="2" t="str">
        <f t="shared" si="3"/>
        <v>OK</v>
      </c>
      <c r="J78" s="2">
        <f>COUNTIFS($B$2:B78,B78,$A$2:A78,A78,$D$2:D78,D78)</f>
        <v>1</v>
      </c>
      <c r="K78" s="2">
        <f>COUNTIFS($F$2:F78,F78,$A$2:A78,A78,$D$2:D78,D78)</f>
        <v>1</v>
      </c>
      <c r="L78" s="2" t="str">
        <f t="shared" si="4"/>
        <v>Unique</v>
      </c>
      <c r="M78" s="2" t="str">
        <f t="shared" si="5"/>
        <v>No</v>
      </c>
    </row>
    <row r="79" spans="1:13" x14ac:dyDescent="0.35">
      <c r="A79" s="2" t="s">
        <v>2422</v>
      </c>
      <c r="B79" s="2" t="s">
        <v>2423</v>
      </c>
      <c r="C79" s="2" t="s">
        <v>2420</v>
      </c>
      <c r="D79" s="16">
        <v>75700</v>
      </c>
      <c r="E79" s="2" t="s">
        <v>2316</v>
      </c>
      <c r="F79" s="2" t="str">
        <f>IFERROR(INDEX(Vendor_ID_Map!$B$2:$B$229,MATCH(B79,Vendor_ID_Map!$A$2:$A$229,0)),"UNMAPPED")</f>
        <v>UNMAPPED</v>
      </c>
      <c r="G79" s="2" t="str">
        <f>IFERROR(INDEX(Vendor_Master_Golden!$B$2:$B$208,MATCH(F79,Vendor_Master_Golden!$A$2:$A$208,0)),"-")</f>
        <v>-</v>
      </c>
      <c r="H79" s="2" t="str">
        <f>IFERROR(INDEX(Vendor_Master_Golden!$K$2:$K$208,MATCH(F79,Vendor_Master_Golden!$A$2:$A$208,0)),"-")</f>
        <v>-</v>
      </c>
      <c r="I79" s="2" t="str">
        <f t="shared" si="3"/>
        <v>Orphan Vendor ID</v>
      </c>
      <c r="J79" s="2">
        <f>COUNTIFS($B$2:B79,B79,$A$2:A79,A79,$D$2:D79,D79)</f>
        <v>1</v>
      </c>
      <c r="K79" s="2">
        <f>COUNTIFS($F$2:F79,F79,$A$2:A79,A79,$D$2:D79,D79)</f>
        <v>1</v>
      </c>
      <c r="L79" s="2" t="str">
        <f t="shared" si="4"/>
        <v>Unique</v>
      </c>
      <c r="M79" s="2" t="str">
        <f t="shared" si="5"/>
        <v>No</v>
      </c>
    </row>
    <row r="80" spans="1:13" x14ac:dyDescent="0.35">
      <c r="A80" s="2" t="s">
        <v>2424</v>
      </c>
      <c r="B80" s="2" t="s">
        <v>342</v>
      </c>
      <c r="C80" s="2" t="s">
        <v>650</v>
      </c>
      <c r="D80" s="16">
        <v>60000</v>
      </c>
      <c r="E80" s="2" t="s">
        <v>2314</v>
      </c>
      <c r="F80" s="2" t="str">
        <f>IFERROR(INDEX(Vendor_ID_Map!$B$2:$B$229,MATCH(B80,Vendor_ID_Map!$A$2:$A$229,0)),"UNMAPPED")</f>
        <v>V1197</v>
      </c>
      <c r="G80" s="2" t="str">
        <f>IFERROR(INDEX(Vendor_Master_Golden!$B$2:$B$208,MATCH(F80,Vendor_Master_Golden!$A$2:$A$208,0)),"-")</f>
        <v>Lotus Electricals LLP</v>
      </c>
      <c r="H80" s="2" t="str">
        <f>IFERROR(INDEX(Vendor_Master_Golden!$K$2:$K$208,MATCH(F80,Vendor_Master_Golden!$A$2:$A$208,0)),"-")</f>
        <v>Active</v>
      </c>
      <c r="I80" s="2" t="str">
        <f t="shared" si="3"/>
        <v>OK</v>
      </c>
      <c r="J80" s="2">
        <f>COUNTIFS($B$2:B80,B80,$A$2:A80,A80,$D$2:D80,D80)</f>
        <v>1</v>
      </c>
      <c r="K80" s="2">
        <f>COUNTIFS($F$2:F80,F80,$A$2:A80,A80,$D$2:D80,D80)</f>
        <v>1</v>
      </c>
      <c r="L80" s="2" t="str">
        <f t="shared" si="4"/>
        <v>Unique</v>
      </c>
      <c r="M80" s="2" t="str">
        <f t="shared" si="5"/>
        <v>No</v>
      </c>
    </row>
    <row r="81" spans="1:13" x14ac:dyDescent="0.35">
      <c r="A81" s="2" t="s">
        <v>2425</v>
      </c>
      <c r="B81" s="2" t="s">
        <v>655</v>
      </c>
      <c r="C81" s="2" t="s">
        <v>650</v>
      </c>
      <c r="D81" s="16">
        <v>65800</v>
      </c>
      <c r="E81" s="2" t="s">
        <v>2316</v>
      </c>
      <c r="F81" s="2" t="str">
        <f>IFERROR(INDEX(Vendor_ID_Map!$B$2:$B$229,MATCH(B81,Vendor_ID_Map!$A$2:$A$229,0)),"UNMAPPED")</f>
        <v>V1149</v>
      </c>
      <c r="G81" s="2" t="str">
        <f>IFERROR(INDEX(Vendor_Master_Golden!$B$2:$B$208,MATCH(F81,Vendor_Master_Golden!$A$2:$A$208,0)),"-")</f>
        <v>Aaryan Power Systems LLP</v>
      </c>
      <c r="H81" s="2" t="str">
        <f>IFERROR(INDEX(Vendor_Master_Golden!$K$2:$K$208,MATCH(F81,Vendor_Master_Golden!$A$2:$A$208,0)),"-")</f>
        <v>Active</v>
      </c>
      <c r="I81" s="2" t="str">
        <f t="shared" si="3"/>
        <v>OK</v>
      </c>
      <c r="J81" s="2">
        <f>COUNTIFS($B$2:B81,B81,$A$2:A81,A81,$D$2:D81,D81)</f>
        <v>1</v>
      </c>
      <c r="K81" s="2">
        <f>COUNTIFS($F$2:F81,F81,$A$2:A81,A81,$D$2:D81,D81)</f>
        <v>1</v>
      </c>
      <c r="L81" s="2" t="str">
        <f t="shared" si="4"/>
        <v>Unique</v>
      </c>
      <c r="M81" s="2" t="str">
        <f t="shared" si="5"/>
        <v>No</v>
      </c>
    </row>
    <row r="82" spans="1:13" x14ac:dyDescent="0.35">
      <c r="A82" s="2" t="s">
        <v>2426</v>
      </c>
      <c r="B82" s="2" t="s">
        <v>655</v>
      </c>
      <c r="C82" s="2" t="s">
        <v>650</v>
      </c>
      <c r="D82" s="16">
        <v>74400</v>
      </c>
      <c r="E82" s="2" t="s">
        <v>2314</v>
      </c>
      <c r="F82" s="2" t="str">
        <f>IFERROR(INDEX(Vendor_ID_Map!$B$2:$B$229,MATCH(B82,Vendor_ID_Map!$A$2:$A$229,0)),"UNMAPPED")</f>
        <v>V1149</v>
      </c>
      <c r="G82" s="2" t="str">
        <f>IFERROR(INDEX(Vendor_Master_Golden!$B$2:$B$208,MATCH(F82,Vendor_Master_Golden!$A$2:$A$208,0)),"-")</f>
        <v>Aaryan Power Systems LLP</v>
      </c>
      <c r="H82" s="2" t="str">
        <f>IFERROR(INDEX(Vendor_Master_Golden!$K$2:$K$208,MATCH(F82,Vendor_Master_Golden!$A$2:$A$208,0)),"-")</f>
        <v>Active</v>
      </c>
      <c r="I82" s="2" t="str">
        <f t="shared" si="3"/>
        <v>OK</v>
      </c>
      <c r="J82" s="2">
        <f>COUNTIFS($B$2:B82,B82,$A$2:A82,A82,$D$2:D82,D82)</f>
        <v>1</v>
      </c>
      <c r="K82" s="2">
        <f>COUNTIFS($F$2:F82,F82,$A$2:A82,A82,$D$2:D82,D82)</f>
        <v>1</v>
      </c>
      <c r="L82" s="2" t="str">
        <f t="shared" si="4"/>
        <v>Unique</v>
      </c>
      <c r="M82" s="2" t="str">
        <f t="shared" si="5"/>
        <v>No</v>
      </c>
    </row>
    <row r="83" spans="1:13" x14ac:dyDescent="0.35">
      <c r="A83" s="2" t="s">
        <v>2427</v>
      </c>
      <c r="B83" s="2" t="s">
        <v>1684</v>
      </c>
      <c r="C83" s="2" t="s">
        <v>2428</v>
      </c>
      <c r="D83" s="16">
        <v>47800</v>
      </c>
      <c r="E83" s="2" t="s">
        <v>2314</v>
      </c>
      <c r="F83" s="2" t="str">
        <f>IFERROR(INDEX(Vendor_ID_Map!$B$2:$B$229,MATCH(B83,Vendor_ID_Map!$A$2:$A$229,0)),"UNMAPPED")</f>
        <v>V1036</v>
      </c>
      <c r="G83" s="2" t="str">
        <f>IFERROR(INDEX(Vendor_Master_Golden!$B$2:$B$208,MATCH(F83,Vendor_Master_Golden!$A$2:$A$208,0)),"-")</f>
        <v>Apex Housekeeping LLP</v>
      </c>
      <c r="H83" s="2" t="str">
        <f>IFERROR(INDEX(Vendor_Master_Golden!$K$2:$K$208,MATCH(F83,Vendor_Master_Golden!$A$2:$A$208,0)),"-")</f>
        <v>Active</v>
      </c>
      <c r="I83" s="2" t="str">
        <f t="shared" si="3"/>
        <v>OK</v>
      </c>
      <c r="J83" s="2">
        <f>COUNTIFS($B$2:B83,B83,$A$2:A83,A83,$D$2:D83,D83)</f>
        <v>1</v>
      </c>
      <c r="K83" s="2">
        <f>COUNTIFS($F$2:F83,F83,$A$2:A83,A83,$D$2:D83,D83)</f>
        <v>1</v>
      </c>
      <c r="L83" s="2" t="str">
        <f t="shared" si="4"/>
        <v>Unique</v>
      </c>
      <c r="M83" s="2" t="str">
        <f t="shared" si="5"/>
        <v>No</v>
      </c>
    </row>
    <row r="84" spans="1:13" x14ac:dyDescent="0.35">
      <c r="A84" s="2" t="s">
        <v>2429</v>
      </c>
      <c r="B84" s="2" t="s">
        <v>589</v>
      </c>
      <c r="C84" s="2" t="s">
        <v>2430</v>
      </c>
      <c r="D84" s="16">
        <v>56100</v>
      </c>
      <c r="E84" s="2" t="s">
        <v>2314</v>
      </c>
      <c r="F84" s="2" t="str">
        <f>IFERROR(INDEX(Vendor_ID_Map!$B$2:$B$229,MATCH(B84,Vendor_ID_Map!$A$2:$A$229,0)),"UNMAPPED")</f>
        <v>V1058</v>
      </c>
      <c r="G84" s="2" t="str">
        <f>IFERROR(INDEX(Vendor_Master_Golden!$B$2:$B$208,MATCH(F84,Vendor_Master_Golden!$A$2:$A$208,0)),"-")</f>
        <v>Crestline Pest Control Limited</v>
      </c>
      <c r="H84" s="2" t="str">
        <f>IFERROR(INDEX(Vendor_Master_Golden!$K$2:$K$208,MATCH(F84,Vendor_Master_Golden!$A$2:$A$208,0)),"-")</f>
        <v>Active</v>
      </c>
      <c r="I84" s="2" t="str">
        <f t="shared" si="3"/>
        <v>OK</v>
      </c>
      <c r="J84" s="2">
        <f>COUNTIFS($B$2:B84,B84,$A$2:A84,A84,$D$2:D84,D84)</f>
        <v>1</v>
      </c>
      <c r="K84" s="2">
        <f>COUNTIFS($F$2:F84,F84,$A$2:A84,A84,$D$2:D84,D84)</f>
        <v>1</v>
      </c>
      <c r="L84" s="2" t="str">
        <f t="shared" si="4"/>
        <v>Unique</v>
      </c>
      <c r="M84" s="2" t="str">
        <f t="shared" si="5"/>
        <v>No</v>
      </c>
    </row>
    <row r="85" spans="1:13" x14ac:dyDescent="0.35">
      <c r="A85" s="2" t="s">
        <v>2431</v>
      </c>
      <c r="B85" s="2" t="s">
        <v>896</v>
      </c>
      <c r="C85" s="2" t="s">
        <v>2432</v>
      </c>
      <c r="D85" s="16">
        <v>28600</v>
      </c>
      <c r="E85" s="2" t="s">
        <v>2316</v>
      </c>
      <c r="F85" s="2" t="str">
        <f>IFERROR(INDEX(Vendor_ID_Map!$B$2:$B$229,MATCH(B85,Vendor_ID_Map!$A$2:$A$229,0)),"UNMAPPED")</f>
        <v>V1018</v>
      </c>
      <c r="G85" s="2" t="str">
        <f>IFERROR(INDEX(Vendor_Master_Golden!$B$2:$B$208,MATCH(F85,Vendor_Master_Golden!$A$2:$A$208,0)),"-")</f>
        <v>Bluewave Electricals Pvt Ltd</v>
      </c>
      <c r="H85" s="2" t="str">
        <f>IFERROR(INDEX(Vendor_Master_Golden!$K$2:$K$208,MATCH(F85,Vendor_Master_Golden!$A$2:$A$208,0)),"-")</f>
        <v>Active</v>
      </c>
      <c r="I85" s="2" t="str">
        <f t="shared" si="3"/>
        <v>OK</v>
      </c>
      <c r="J85" s="2">
        <f>COUNTIFS($B$2:B85,B85,$A$2:A85,A85,$D$2:D85,D85)</f>
        <v>1</v>
      </c>
      <c r="K85" s="2">
        <f>COUNTIFS($F$2:F85,F85,$A$2:A85,A85,$D$2:D85,D85)</f>
        <v>1</v>
      </c>
      <c r="L85" s="2" t="str">
        <f t="shared" si="4"/>
        <v>Unique</v>
      </c>
      <c r="M85" s="2" t="str">
        <f t="shared" si="5"/>
        <v>No</v>
      </c>
    </row>
    <row r="86" spans="1:13" x14ac:dyDescent="0.35">
      <c r="A86" s="2" t="s">
        <v>2433</v>
      </c>
      <c r="B86" s="2" t="s">
        <v>1758</v>
      </c>
      <c r="C86" s="2" t="s">
        <v>2434</v>
      </c>
      <c r="D86" s="16">
        <v>41100</v>
      </c>
      <c r="E86" s="2" t="s">
        <v>2316</v>
      </c>
      <c r="F86" s="2" t="str">
        <f>IFERROR(INDEX(Vendor_ID_Map!$B$2:$B$229,MATCH(B86,Vendor_ID_Map!$A$2:$A$229,0)),"UNMAPPED")</f>
        <v>V1129</v>
      </c>
      <c r="G86" s="2" t="str">
        <f>IFERROR(INDEX(Vendor_Master_Golden!$B$2:$B$208,MATCH(F86,Vendor_Master_Golden!$A$2:$A$208,0)),"-")</f>
        <v>Bluewave Maintenance LLP</v>
      </c>
      <c r="H86" s="2" t="str">
        <f>IFERROR(INDEX(Vendor_Master_Golden!$K$2:$K$208,MATCH(F86,Vendor_Master_Golden!$A$2:$A$208,0)),"-")</f>
        <v>Active</v>
      </c>
      <c r="I86" s="2" t="str">
        <f t="shared" si="3"/>
        <v>OK</v>
      </c>
      <c r="J86" s="2">
        <f>COUNTIFS($B$2:B86,B86,$A$2:A86,A86,$D$2:D86,D86)</f>
        <v>1</v>
      </c>
      <c r="K86" s="2">
        <f>COUNTIFS($F$2:F86,F86,$A$2:A86,A86,$D$2:D86,D86)</f>
        <v>1</v>
      </c>
      <c r="L86" s="2" t="str">
        <f t="shared" si="4"/>
        <v>Unique</v>
      </c>
      <c r="M86" s="2" t="str">
        <f t="shared" si="5"/>
        <v>No</v>
      </c>
    </row>
    <row r="87" spans="1:13" x14ac:dyDescent="0.35">
      <c r="A87" s="2" t="s">
        <v>2435</v>
      </c>
      <c r="B87" s="2" t="s">
        <v>1112</v>
      </c>
      <c r="C87" s="2" t="s">
        <v>2434</v>
      </c>
      <c r="D87" s="16">
        <v>127900</v>
      </c>
      <c r="E87" s="2" t="s">
        <v>2314</v>
      </c>
      <c r="F87" s="2" t="str">
        <f>IFERROR(INDEX(Vendor_ID_Map!$B$2:$B$229,MATCH(B87,Vendor_ID_Map!$A$2:$A$229,0)),"UNMAPPED")</f>
        <v>V1072</v>
      </c>
      <c r="G87" s="2" t="str">
        <f>IFERROR(INDEX(Vendor_Master_Golden!$B$2:$B$208,MATCH(F87,Vendor_Master_Golden!$A$2:$A$208,0)),"-")</f>
        <v>Eastern Water Solutions Pvt Ltd</v>
      </c>
      <c r="H87" s="2" t="str">
        <f>IFERROR(INDEX(Vendor_Master_Golden!$K$2:$K$208,MATCH(F87,Vendor_Master_Golden!$A$2:$A$208,0)),"-")</f>
        <v>Active</v>
      </c>
      <c r="I87" s="2" t="str">
        <f t="shared" si="3"/>
        <v>OK</v>
      </c>
      <c r="J87" s="2">
        <f>COUNTIFS($B$2:B87,B87,$A$2:A87,A87,$D$2:D87,D87)</f>
        <v>1</v>
      </c>
      <c r="K87" s="2">
        <f>COUNTIFS($F$2:F87,F87,$A$2:A87,A87,$D$2:D87,D87)</f>
        <v>1</v>
      </c>
      <c r="L87" s="2" t="str">
        <f t="shared" si="4"/>
        <v>Unique</v>
      </c>
      <c r="M87" s="2" t="str">
        <f t="shared" si="5"/>
        <v>No</v>
      </c>
    </row>
    <row r="88" spans="1:13" x14ac:dyDescent="0.35">
      <c r="A88" s="2" t="s">
        <v>2436</v>
      </c>
      <c r="B88" s="2" t="s">
        <v>783</v>
      </c>
      <c r="C88" s="2" t="s">
        <v>2434</v>
      </c>
      <c r="D88" s="16">
        <v>66400</v>
      </c>
      <c r="E88" s="2" t="s">
        <v>2314</v>
      </c>
      <c r="F88" s="2" t="str">
        <f>IFERROR(INDEX(Vendor_ID_Map!$B$2:$B$229,MATCH(B88,Vendor_ID_Map!$A$2:$A$229,0)),"UNMAPPED")</f>
        <v>V1225</v>
      </c>
      <c r="G88" s="2" t="str">
        <f>IFERROR(INDEX(Vendor_Master_Golden!$B$2:$B$208,MATCH(F88,Vendor_Master_Golden!$A$2:$A$208,0)),"-")</f>
        <v>Falcon Houekeeping Limited</v>
      </c>
      <c r="H88" s="2" t="str">
        <f>IFERROR(INDEX(Vendor_Master_Golden!$K$2:$K$208,MATCH(F88,Vendor_Master_Golden!$A$2:$A$208,0)),"-")</f>
        <v>Active</v>
      </c>
      <c r="I88" s="2" t="str">
        <f t="shared" si="3"/>
        <v>OK</v>
      </c>
      <c r="J88" s="2">
        <f>COUNTIFS($B$2:B88,B88,$A$2:A88,A88,$D$2:D88,D88)</f>
        <v>1</v>
      </c>
      <c r="K88" s="2">
        <f>COUNTIFS($F$2:F88,F88,$A$2:A88,A88,$D$2:D88,D88)</f>
        <v>1</v>
      </c>
      <c r="L88" s="2" t="str">
        <f t="shared" si="4"/>
        <v>Unique</v>
      </c>
      <c r="M88" s="2" t="str">
        <f t="shared" si="5"/>
        <v>No</v>
      </c>
    </row>
    <row r="89" spans="1:13" x14ac:dyDescent="0.35">
      <c r="A89" s="2" t="s">
        <v>2437</v>
      </c>
      <c r="B89" s="2" t="s">
        <v>651</v>
      </c>
      <c r="C89" s="2" t="s">
        <v>2434</v>
      </c>
      <c r="D89" s="16">
        <v>185700</v>
      </c>
      <c r="E89" s="2" t="s">
        <v>2314</v>
      </c>
      <c r="F89" s="2" t="str">
        <f>IFERROR(INDEX(Vendor_ID_Map!$B$2:$B$229,MATCH(B89,Vendor_ID_Map!$A$2:$A$229,0)),"UNMAPPED")</f>
        <v>V1227</v>
      </c>
      <c r="G89" s="2" t="str">
        <f>IFERROR(INDEX(Vendor_Master_Golden!$B$2:$B$208,MATCH(F89,Vendor_Master_Golden!$A$2:$A$208,0)),"-")</f>
        <v>Pinnacle Engneering Works Private Limited</v>
      </c>
      <c r="H89" s="2" t="str">
        <f>IFERROR(INDEX(Vendor_Master_Golden!$K$2:$K$208,MATCH(F89,Vendor_Master_Golden!$A$2:$A$208,0)),"-")</f>
        <v>Active</v>
      </c>
      <c r="I89" s="2" t="str">
        <f t="shared" si="3"/>
        <v>OK</v>
      </c>
      <c r="J89" s="2">
        <f>COUNTIFS($B$2:B89,B89,$A$2:A89,A89,$D$2:D89,D89)</f>
        <v>1</v>
      </c>
      <c r="K89" s="2">
        <f>COUNTIFS($F$2:F89,F89,$A$2:A89,A89,$D$2:D89,D89)</f>
        <v>1</v>
      </c>
      <c r="L89" s="2" t="str">
        <f t="shared" si="4"/>
        <v>Unique</v>
      </c>
      <c r="M89" s="2" t="str">
        <f t="shared" si="5"/>
        <v>No</v>
      </c>
    </row>
    <row r="90" spans="1:13" x14ac:dyDescent="0.35">
      <c r="A90" s="2" t="s">
        <v>2438</v>
      </c>
      <c r="B90" s="2" t="s">
        <v>422</v>
      </c>
      <c r="C90" s="2" t="s">
        <v>2434</v>
      </c>
      <c r="D90" s="16">
        <v>240400</v>
      </c>
      <c r="E90" s="2" t="s">
        <v>2314</v>
      </c>
      <c r="F90" s="2" t="str">
        <f>IFERROR(INDEX(Vendor_ID_Map!$B$2:$B$229,MATCH(B90,Vendor_ID_Map!$A$2:$A$229,0)),"UNMAPPED")</f>
        <v>V1127</v>
      </c>
      <c r="G90" s="2" t="str">
        <f>IFERROR(INDEX(Vendor_Master_Golden!$B$2:$B$208,MATCH(F90,Vendor_Master_Golden!$A$2:$A$208,0)),"-")</f>
        <v>Sunrise Facility Services Private Limited</v>
      </c>
      <c r="H90" s="2" t="str">
        <f>IFERROR(INDEX(Vendor_Master_Golden!$K$2:$K$208,MATCH(F90,Vendor_Master_Golden!$A$2:$A$208,0)),"-")</f>
        <v>Active</v>
      </c>
      <c r="I90" s="2" t="str">
        <f t="shared" si="3"/>
        <v>OK</v>
      </c>
      <c r="J90" s="2">
        <f>COUNTIFS($B$2:B90,B90,$A$2:A90,A90,$D$2:D90,D90)</f>
        <v>1</v>
      </c>
      <c r="K90" s="2">
        <f>COUNTIFS($F$2:F90,F90,$A$2:A90,A90,$D$2:D90,D90)</f>
        <v>1</v>
      </c>
      <c r="L90" s="2" t="str">
        <f t="shared" si="4"/>
        <v>Unique</v>
      </c>
      <c r="M90" s="2" t="str">
        <f t="shared" si="5"/>
        <v>No</v>
      </c>
    </row>
    <row r="91" spans="1:13" x14ac:dyDescent="0.35">
      <c r="A91" s="2" t="s">
        <v>2439</v>
      </c>
      <c r="B91" s="2" t="s">
        <v>1891</v>
      </c>
      <c r="C91" s="2" t="s">
        <v>2440</v>
      </c>
      <c r="D91" s="16">
        <v>42500</v>
      </c>
      <c r="E91" s="2" t="s">
        <v>2316</v>
      </c>
      <c r="F91" s="2" t="str">
        <f>IFERROR(INDEX(Vendor_ID_Map!$B$2:$B$229,MATCH(B91,Vendor_ID_Map!$A$2:$A$229,0)),"UNMAPPED")</f>
        <v>V1003</v>
      </c>
      <c r="G91" s="2" t="str">
        <f>IFERROR(INDEX(Vendor_Master_Golden!$B$2:$B$208,MATCH(F91,Vendor_Master_Golden!$A$2:$A$208,0)),"-")</f>
        <v>Apex Pest Control Private Limited</v>
      </c>
      <c r="H91" s="2" t="str">
        <f>IFERROR(INDEX(Vendor_Master_Golden!$K$2:$K$208,MATCH(F91,Vendor_Master_Golden!$A$2:$A$208,0)),"-")</f>
        <v>Active</v>
      </c>
      <c r="I91" s="2" t="str">
        <f t="shared" si="3"/>
        <v>OK</v>
      </c>
      <c r="J91" s="2">
        <f>COUNTIFS($B$2:B91,B91,$A$2:A91,A91,$D$2:D91,D91)</f>
        <v>1</v>
      </c>
      <c r="K91" s="2">
        <f>COUNTIFS($F$2:F91,F91,$A$2:A91,A91,$D$2:D91,D91)</f>
        <v>1</v>
      </c>
      <c r="L91" s="2" t="str">
        <f t="shared" si="4"/>
        <v>Unique</v>
      </c>
      <c r="M91" s="2" t="str">
        <f t="shared" si="5"/>
        <v>No</v>
      </c>
    </row>
    <row r="92" spans="1:13" x14ac:dyDescent="0.35">
      <c r="A92" s="2" t="s">
        <v>2441</v>
      </c>
      <c r="B92" s="2" t="s">
        <v>1824</v>
      </c>
      <c r="C92" s="2" t="s">
        <v>2440</v>
      </c>
      <c r="D92" s="16">
        <v>69800</v>
      </c>
      <c r="E92" s="2" t="s">
        <v>2314</v>
      </c>
      <c r="F92" s="2" t="str">
        <f>IFERROR(INDEX(Vendor_ID_Map!$B$2:$B$229,MATCH(B92,Vendor_ID_Map!$A$2:$A$229,0)),"UNMAPPED")</f>
        <v>V1213</v>
      </c>
      <c r="G92" s="2" t="str">
        <f>IFERROR(INDEX(Vendor_Master_Golden!$B$2:$B$208,MATCH(F92,Vendor_Master_Golden!$A$2:$A$208,0)),"-")</f>
        <v>Bharat It Services Pvt Ltd</v>
      </c>
      <c r="H92" s="2" t="str">
        <f>IFERROR(INDEX(Vendor_Master_Golden!$K$2:$K$208,MATCH(F92,Vendor_Master_Golden!$A$2:$A$208,0)),"-")</f>
        <v>Active</v>
      </c>
      <c r="I92" s="2" t="str">
        <f t="shared" si="3"/>
        <v>OK</v>
      </c>
      <c r="J92" s="2">
        <f>COUNTIFS($B$2:B92,B92,$A$2:A92,A92,$D$2:D92,D92)</f>
        <v>1</v>
      </c>
      <c r="K92" s="2">
        <f>COUNTIFS($F$2:F92,F92,$A$2:A92,A92,$D$2:D92,D92)</f>
        <v>1</v>
      </c>
      <c r="L92" s="2" t="str">
        <f t="shared" si="4"/>
        <v>Unique</v>
      </c>
      <c r="M92" s="2" t="str">
        <f t="shared" si="5"/>
        <v>No</v>
      </c>
    </row>
    <row r="93" spans="1:13" x14ac:dyDescent="0.35">
      <c r="A93" s="2" t="s">
        <v>2442</v>
      </c>
      <c r="B93" s="2" t="s">
        <v>457</v>
      </c>
      <c r="C93" s="2" t="s">
        <v>2443</v>
      </c>
      <c r="D93" s="16">
        <v>94600</v>
      </c>
      <c r="E93" s="2" t="s">
        <v>2314</v>
      </c>
      <c r="F93" s="2" t="str">
        <f>IFERROR(INDEX(Vendor_ID_Map!$B$2:$B$229,MATCH(B93,Vendor_ID_Map!$A$2:$A$229,0)),"UNMAPPED")</f>
        <v>V1182</v>
      </c>
      <c r="G93" s="2" t="str">
        <f>IFERROR(INDEX(Vendor_Master_Golden!$B$2:$B$208,MATCH(F93,Vendor_Master_Golden!$A$2:$A$208,0)),"-")</f>
        <v>Ironbridge Pest Control Pvt Ltd</v>
      </c>
      <c r="H93" s="2" t="str">
        <f>IFERROR(INDEX(Vendor_Master_Golden!$K$2:$K$208,MATCH(F93,Vendor_Master_Golden!$A$2:$A$208,0)),"-")</f>
        <v>Active</v>
      </c>
      <c r="I93" s="2" t="str">
        <f t="shared" si="3"/>
        <v>OK</v>
      </c>
      <c r="J93" s="2">
        <f>COUNTIFS($B$2:B93,B93,$A$2:A93,A93,$D$2:D93,D93)</f>
        <v>1</v>
      </c>
      <c r="K93" s="2">
        <f>COUNTIFS($F$2:F93,F93,$A$2:A93,A93,$D$2:D93,D93)</f>
        <v>1</v>
      </c>
      <c r="L93" s="2" t="str">
        <f t="shared" si="4"/>
        <v>Unique</v>
      </c>
      <c r="M93" s="2" t="str">
        <f t="shared" si="5"/>
        <v>No</v>
      </c>
    </row>
    <row r="94" spans="1:13" x14ac:dyDescent="0.35">
      <c r="A94" s="2" t="s">
        <v>2444</v>
      </c>
      <c r="B94" s="2" t="s">
        <v>1257</v>
      </c>
      <c r="C94" s="2" t="s">
        <v>2443</v>
      </c>
      <c r="D94" s="16">
        <v>123700</v>
      </c>
      <c r="E94" s="2" t="s">
        <v>2314</v>
      </c>
      <c r="F94" s="2" t="str">
        <f>IFERROR(INDEX(Vendor_ID_Map!$B$2:$B$229,MATCH(B94,Vendor_ID_Map!$A$2:$A$229,0)),"UNMAPPED")</f>
        <v>V1134</v>
      </c>
      <c r="G94" s="2" t="str">
        <f>IFERROR(INDEX(Vendor_Master_Golden!$B$2:$B$208,MATCH(F94,Vendor_Master_Golden!$A$2:$A$208,0)),"-")</f>
        <v>Crestline Engineering Works Private Limited</v>
      </c>
      <c r="H94" s="2" t="str">
        <f>IFERROR(INDEX(Vendor_Master_Golden!$K$2:$K$208,MATCH(F94,Vendor_Master_Golden!$A$2:$A$208,0)),"-")</f>
        <v>Active</v>
      </c>
      <c r="I94" s="2" t="str">
        <f t="shared" si="3"/>
        <v>OK</v>
      </c>
      <c r="J94" s="2">
        <f>COUNTIFS($B$2:B94,B94,$A$2:A94,A94,$D$2:D94,D94)</f>
        <v>1</v>
      </c>
      <c r="K94" s="2">
        <f>COUNTIFS($F$2:F94,F94,$A$2:A94,A94,$D$2:D94,D94)</f>
        <v>1</v>
      </c>
      <c r="L94" s="2" t="str">
        <f t="shared" si="4"/>
        <v>Unique</v>
      </c>
      <c r="M94" s="2" t="str">
        <f t="shared" si="5"/>
        <v>No</v>
      </c>
    </row>
    <row r="95" spans="1:13" x14ac:dyDescent="0.35">
      <c r="A95" s="2" t="s">
        <v>2445</v>
      </c>
      <c r="B95" s="2" t="s">
        <v>1873</v>
      </c>
      <c r="C95" s="2" t="s">
        <v>2443</v>
      </c>
      <c r="D95" s="16">
        <v>114100</v>
      </c>
      <c r="E95" s="2" t="s">
        <v>2316</v>
      </c>
      <c r="F95" s="2" t="str">
        <f>IFERROR(INDEX(Vendor_ID_Map!$B$2:$B$229,MATCH(B95,Vendor_ID_Map!$A$2:$A$229,0)),"UNMAPPED")</f>
        <v>V1091</v>
      </c>
      <c r="G95" s="2" t="str">
        <f>IFERROR(INDEX(Vendor_Master_Golden!$B$2:$B$208,MATCH(F95,Vendor_Master_Golden!$A$2:$A$208,0)),"-")</f>
        <v>Aaryan Logistics LLP</v>
      </c>
      <c r="H95" s="2" t="str">
        <f>IFERROR(INDEX(Vendor_Master_Golden!$K$2:$K$208,MATCH(F95,Vendor_Master_Golden!$A$2:$A$208,0)),"-")</f>
        <v>Active</v>
      </c>
      <c r="I95" s="2" t="str">
        <f t="shared" si="3"/>
        <v>OK</v>
      </c>
      <c r="J95" s="2">
        <f>COUNTIFS($B$2:B95,B95,$A$2:A95,A95,$D$2:D95,D95)</f>
        <v>1</v>
      </c>
      <c r="K95" s="2">
        <f>COUNTIFS($F$2:F95,F95,$A$2:A95,A95,$D$2:D95,D95)</f>
        <v>1</v>
      </c>
      <c r="L95" s="2" t="str">
        <f t="shared" si="4"/>
        <v>Unique</v>
      </c>
      <c r="M95" s="2" t="str">
        <f t="shared" si="5"/>
        <v>No</v>
      </c>
    </row>
    <row r="96" spans="1:13" x14ac:dyDescent="0.35">
      <c r="A96" s="2" t="s">
        <v>2446</v>
      </c>
      <c r="B96" s="2" t="s">
        <v>1837</v>
      </c>
      <c r="C96" s="2" t="s">
        <v>2443</v>
      </c>
      <c r="D96" s="16">
        <v>63800</v>
      </c>
      <c r="E96" s="2" t="s">
        <v>2314</v>
      </c>
      <c r="F96" s="2" t="str">
        <f>IFERROR(INDEX(Vendor_ID_Map!$B$2:$B$229,MATCH(B96,Vendor_ID_Map!$A$2:$A$229,0)),"UNMAPPED")</f>
        <v>V1064</v>
      </c>
      <c r="G96" s="2" t="str">
        <f>IFERROR(INDEX(Vendor_Master_Golden!$B$2:$B$208,MATCH(F96,Vendor_Master_Golden!$A$2:$A$208,0)),"-")</f>
        <v>Vertex Electricals Private Limited</v>
      </c>
      <c r="H96" s="2" t="str">
        <f>IFERROR(INDEX(Vendor_Master_Golden!$K$2:$K$208,MATCH(F96,Vendor_Master_Golden!$A$2:$A$208,0)),"-")</f>
        <v>Active</v>
      </c>
      <c r="I96" s="2" t="str">
        <f t="shared" si="3"/>
        <v>OK</v>
      </c>
      <c r="J96" s="2">
        <f>COUNTIFS($B$2:B96,B96,$A$2:A96,A96,$D$2:D96,D96)</f>
        <v>1</v>
      </c>
      <c r="K96" s="2">
        <f>COUNTIFS($F$2:F96,F96,$A$2:A96,A96,$D$2:D96,D96)</f>
        <v>1</v>
      </c>
      <c r="L96" s="2" t="str">
        <f t="shared" si="4"/>
        <v>Unique</v>
      </c>
      <c r="M96" s="2" t="str">
        <f t="shared" si="5"/>
        <v>No</v>
      </c>
    </row>
    <row r="97" spans="1:13" x14ac:dyDescent="0.35">
      <c r="A97" s="2" t="s">
        <v>2447</v>
      </c>
      <c r="B97" s="2" t="s">
        <v>264</v>
      </c>
      <c r="C97" s="2" t="s">
        <v>536</v>
      </c>
      <c r="D97" s="16">
        <v>61200</v>
      </c>
      <c r="E97" s="2" t="s">
        <v>2316</v>
      </c>
      <c r="F97" s="2" t="str">
        <f>IFERROR(INDEX(Vendor_ID_Map!$B$2:$B$229,MATCH(B97,Vendor_ID_Map!$A$2:$A$229,0)),"UNMAPPED")</f>
        <v>V1198</v>
      </c>
      <c r="G97" s="2" t="str">
        <f>IFERROR(INDEX(Vendor_Master_Golden!$B$2:$B$208,MATCH(F97,Vendor_Master_Golden!$A$2:$A$208,0)),"-")</f>
        <v>Western Engineering Works Limited</v>
      </c>
      <c r="H97" s="2" t="str">
        <f>IFERROR(INDEX(Vendor_Master_Golden!$K$2:$K$208,MATCH(F97,Vendor_Master_Golden!$A$2:$A$208,0)),"-")</f>
        <v>Inactive</v>
      </c>
      <c r="I97" s="2" t="str">
        <f t="shared" si="3"/>
        <v>Inactive Vendor</v>
      </c>
      <c r="J97" s="2">
        <f>COUNTIFS($B$2:B97,B97,$A$2:A97,A97,$D$2:D97,D97)</f>
        <v>1</v>
      </c>
      <c r="K97" s="2">
        <f>COUNTIFS($F$2:F97,F97,$A$2:A97,A97,$D$2:D97,D97)</f>
        <v>1</v>
      </c>
      <c r="L97" s="2" t="str">
        <f t="shared" si="4"/>
        <v>Unique</v>
      </c>
      <c r="M97" s="2" t="str">
        <f t="shared" si="5"/>
        <v>No</v>
      </c>
    </row>
    <row r="98" spans="1:13" x14ac:dyDescent="0.35">
      <c r="A98" s="2" t="s">
        <v>2448</v>
      </c>
      <c r="B98" s="2" t="s">
        <v>1002</v>
      </c>
      <c r="C98" s="2" t="s">
        <v>536</v>
      </c>
      <c r="D98" s="16">
        <v>111400</v>
      </c>
      <c r="E98" s="2" t="s">
        <v>2314</v>
      </c>
      <c r="F98" s="2" t="str">
        <f>IFERROR(INDEX(Vendor_ID_Map!$B$2:$B$229,MATCH(B98,Vendor_ID_Map!$A$2:$A$229,0)),"UNMAPPED")</f>
        <v>V1113</v>
      </c>
      <c r="G98" s="2" t="str">
        <f>IFERROR(INDEX(Vendor_Master_Golden!$B$2:$B$208,MATCH(F98,Vendor_Master_Golden!$A$2:$A$208,0)),"-")</f>
        <v>Chola Engineering Works LLP</v>
      </c>
      <c r="H98" s="2" t="str">
        <f>IFERROR(INDEX(Vendor_Master_Golden!$K$2:$K$208,MATCH(F98,Vendor_Master_Golden!$A$2:$A$208,0)),"-")</f>
        <v>Active</v>
      </c>
      <c r="I98" s="2" t="str">
        <f t="shared" si="3"/>
        <v>OK</v>
      </c>
      <c r="J98" s="2">
        <f>COUNTIFS($B$2:B98,B98,$A$2:A98,A98,$D$2:D98,D98)</f>
        <v>1</v>
      </c>
      <c r="K98" s="2">
        <f>COUNTIFS($F$2:F98,F98,$A$2:A98,A98,$D$2:D98,D98)</f>
        <v>1</v>
      </c>
      <c r="L98" s="2" t="str">
        <f t="shared" si="4"/>
        <v>Unique</v>
      </c>
      <c r="M98" s="2" t="str">
        <f t="shared" si="5"/>
        <v>No</v>
      </c>
    </row>
    <row r="99" spans="1:13" x14ac:dyDescent="0.35">
      <c r="A99" s="2" t="s">
        <v>2449</v>
      </c>
      <c r="B99" s="2" t="s">
        <v>1696</v>
      </c>
      <c r="C99" s="2" t="s">
        <v>536</v>
      </c>
      <c r="D99" s="16">
        <v>126300</v>
      </c>
      <c r="E99" s="2" t="s">
        <v>2316</v>
      </c>
      <c r="F99" s="2" t="str">
        <f>IFERROR(INDEX(Vendor_ID_Map!$B$2:$B$229,MATCH(B99,Vendor_ID_Map!$A$2:$A$229,0)),"UNMAPPED")</f>
        <v>V1224</v>
      </c>
      <c r="G99" s="2" t="str">
        <f>IFERROR(INDEX(Vendor_Master_Golden!$B$2:$B$208,MATCH(F99,Vendor_Master_Golden!$A$2:$A$208,0)),"-")</f>
        <v>Nova IT ervices LLP</v>
      </c>
      <c r="H99" s="2" t="str">
        <f>IFERROR(INDEX(Vendor_Master_Golden!$K$2:$K$208,MATCH(F99,Vendor_Master_Golden!$A$2:$A$208,0)),"-")</f>
        <v>Active</v>
      </c>
      <c r="I99" s="2" t="str">
        <f t="shared" si="3"/>
        <v>OK</v>
      </c>
      <c r="J99" s="2">
        <f>COUNTIFS($B$2:B99,B99,$A$2:A99,A99,$D$2:D99,D99)</f>
        <v>1</v>
      </c>
      <c r="K99" s="2">
        <f>COUNTIFS($F$2:F99,F99,$A$2:A99,A99,$D$2:D99,D99)</f>
        <v>1</v>
      </c>
      <c r="L99" s="2" t="str">
        <f t="shared" si="4"/>
        <v>Unique</v>
      </c>
      <c r="M99" s="2" t="str">
        <f t="shared" si="5"/>
        <v>No</v>
      </c>
    </row>
    <row r="100" spans="1:13" x14ac:dyDescent="0.35">
      <c r="A100" s="2" t="s">
        <v>2450</v>
      </c>
      <c r="B100" s="2" t="s">
        <v>1770</v>
      </c>
      <c r="C100" s="2" t="s">
        <v>536</v>
      </c>
      <c r="D100" s="16">
        <v>71500</v>
      </c>
      <c r="E100" s="2" t="s">
        <v>2316</v>
      </c>
      <c r="F100" s="2" t="str">
        <f>IFERROR(INDEX(Vendor_ID_Map!$B$2:$B$229,MATCH(B100,Vendor_ID_Map!$A$2:$A$229,0)),"UNMAPPED")</f>
        <v>V1059</v>
      </c>
      <c r="G100" s="2" t="str">
        <f>IFERROR(INDEX(Vendor_Master_Golden!$B$2:$B$208,MATCH(F100,Vendor_Master_Golden!$A$2:$A$208,0)),"-")</f>
        <v>Unity Security Solutions LLP</v>
      </c>
      <c r="H100" s="2" t="str">
        <f>IFERROR(INDEX(Vendor_Master_Golden!$K$2:$K$208,MATCH(F100,Vendor_Master_Golden!$A$2:$A$208,0)),"-")</f>
        <v>Active</v>
      </c>
      <c r="I100" s="2" t="str">
        <f t="shared" si="3"/>
        <v>OK</v>
      </c>
      <c r="J100" s="2">
        <f>COUNTIFS($B$2:B100,B100,$A$2:A100,A100,$D$2:D100,D100)</f>
        <v>1</v>
      </c>
      <c r="K100" s="2">
        <f>COUNTIFS($F$2:F100,F100,$A$2:A100,A100,$D$2:D100,D100)</f>
        <v>1</v>
      </c>
      <c r="L100" s="2" t="str">
        <f t="shared" si="4"/>
        <v>Unique</v>
      </c>
      <c r="M100" s="2" t="str">
        <f t="shared" si="5"/>
        <v>No</v>
      </c>
    </row>
    <row r="101" spans="1:13" x14ac:dyDescent="0.35">
      <c r="A101" s="2" t="s">
        <v>2451</v>
      </c>
      <c r="B101" s="2" t="s">
        <v>1688</v>
      </c>
      <c r="C101" s="2" t="s">
        <v>2452</v>
      </c>
      <c r="D101" s="16">
        <v>91800</v>
      </c>
      <c r="E101" s="2" t="s">
        <v>2316</v>
      </c>
      <c r="F101" s="2" t="str">
        <f>IFERROR(INDEX(Vendor_ID_Map!$B$2:$B$229,MATCH(B101,Vendor_ID_Map!$A$2:$A$229,0)),"UNMAPPED")</f>
        <v>V1116</v>
      </c>
      <c r="G101" s="2" t="str">
        <f>IFERROR(INDEX(Vendor_Master_Golden!$B$2:$B$208,MATCH(F101,Vendor_Master_Golden!$A$2:$A$208,0)),"-")</f>
        <v>Eastern Housekeeping Private Limited</v>
      </c>
      <c r="H101" s="2" t="str">
        <f>IFERROR(INDEX(Vendor_Master_Golden!$K$2:$K$208,MATCH(F101,Vendor_Master_Golden!$A$2:$A$208,0)),"-")</f>
        <v>Active</v>
      </c>
      <c r="I101" s="2" t="str">
        <f t="shared" si="3"/>
        <v>OK</v>
      </c>
      <c r="J101" s="2">
        <f>COUNTIFS($B$2:B101,B101,$A$2:A101,A101,$D$2:D101,D101)</f>
        <v>1</v>
      </c>
      <c r="K101" s="2">
        <f>COUNTIFS($F$2:F101,F101,$A$2:A101,A101,$D$2:D101,D101)</f>
        <v>1</v>
      </c>
      <c r="L101" s="2" t="str">
        <f t="shared" si="4"/>
        <v>Unique</v>
      </c>
      <c r="M101" s="2" t="str">
        <f t="shared" si="5"/>
        <v>No</v>
      </c>
    </row>
    <row r="102" spans="1:13" x14ac:dyDescent="0.35">
      <c r="A102" s="2" t="s">
        <v>2453</v>
      </c>
      <c r="B102" s="2" t="s">
        <v>1853</v>
      </c>
      <c r="C102" s="2" t="s">
        <v>2452</v>
      </c>
      <c r="D102" s="16">
        <v>37400</v>
      </c>
      <c r="E102" s="2" t="s">
        <v>2314</v>
      </c>
      <c r="F102" s="2" t="str">
        <f>IFERROR(INDEX(Vendor_ID_Map!$B$2:$B$229,MATCH(B102,Vendor_ID_Map!$A$2:$A$229,0)),"UNMAPPED")</f>
        <v>V1001</v>
      </c>
      <c r="G102" s="2" t="str">
        <f>IFERROR(INDEX(Vendor_Master_Golden!$B$2:$B$208,MATCH(F102,Vendor_Master_Golden!$A$2:$A$208,0)),"-")</f>
        <v>Zenith Logistics Pvt Ltd</v>
      </c>
      <c r="H102" s="2" t="str">
        <f>IFERROR(INDEX(Vendor_Master_Golden!$K$2:$K$208,MATCH(F102,Vendor_Master_Golden!$A$2:$A$208,0)),"-")</f>
        <v>Active</v>
      </c>
      <c r="I102" s="2" t="str">
        <f t="shared" si="3"/>
        <v>OK</v>
      </c>
      <c r="J102" s="2">
        <f>COUNTIFS($B$2:B102,B102,$A$2:A102,A102,$D$2:D102,D102)</f>
        <v>1</v>
      </c>
      <c r="K102" s="2">
        <f>COUNTIFS($F$2:F102,F102,$A$2:A102,A102,$D$2:D102,D102)</f>
        <v>1</v>
      </c>
      <c r="L102" s="2" t="str">
        <f t="shared" si="4"/>
        <v>Unique</v>
      </c>
      <c r="M102" s="2" t="str">
        <f t="shared" si="5"/>
        <v>No</v>
      </c>
    </row>
    <row r="103" spans="1:13" x14ac:dyDescent="0.35">
      <c r="A103" s="2" t="s">
        <v>2454</v>
      </c>
      <c r="B103" s="2" t="s">
        <v>1453</v>
      </c>
      <c r="C103" s="2" t="s">
        <v>2455</v>
      </c>
      <c r="D103" s="16">
        <v>64000</v>
      </c>
      <c r="E103" s="2" t="s">
        <v>2314</v>
      </c>
      <c r="F103" s="2" t="str">
        <f>IFERROR(INDEX(Vendor_ID_Map!$B$2:$B$229,MATCH(B103,Vendor_ID_Map!$A$2:$A$229,0)),"UNMAPPED")</f>
        <v>V1008</v>
      </c>
      <c r="G103" s="2" t="str">
        <f>IFERROR(INDEX(Vendor_Master_Golden!$B$2:$B$208,MATCH(F103,Vendor_Master_Golden!$A$2:$A$208,0)),"-")</f>
        <v>Falcon Electricals Limited</v>
      </c>
      <c r="H103" s="2" t="str">
        <f>IFERROR(INDEX(Vendor_Master_Golden!$K$2:$K$208,MATCH(F103,Vendor_Master_Golden!$A$2:$A$208,0)),"-")</f>
        <v>Active</v>
      </c>
      <c r="I103" s="2" t="str">
        <f t="shared" si="3"/>
        <v>OK</v>
      </c>
      <c r="J103" s="2">
        <f>COUNTIFS($B$2:B103,B103,$A$2:A103,A103,$D$2:D103,D103)</f>
        <v>1</v>
      </c>
      <c r="K103" s="2">
        <f>COUNTIFS($F$2:F103,F103,$A$2:A103,A103,$D$2:D103,D103)</f>
        <v>1</v>
      </c>
      <c r="L103" s="2" t="str">
        <f t="shared" si="4"/>
        <v>Unique</v>
      </c>
      <c r="M103" s="2" t="str">
        <f t="shared" si="5"/>
        <v>No</v>
      </c>
    </row>
    <row r="104" spans="1:13" x14ac:dyDescent="0.35">
      <c r="A104" s="2" t="s">
        <v>2456</v>
      </c>
      <c r="B104" s="2" t="s">
        <v>1974</v>
      </c>
      <c r="C104" s="2" t="s">
        <v>2457</v>
      </c>
      <c r="D104" s="16">
        <v>79700</v>
      </c>
      <c r="E104" s="2" t="s">
        <v>2314</v>
      </c>
      <c r="F104" s="2" t="str">
        <f>IFERROR(INDEX(Vendor_ID_Map!$B$2:$B$229,MATCH(B104,Vendor_ID_Map!$A$2:$A$229,0)),"UNMAPPED")</f>
        <v>V1004</v>
      </c>
      <c r="G104" s="2" t="str">
        <f>IFERROR(INDEX(Vendor_Master_Golden!$B$2:$B$208,MATCH(F104,Vendor_Master_Golden!$A$2:$A$208,0)),"-")</f>
        <v>Deccan Electricals Private Limited</v>
      </c>
      <c r="H104" s="2" t="str">
        <f>IFERROR(INDEX(Vendor_Master_Golden!$K$2:$K$208,MATCH(F104,Vendor_Master_Golden!$A$2:$A$208,0)),"-")</f>
        <v>Active</v>
      </c>
      <c r="I104" s="2" t="str">
        <f t="shared" si="3"/>
        <v>OK</v>
      </c>
      <c r="J104" s="2">
        <f>COUNTIFS($B$2:B104,B104,$A$2:A104,A104,$D$2:D104,D104)</f>
        <v>1</v>
      </c>
      <c r="K104" s="2">
        <f>COUNTIFS($F$2:F104,F104,$A$2:A104,A104,$D$2:D104,D104)</f>
        <v>1</v>
      </c>
      <c r="L104" s="2" t="str">
        <f t="shared" si="4"/>
        <v>Unique</v>
      </c>
      <c r="M104" s="2" t="str">
        <f t="shared" si="5"/>
        <v>No</v>
      </c>
    </row>
    <row r="105" spans="1:13" x14ac:dyDescent="0.35">
      <c r="A105" s="2" t="s">
        <v>2458</v>
      </c>
      <c r="B105" s="2" t="s">
        <v>1828</v>
      </c>
      <c r="C105" s="2" t="s">
        <v>2457</v>
      </c>
      <c r="D105" s="16">
        <v>141400</v>
      </c>
      <c r="E105" s="2" t="s">
        <v>2316</v>
      </c>
      <c r="F105" s="2" t="str">
        <f>IFERROR(INDEX(Vendor_ID_Map!$B$2:$B$229,MATCH(B105,Vendor_ID_Map!$A$2:$A$229,0)),"UNMAPPED")</f>
        <v>V1121</v>
      </c>
      <c r="G105" s="2" t="str">
        <f>IFERROR(INDEX(Vendor_Master_Golden!$B$2:$B$208,MATCH(F105,Vendor_Master_Golden!$A$2:$A$208,0)),"-")</f>
        <v>Vertex Engineering Works Pvt Ltd</v>
      </c>
      <c r="H105" s="2" t="str">
        <f>IFERROR(INDEX(Vendor_Master_Golden!$K$2:$K$208,MATCH(F105,Vendor_Master_Golden!$A$2:$A$208,0)),"-")</f>
        <v>Active</v>
      </c>
      <c r="I105" s="2" t="str">
        <f t="shared" si="3"/>
        <v>OK</v>
      </c>
      <c r="J105" s="2">
        <f>COUNTIFS($B$2:B105,B105,$A$2:A105,A105,$D$2:D105,D105)</f>
        <v>1</v>
      </c>
      <c r="K105" s="2">
        <f>COUNTIFS($F$2:F105,F105,$A$2:A105,A105,$D$2:D105,D105)</f>
        <v>1</v>
      </c>
      <c r="L105" s="2" t="str">
        <f t="shared" si="4"/>
        <v>Unique</v>
      </c>
      <c r="M105" s="2" t="str">
        <f t="shared" si="5"/>
        <v>No</v>
      </c>
    </row>
    <row r="106" spans="1:13" x14ac:dyDescent="0.35">
      <c r="A106" s="2" t="s">
        <v>2459</v>
      </c>
      <c r="B106" s="2" t="s">
        <v>1199</v>
      </c>
      <c r="C106" s="2" t="s">
        <v>2457</v>
      </c>
      <c r="D106" s="16">
        <v>96800</v>
      </c>
      <c r="E106" s="2" t="s">
        <v>2316</v>
      </c>
      <c r="F106" s="2" t="str">
        <f>IFERROR(INDEX(Vendor_ID_Map!$B$2:$B$229,MATCH(B106,Vendor_ID_Map!$A$2:$A$229,0)),"UNMAPPED")</f>
        <v>V1079</v>
      </c>
      <c r="G106" s="2" t="str">
        <f>IFERROR(INDEX(Vendor_Master_Golden!$B$2:$B$208,MATCH(F106,Vendor_Master_Golden!$A$2:$A$208,0)),"-")</f>
        <v>Falcon Landscaping Pvt Ltd</v>
      </c>
      <c r="H106" s="2" t="str">
        <f>IFERROR(INDEX(Vendor_Master_Golden!$K$2:$K$208,MATCH(F106,Vendor_Master_Golden!$A$2:$A$208,0)),"-")</f>
        <v>Active</v>
      </c>
      <c r="I106" s="2" t="str">
        <f t="shared" si="3"/>
        <v>OK</v>
      </c>
      <c r="J106" s="2">
        <f>COUNTIFS($B$2:B106,B106,$A$2:A106,A106,$D$2:D106,D106)</f>
        <v>1</v>
      </c>
      <c r="K106" s="2">
        <f>COUNTIFS($F$2:F106,F106,$A$2:A106,A106,$D$2:D106,D106)</f>
        <v>1</v>
      </c>
      <c r="L106" s="2" t="str">
        <f t="shared" si="4"/>
        <v>Unique</v>
      </c>
      <c r="M106" s="2" t="str">
        <f t="shared" si="5"/>
        <v>No</v>
      </c>
    </row>
    <row r="107" spans="1:13" x14ac:dyDescent="0.35">
      <c r="A107" s="2" t="s">
        <v>2460</v>
      </c>
      <c r="B107" s="2" t="s">
        <v>1449</v>
      </c>
      <c r="C107" s="2" t="s">
        <v>2461</v>
      </c>
      <c r="D107" s="16">
        <v>177000</v>
      </c>
      <c r="E107" s="2" t="s">
        <v>2314</v>
      </c>
      <c r="F107" s="2" t="str">
        <f>IFERROR(INDEX(Vendor_ID_Map!$B$2:$B$229,MATCH(B107,Vendor_ID_Map!$A$2:$A$229,0)),"UNMAPPED")</f>
        <v>V1201</v>
      </c>
      <c r="G107" s="2" t="str">
        <f>IFERROR(INDEX(Vendor_Master_Golden!$B$2:$B$208,MATCH(F107,Vendor_Master_Golden!$A$2:$A$208,0)),"-")</f>
        <v>Nova Housekeeping Limited</v>
      </c>
      <c r="H107" s="2" t="str">
        <f>IFERROR(INDEX(Vendor_Master_Golden!$K$2:$K$208,MATCH(F107,Vendor_Master_Golden!$A$2:$A$208,0)),"-")</f>
        <v>Active</v>
      </c>
      <c r="I107" s="2" t="str">
        <f t="shared" si="3"/>
        <v>OK</v>
      </c>
      <c r="J107" s="2">
        <f>COUNTIFS($B$2:B107,B107,$A$2:A107,A107,$D$2:D107,D107)</f>
        <v>1</v>
      </c>
      <c r="K107" s="2">
        <f>COUNTIFS($F$2:F107,F107,$A$2:A107,A107,$D$2:D107,D107)</f>
        <v>1</v>
      </c>
      <c r="L107" s="2" t="str">
        <f t="shared" si="4"/>
        <v>Unique</v>
      </c>
      <c r="M107" s="2" t="str">
        <f t="shared" si="5"/>
        <v>No</v>
      </c>
    </row>
    <row r="108" spans="1:13" x14ac:dyDescent="0.35">
      <c r="A108" s="2" t="s">
        <v>2462</v>
      </c>
      <c r="B108" s="2" t="s">
        <v>813</v>
      </c>
      <c r="C108" s="2" t="s">
        <v>2461</v>
      </c>
      <c r="D108" s="16">
        <v>165800</v>
      </c>
      <c r="E108" s="2" t="s">
        <v>2314</v>
      </c>
      <c r="F108" s="2" t="str">
        <f>IFERROR(INDEX(Vendor_ID_Map!$B$2:$B$229,MATCH(B108,Vendor_ID_Map!$A$2:$A$229,0)),"UNMAPPED")</f>
        <v>V1211</v>
      </c>
      <c r="G108" s="2" t="str">
        <f>IFERROR(INDEX(Vendor_Master_Golden!$B$2:$B$208,MATCH(F108,Vendor_Master_Golden!$A$2:$A$208,0)),"-")</f>
        <v>Crestline Facility Services Pvt Ltd</v>
      </c>
      <c r="H108" s="2" t="str">
        <f>IFERROR(INDEX(Vendor_Master_Golden!$K$2:$K$208,MATCH(F108,Vendor_Master_Golden!$A$2:$A$208,0)),"-")</f>
        <v>Inactive</v>
      </c>
      <c r="I108" s="2" t="str">
        <f t="shared" si="3"/>
        <v>Inactive Vendor</v>
      </c>
      <c r="J108" s="2">
        <f>COUNTIFS($B$2:B108,B108,$A$2:A108,A108,$D$2:D108,D108)</f>
        <v>1</v>
      </c>
      <c r="K108" s="2">
        <f>COUNTIFS($F$2:F108,F108,$A$2:A108,A108,$D$2:D108,D108)</f>
        <v>1</v>
      </c>
      <c r="L108" s="2" t="str">
        <f t="shared" si="4"/>
        <v>Unique</v>
      </c>
      <c r="M108" s="2" t="str">
        <f t="shared" si="5"/>
        <v>No</v>
      </c>
    </row>
    <row r="109" spans="1:13" x14ac:dyDescent="0.35">
      <c r="A109" s="2" t="s">
        <v>2463</v>
      </c>
      <c r="B109" s="2" t="s">
        <v>1173</v>
      </c>
      <c r="C109" s="2" t="s">
        <v>2464</v>
      </c>
      <c r="D109" s="16">
        <v>39400</v>
      </c>
      <c r="E109" s="2" t="s">
        <v>2314</v>
      </c>
      <c r="F109" s="2" t="str">
        <f>IFERROR(INDEX(Vendor_ID_Map!$B$2:$B$229,MATCH(B109,Vendor_ID_Map!$A$2:$A$229,0)),"UNMAPPED")</f>
        <v>V1136</v>
      </c>
      <c r="G109" s="2" t="str">
        <f>IFERROR(INDEX(Vendor_Master_Golden!$B$2:$B$208,MATCH(F109,Vendor_Master_Golden!$A$2:$A$208,0)),"-")</f>
        <v>Nova Landscaping Pvt Ltd</v>
      </c>
      <c r="H109" s="2" t="str">
        <f>IFERROR(INDEX(Vendor_Master_Golden!$K$2:$K$208,MATCH(F109,Vendor_Master_Golden!$A$2:$A$208,0)),"-")</f>
        <v>Inactive</v>
      </c>
      <c r="I109" s="2" t="str">
        <f t="shared" si="3"/>
        <v>Inactive Vendor</v>
      </c>
      <c r="J109" s="2">
        <f>COUNTIFS($B$2:B109,B109,$A$2:A109,A109,$D$2:D109,D109)</f>
        <v>1</v>
      </c>
      <c r="K109" s="2">
        <f>COUNTIFS($F$2:F109,F109,$A$2:A109,A109,$D$2:D109,D109)</f>
        <v>1</v>
      </c>
      <c r="L109" s="2" t="str">
        <f t="shared" si="4"/>
        <v>Unique</v>
      </c>
      <c r="M109" s="2" t="str">
        <f t="shared" si="5"/>
        <v>No</v>
      </c>
    </row>
    <row r="110" spans="1:13" x14ac:dyDescent="0.35">
      <c r="A110" s="2" t="s">
        <v>2465</v>
      </c>
      <c r="B110" s="2" t="s">
        <v>196</v>
      </c>
      <c r="C110" s="2" t="s">
        <v>2464</v>
      </c>
      <c r="D110" s="16">
        <v>40400</v>
      </c>
      <c r="E110" s="2" t="s">
        <v>2316</v>
      </c>
      <c r="F110" s="2" t="str">
        <f>IFERROR(INDEX(Vendor_ID_Map!$B$2:$B$229,MATCH(B110,Vendor_ID_Map!$A$2:$A$229,0)),"UNMAPPED")</f>
        <v>V1108</v>
      </c>
      <c r="G110" s="2" t="str">
        <f>IFERROR(INDEX(Vendor_Master_Golden!$B$2:$B$208,MATCH(F110,Vendor_Master_Golden!$A$2:$A$208,0)),"-")</f>
        <v>Western Water Solutions Private Limited</v>
      </c>
      <c r="H110" s="2" t="str">
        <f>IFERROR(INDEX(Vendor_Master_Golden!$K$2:$K$208,MATCH(F110,Vendor_Master_Golden!$A$2:$A$208,0)),"-")</f>
        <v>Active</v>
      </c>
      <c r="I110" s="2" t="str">
        <f t="shared" si="3"/>
        <v>OK</v>
      </c>
      <c r="J110" s="2">
        <f>COUNTIFS($B$2:B110,B110,$A$2:A110,A110,$D$2:D110,D110)</f>
        <v>1</v>
      </c>
      <c r="K110" s="2">
        <f>COUNTIFS($F$2:F110,F110,$A$2:A110,A110,$D$2:D110,D110)</f>
        <v>1</v>
      </c>
      <c r="L110" s="2" t="str">
        <f t="shared" si="4"/>
        <v>Unique</v>
      </c>
      <c r="M110" s="2" t="str">
        <f t="shared" si="5"/>
        <v>No</v>
      </c>
    </row>
    <row r="111" spans="1:13" x14ac:dyDescent="0.35">
      <c r="A111" s="2" t="s">
        <v>2466</v>
      </c>
      <c r="B111" s="2" t="s">
        <v>264</v>
      </c>
      <c r="C111" s="2" t="s">
        <v>2467</v>
      </c>
      <c r="D111" s="16">
        <v>46100</v>
      </c>
      <c r="E111" s="2" t="s">
        <v>2316</v>
      </c>
      <c r="F111" s="2" t="str">
        <f>IFERROR(INDEX(Vendor_ID_Map!$B$2:$B$229,MATCH(B111,Vendor_ID_Map!$A$2:$A$229,0)),"UNMAPPED")</f>
        <v>V1198</v>
      </c>
      <c r="G111" s="2" t="str">
        <f>IFERROR(INDEX(Vendor_Master_Golden!$B$2:$B$208,MATCH(F111,Vendor_Master_Golden!$A$2:$A$208,0)),"-")</f>
        <v>Western Engineering Works Limited</v>
      </c>
      <c r="H111" s="2" t="str">
        <f>IFERROR(INDEX(Vendor_Master_Golden!$K$2:$K$208,MATCH(F111,Vendor_Master_Golden!$A$2:$A$208,0)),"-")</f>
        <v>Inactive</v>
      </c>
      <c r="I111" s="2" t="str">
        <f t="shared" si="3"/>
        <v>Inactive Vendor</v>
      </c>
      <c r="J111" s="2">
        <f>COUNTIFS($B$2:B111,B111,$A$2:A111,A111,$D$2:D111,D111)</f>
        <v>1</v>
      </c>
      <c r="K111" s="2">
        <f>COUNTIFS($F$2:F111,F111,$A$2:A111,A111,$D$2:D111,D111)</f>
        <v>1</v>
      </c>
      <c r="L111" s="2" t="str">
        <f t="shared" si="4"/>
        <v>Unique</v>
      </c>
      <c r="M111" s="2" t="str">
        <f t="shared" si="5"/>
        <v>No</v>
      </c>
    </row>
    <row r="112" spans="1:13" x14ac:dyDescent="0.35">
      <c r="A112" s="2" t="s">
        <v>2468</v>
      </c>
      <c r="B112" s="2" t="s">
        <v>1612</v>
      </c>
      <c r="C112" s="2" t="s">
        <v>2469</v>
      </c>
      <c r="D112" s="16">
        <v>52600</v>
      </c>
      <c r="E112" s="2" t="s">
        <v>2314</v>
      </c>
      <c r="F112" s="2" t="str">
        <f>IFERROR(INDEX(Vendor_ID_Map!$B$2:$B$229,MATCH(B112,Vendor_ID_Map!$A$2:$A$229,0)),"UNMAPPED")</f>
        <v>V1228</v>
      </c>
      <c r="G112" s="2" t="str">
        <f>IFERROR(INDEX(Vendor_Master_Golden!$B$2:$B$208,MATCH(F112,Vendor_Master_Golden!$A$2:$A$208,0)),"-")</f>
        <v>Falcon Staioners Private Limited</v>
      </c>
      <c r="H112" s="2" t="str">
        <f>IFERROR(INDEX(Vendor_Master_Golden!$K$2:$K$208,MATCH(F112,Vendor_Master_Golden!$A$2:$A$208,0)),"-")</f>
        <v>Inactive</v>
      </c>
      <c r="I112" s="2" t="str">
        <f t="shared" si="3"/>
        <v>Inactive Vendor</v>
      </c>
      <c r="J112" s="2">
        <f>COUNTIFS($B$2:B112,B112,$A$2:A112,A112,$D$2:D112,D112)</f>
        <v>1</v>
      </c>
      <c r="K112" s="2">
        <f>COUNTIFS($F$2:F112,F112,$A$2:A112,A112,$D$2:D112,D112)</f>
        <v>1</v>
      </c>
      <c r="L112" s="2" t="str">
        <f t="shared" si="4"/>
        <v>Unique</v>
      </c>
      <c r="M112" s="2" t="str">
        <f t="shared" si="5"/>
        <v>No</v>
      </c>
    </row>
    <row r="113" spans="1:13" x14ac:dyDescent="0.35">
      <c r="A113" s="2" t="s">
        <v>2470</v>
      </c>
      <c r="B113" s="2" t="s">
        <v>1643</v>
      </c>
      <c r="C113" s="2" t="s">
        <v>2469</v>
      </c>
      <c r="D113" s="16">
        <v>32200</v>
      </c>
      <c r="E113" s="2" t="s">
        <v>2314</v>
      </c>
      <c r="F113" s="2" t="str">
        <f>IFERROR(INDEX(Vendor_ID_Map!$B$2:$B$229,MATCH(B113,Vendor_ID_Map!$A$2:$A$229,0)),"UNMAPPED")</f>
        <v>V1125</v>
      </c>
      <c r="G113" s="2" t="str">
        <f>IFERROR(INDEX(Vendor_Master_Golden!$B$2:$B$208,MATCH(F113,Vendor_Master_Golden!$A$2:$A$208,0)),"-")</f>
        <v>Falcon Facility Services Pvt Ltd</v>
      </c>
      <c r="H113" s="2" t="str">
        <f>IFERROR(INDEX(Vendor_Master_Golden!$K$2:$K$208,MATCH(F113,Vendor_Master_Golden!$A$2:$A$208,0)),"-")</f>
        <v>Active</v>
      </c>
      <c r="I113" s="2" t="str">
        <f t="shared" si="3"/>
        <v>OK</v>
      </c>
      <c r="J113" s="2">
        <f>COUNTIFS($B$2:B113,B113,$A$2:A113,A113,$D$2:D113,D113)</f>
        <v>1</v>
      </c>
      <c r="K113" s="2">
        <f>COUNTIFS($F$2:F113,F113,$A$2:A113,A113,$D$2:D113,D113)</f>
        <v>1</v>
      </c>
      <c r="L113" s="2" t="str">
        <f t="shared" si="4"/>
        <v>Unique</v>
      </c>
      <c r="M113" s="2" t="str">
        <f t="shared" si="5"/>
        <v>No</v>
      </c>
    </row>
    <row r="114" spans="1:13" x14ac:dyDescent="0.35">
      <c r="A114" s="2" t="s">
        <v>2471</v>
      </c>
      <c r="B114" s="2" t="s">
        <v>939</v>
      </c>
      <c r="C114" s="2" t="s">
        <v>2469</v>
      </c>
      <c r="D114" s="16">
        <v>50700</v>
      </c>
      <c r="E114" s="2" t="s">
        <v>2314</v>
      </c>
      <c r="F114" s="2" t="str">
        <f>IFERROR(INDEX(Vendor_ID_Map!$B$2:$B$229,MATCH(B114,Vendor_ID_Map!$A$2:$A$229,0)),"UNMAPPED")</f>
        <v>V1222</v>
      </c>
      <c r="G114" s="2" t="str">
        <f>IFERROR(INDEX(Vendor_Master_Golden!$B$2:$B$208,MATCH(F114,Vendor_Master_Golden!$A$2:$A$208,0)),"-")</f>
        <v>Metro Engg Works LLP</v>
      </c>
      <c r="H114" s="2" t="str">
        <f>IFERROR(INDEX(Vendor_Master_Golden!$K$2:$K$208,MATCH(F114,Vendor_Master_Golden!$A$2:$A$208,0)),"-")</f>
        <v>Active</v>
      </c>
      <c r="I114" s="2" t="str">
        <f t="shared" si="3"/>
        <v>OK</v>
      </c>
      <c r="J114" s="2">
        <f>COUNTIFS($B$2:B114,B114,$A$2:A114,A114,$D$2:D114,D114)</f>
        <v>1</v>
      </c>
      <c r="K114" s="2">
        <f>COUNTIFS($F$2:F114,F114,$A$2:A114,A114,$D$2:D114,D114)</f>
        <v>1</v>
      </c>
      <c r="L114" s="2" t="str">
        <f t="shared" si="4"/>
        <v>Unique</v>
      </c>
      <c r="M114" s="2" t="str">
        <f t="shared" si="5"/>
        <v>No</v>
      </c>
    </row>
    <row r="115" spans="1:13" x14ac:dyDescent="0.35">
      <c r="A115" s="2" t="s">
        <v>2472</v>
      </c>
      <c r="B115" s="2" t="s">
        <v>1364</v>
      </c>
      <c r="C115" s="2" t="s">
        <v>2469</v>
      </c>
      <c r="D115" s="16">
        <v>144400</v>
      </c>
      <c r="E115" s="2" t="s">
        <v>2314</v>
      </c>
      <c r="F115" s="2" t="str">
        <f>IFERROR(INDEX(Vendor_ID_Map!$B$2:$B$229,MATCH(B115,Vendor_ID_Map!$A$2:$A$229,0)),"UNMAPPED")</f>
        <v>V1187</v>
      </c>
      <c r="G115" s="2" t="str">
        <f>IFERROR(INDEX(Vendor_Master_Golden!$B$2:$B$208,MATCH(F115,Vendor_Master_Golden!$A$2:$A$208,0)),"-")</f>
        <v>Orchid Facility Services Limited</v>
      </c>
      <c r="H115" s="2" t="str">
        <f>IFERROR(INDEX(Vendor_Master_Golden!$K$2:$K$208,MATCH(F115,Vendor_Master_Golden!$A$2:$A$208,0)),"-")</f>
        <v>Active</v>
      </c>
      <c r="I115" s="2" t="str">
        <f t="shared" si="3"/>
        <v>OK</v>
      </c>
      <c r="J115" s="2">
        <f>COUNTIFS($B$2:B115,B115,$A$2:A115,A115,$D$2:D115,D115)</f>
        <v>1</v>
      </c>
      <c r="K115" s="2">
        <f>COUNTIFS($F$2:F115,F115,$A$2:A115,A115,$D$2:D115,D115)</f>
        <v>1</v>
      </c>
      <c r="L115" s="2" t="str">
        <f t="shared" si="4"/>
        <v>Unique</v>
      </c>
      <c r="M115" s="2" t="str">
        <f t="shared" si="5"/>
        <v>No</v>
      </c>
    </row>
    <row r="116" spans="1:13" x14ac:dyDescent="0.35">
      <c r="A116" s="2" t="s">
        <v>2473</v>
      </c>
      <c r="B116" s="2" t="s">
        <v>361</v>
      </c>
      <c r="C116" s="2" t="s">
        <v>2469</v>
      </c>
      <c r="D116" s="16">
        <v>76000</v>
      </c>
      <c r="E116" s="2" t="s">
        <v>2316</v>
      </c>
      <c r="F116" s="2" t="str">
        <f>IFERROR(INDEX(Vendor_ID_Map!$B$2:$B$229,MATCH(B116,Vendor_ID_Map!$A$2:$A$229,0)),"UNMAPPED")</f>
        <v>V1042</v>
      </c>
      <c r="G116" s="2" t="str">
        <f>IFERROR(INDEX(Vendor_Master_Golden!$B$2:$B$208,MATCH(F116,Vendor_Master_Golden!$A$2:$A$208,0)),"-")</f>
        <v>Falcon IT Services Private Limited</v>
      </c>
      <c r="H116" s="2" t="str">
        <f>IFERROR(INDEX(Vendor_Master_Golden!$K$2:$K$208,MATCH(F116,Vendor_Master_Golden!$A$2:$A$208,0)),"-")</f>
        <v>Active</v>
      </c>
      <c r="I116" s="2" t="str">
        <f t="shared" si="3"/>
        <v>OK</v>
      </c>
      <c r="J116" s="2">
        <f>COUNTIFS($B$2:B116,B116,$A$2:A116,A116,$D$2:D116,D116)</f>
        <v>1</v>
      </c>
      <c r="K116" s="2">
        <f>COUNTIFS($F$2:F116,F116,$A$2:A116,A116,$D$2:D116,D116)</f>
        <v>1</v>
      </c>
      <c r="L116" s="2" t="str">
        <f t="shared" si="4"/>
        <v>Unique</v>
      </c>
      <c r="M116" s="2" t="str">
        <f t="shared" si="5"/>
        <v>No</v>
      </c>
    </row>
    <row r="117" spans="1:13" x14ac:dyDescent="0.35">
      <c r="A117" s="2" t="s">
        <v>2474</v>
      </c>
      <c r="B117" s="2" t="s">
        <v>1386</v>
      </c>
      <c r="C117" s="2" t="s">
        <v>2475</v>
      </c>
      <c r="D117" s="16">
        <v>172100</v>
      </c>
      <c r="E117" s="2" t="s">
        <v>2314</v>
      </c>
      <c r="F117" s="2" t="str">
        <f>IFERROR(INDEX(Vendor_ID_Map!$B$2:$B$229,MATCH(B117,Vendor_ID_Map!$A$2:$A$229,0)),"UNMAPPED")</f>
        <v>V1097</v>
      </c>
      <c r="G117" s="2" t="str">
        <f>IFERROR(INDEX(Vendor_Master_Golden!$B$2:$B$208,MATCH(F117,Vendor_Master_Golden!$A$2:$A$208,0)),"-")</f>
        <v>Lotus Pest Control Private Limited</v>
      </c>
      <c r="H117" s="2" t="str">
        <f>IFERROR(INDEX(Vendor_Master_Golden!$K$2:$K$208,MATCH(F117,Vendor_Master_Golden!$A$2:$A$208,0)),"-")</f>
        <v>Active</v>
      </c>
      <c r="I117" s="2" t="str">
        <f t="shared" si="3"/>
        <v>OK</v>
      </c>
      <c r="J117" s="2">
        <f>COUNTIFS($B$2:B117,B117,$A$2:A117,A117,$D$2:D117,D117)</f>
        <v>1</v>
      </c>
      <c r="K117" s="2">
        <f>COUNTIFS($F$2:F117,F117,$A$2:A117,A117,$D$2:D117,D117)</f>
        <v>1</v>
      </c>
      <c r="L117" s="2" t="str">
        <f t="shared" si="4"/>
        <v>Unique</v>
      </c>
      <c r="M117" s="2" t="str">
        <f t="shared" si="5"/>
        <v>No</v>
      </c>
    </row>
    <row r="118" spans="1:13" x14ac:dyDescent="0.35">
      <c r="A118" s="2" t="s">
        <v>2476</v>
      </c>
      <c r="B118" s="2" t="s">
        <v>1574</v>
      </c>
      <c r="C118" s="2" t="s">
        <v>2475</v>
      </c>
      <c r="D118" s="16">
        <v>35900</v>
      </c>
      <c r="E118" s="2" t="s">
        <v>2314</v>
      </c>
      <c r="F118" s="2" t="str">
        <f>IFERROR(INDEX(Vendor_ID_Map!$B$2:$B$229,MATCH(B118,Vendor_ID_Map!$A$2:$A$229,0)),"UNMAPPED")</f>
        <v>V1185</v>
      </c>
      <c r="G118" s="2" t="str">
        <f>IFERROR(INDEX(Vendor_Master_Golden!$B$2:$B$208,MATCH(F118,Vendor_Master_Golden!$A$2:$A$208,0)),"-")</f>
        <v>Ganga Landscaping Private Limited</v>
      </c>
      <c r="H118" s="2" t="str">
        <f>IFERROR(INDEX(Vendor_Master_Golden!$K$2:$K$208,MATCH(F118,Vendor_Master_Golden!$A$2:$A$208,0)),"-")</f>
        <v>Active</v>
      </c>
      <c r="I118" s="2" t="str">
        <f t="shared" si="3"/>
        <v>OK</v>
      </c>
      <c r="J118" s="2">
        <f>COUNTIFS($B$2:B118,B118,$A$2:A118,A118,$D$2:D118,D118)</f>
        <v>1</v>
      </c>
      <c r="K118" s="2">
        <f>COUNTIFS($F$2:F118,F118,$A$2:A118,A118,$D$2:D118,D118)</f>
        <v>1</v>
      </c>
      <c r="L118" s="2" t="str">
        <f t="shared" si="4"/>
        <v>Unique</v>
      </c>
      <c r="M118" s="2" t="str">
        <f t="shared" si="5"/>
        <v>No</v>
      </c>
    </row>
    <row r="119" spans="1:13" x14ac:dyDescent="0.35">
      <c r="A119" s="2" t="s">
        <v>2477</v>
      </c>
      <c r="B119" s="2" t="s">
        <v>598</v>
      </c>
      <c r="C119" s="2" t="s">
        <v>2475</v>
      </c>
      <c r="D119" s="16">
        <v>75000</v>
      </c>
      <c r="E119" s="2" t="s">
        <v>2316</v>
      </c>
      <c r="F119" s="2" t="str">
        <f>IFERROR(INDEX(Vendor_ID_Map!$B$2:$B$229,MATCH(B119,Vendor_ID_Map!$A$2:$A$229,0)),"UNMAPPED")</f>
        <v>V1017</v>
      </c>
      <c r="G119" s="2" t="str">
        <f>IFERROR(INDEX(Vendor_Master_Golden!$B$2:$B$208,MATCH(F119,Vendor_Master_Golden!$A$2:$A$208,0)),"-")</f>
        <v>Bluewave Security Solutions Private Limited</v>
      </c>
      <c r="H119" s="2" t="str">
        <f>IFERROR(INDEX(Vendor_Master_Golden!$K$2:$K$208,MATCH(F119,Vendor_Master_Golden!$A$2:$A$208,0)),"-")</f>
        <v>Active</v>
      </c>
      <c r="I119" s="2" t="str">
        <f t="shared" si="3"/>
        <v>OK</v>
      </c>
      <c r="J119" s="2">
        <f>COUNTIFS($B$2:B119,B119,$A$2:A119,A119,$D$2:D119,D119)</f>
        <v>1</v>
      </c>
      <c r="K119" s="2">
        <f>COUNTIFS($F$2:F119,F119,$A$2:A119,A119,$D$2:D119,D119)</f>
        <v>1</v>
      </c>
      <c r="L119" s="2" t="str">
        <f t="shared" si="4"/>
        <v>Unique</v>
      </c>
      <c r="M119" s="2" t="str">
        <f t="shared" si="5"/>
        <v>No</v>
      </c>
    </row>
    <row r="120" spans="1:13" x14ac:dyDescent="0.35">
      <c r="A120" s="2" t="s">
        <v>2478</v>
      </c>
      <c r="B120" s="2" t="s">
        <v>663</v>
      </c>
      <c r="C120" s="2" t="s">
        <v>2479</v>
      </c>
      <c r="D120" s="16">
        <v>33700</v>
      </c>
      <c r="E120" s="2" t="s">
        <v>2316</v>
      </c>
      <c r="F120" s="2" t="str">
        <f>IFERROR(INDEX(Vendor_ID_Map!$B$2:$B$229,MATCH(B120,Vendor_ID_Map!$A$2:$A$229,0)),"UNMAPPED")</f>
        <v>V1165</v>
      </c>
      <c r="G120" s="2" t="str">
        <f>IFERROR(INDEX(Vendor_Master_Golden!$B$2:$B$208,MATCH(F120,Vendor_Master_Golden!$A$2:$A$208,0)),"-")</f>
        <v>Apex IT Services Limited</v>
      </c>
      <c r="H120" s="2" t="str">
        <f>IFERROR(INDEX(Vendor_Master_Golden!$K$2:$K$208,MATCH(F120,Vendor_Master_Golden!$A$2:$A$208,0)),"-")</f>
        <v>Active</v>
      </c>
      <c r="I120" s="2" t="str">
        <f t="shared" si="3"/>
        <v>OK</v>
      </c>
      <c r="J120" s="2">
        <f>COUNTIFS($B$2:B120,B120,$A$2:A120,A120,$D$2:D120,D120)</f>
        <v>1</v>
      </c>
      <c r="K120" s="2">
        <f>COUNTIFS($F$2:F120,F120,$A$2:A120,A120,$D$2:D120,D120)</f>
        <v>1</v>
      </c>
      <c r="L120" s="2" t="str">
        <f t="shared" si="4"/>
        <v>Unique</v>
      </c>
      <c r="M120" s="2" t="str">
        <f t="shared" si="5"/>
        <v>No</v>
      </c>
    </row>
    <row r="121" spans="1:13" x14ac:dyDescent="0.35">
      <c r="A121" s="2" t="s">
        <v>2480</v>
      </c>
      <c r="B121" s="2" t="s">
        <v>755</v>
      </c>
      <c r="C121" s="2" t="s">
        <v>2479</v>
      </c>
      <c r="D121" s="16">
        <v>103800</v>
      </c>
      <c r="E121" s="2" t="s">
        <v>2314</v>
      </c>
      <c r="F121" s="2" t="str">
        <f>IFERROR(INDEX(Vendor_ID_Map!$B$2:$B$229,MATCH(B121,Vendor_ID_Map!$A$2:$A$229,0)),"UNMAPPED")</f>
        <v>V1062</v>
      </c>
      <c r="G121" s="2" t="str">
        <f>IFERROR(INDEX(Vendor_Master_Golden!$B$2:$B$208,MATCH(F121,Vendor_Master_Golden!$A$2:$A$208,0)),"-")</f>
        <v>Western Power Systems Pvt Ltd</v>
      </c>
      <c r="H121" s="2" t="str">
        <f>IFERROR(INDEX(Vendor_Master_Golden!$K$2:$K$208,MATCH(F121,Vendor_Master_Golden!$A$2:$A$208,0)),"-")</f>
        <v>Active</v>
      </c>
      <c r="I121" s="2" t="str">
        <f t="shared" si="3"/>
        <v>OK</v>
      </c>
      <c r="J121" s="2">
        <f>COUNTIFS($B$2:B121,B121,$A$2:A121,A121,$D$2:D121,D121)</f>
        <v>1</v>
      </c>
      <c r="K121" s="2">
        <f>COUNTIFS($F$2:F121,F121,$A$2:A121,A121,$D$2:D121,D121)</f>
        <v>1</v>
      </c>
      <c r="L121" s="2" t="str">
        <f t="shared" si="4"/>
        <v>Unique</v>
      </c>
      <c r="M121" s="2" t="str">
        <f t="shared" si="5"/>
        <v>No</v>
      </c>
    </row>
    <row r="122" spans="1:13" x14ac:dyDescent="0.35">
      <c r="A122" s="2" t="s">
        <v>2481</v>
      </c>
      <c r="B122" s="2" t="s">
        <v>1239</v>
      </c>
      <c r="C122" s="2" t="s">
        <v>2479</v>
      </c>
      <c r="D122" s="16">
        <v>69000</v>
      </c>
      <c r="E122" s="2" t="s">
        <v>2316</v>
      </c>
      <c r="F122" s="2" t="str">
        <f>IFERROR(INDEX(Vendor_ID_Map!$B$2:$B$229,MATCH(B122,Vendor_ID_Map!$A$2:$A$229,0)),"UNMAPPED")</f>
        <v>V1032</v>
      </c>
      <c r="G122" s="2" t="str">
        <f>IFERROR(INDEX(Vendor_Master_Golden!$B$2:$B$208,MATCH(F122,Vendor_Master_Golden!$A$2:$A$208,0)),"-")</f>
        <v>Ironbridge Facility Services LLP</v>
      </c>
      <c r="H122" s="2" t="str">
        <f>IFERROR(INDEX(Vendor_Master_Golden!$K$2:$K$208,MATCH(F122,Vendor_Master_Golden!$A$2:$A$208,0)),"-")</f>
        <v>Active</v>
      </c>
      <c r="I122" s="2" t="str">
        <f t="shared" si="3"/>
        <v>OK</v>
      </c>
      <c r="J122" s="2">
        <f>COUNTIFS($B$2:B122,B122,$A$2:A122,A122,$D$2:D122,D122)</f>
        <v>1</v>
      </c>
      <c r="K122" s="2">
        <f>COUNTIFS($F$2:F122,F122,$A$2:A122,A122,$D$2:D122,D122)</f>
        <v>1</v>
      </c>
      <c r="L122" s="2" t="str">
        <f t="shared" si="4"/>
        <v>Unique</v>
      </c>
      <c r="M122" s="2" t="str">
        <f t="shared" si="5"/>
        <v>No</v>
      </c>
    </row>
    <row r="123" spans="1:13" x14ac:dyDescent="0.35">
      <c r="A123" s="2" t="s">
        <v>2482</v>
      </c>
      <c r="B123" s="2" t="s">
        <v>1332</v>
      </c>
      <c r="C123" s="2" t="s">
        <v>2483</v>
      </c>
      <c r="D123" s="16">
        <v>49700</v>
      </c>
      <c r="E123" s="2" t="s">
        <v>2314</v>
      </c>
      <c r="F123" s="2" t="str">
        <f>IFERROR(INDEX(Vendor_ID_Map!$B$2:$B$229,MATCH(B123,Vendor_ID_Map!$A$2:$A$229,0)),"UNMAPPED")</f>
        <v>V1221</v>
      </c>
      <c r="G123" s="2" t="str">
        <f>IFERROR(INDEX(Vendor_Master_Golden!$B$2:$B$208,MATCH(F123,Vendor_Master_Golden!$A$2:$A$208,0)),"-")</f>
        <v>Pinnacle Security Soln Limited</v>
      </c>
      <c r="H123" s="2" t="str">
        <f>IFERROR(INDEX(Vendor_Master_Golden!$K$2:$K$208,MATCH(F123,Vendor_Master_Golden!$A$2:$A$208,0)),"-")</f>
        <v>Inactive</v>
      </c>
      <c r="I123" s="2" t="str">
        <f t="shared" si="3"/>
        <v>Inactive Vendor</v>
      </c>
      <c r="J123" s="2">
        <f>COUNTIFS($B$2:B123,B123,$A$2:A123,A123,$D$2:D123,D123)</f>
        <v>1</v>
      </c>
      <c r="K123" s="2">
        <f>COUNTIFS($F$2:F123,F123,$A$2:A123,A123,$D$2:D123,D123)</f>
        <v>1</v>
      </c>
      <c r="L123" s="2" t="str">
        <f t="shared" si="4"/>
        <v>Unique</v>
      </c>
      <c r="M123" s="2" t="str">
        <f t="shared" si="5"/>
        <v>No</v>
      </c>
    </row>
    <row r="124" spans="1:13" x14ac:dyDescent="0.35">
      <c r="A124" s="2" t="s">
        <v>2484</v>
      </c>
      <c r="B124" s="2" t="s">
        <v>1158</v>
      </c>
      <c r="C124" s="2" t="s">
        <v>2485</v>
      </c>
      <c r="D124" s="16">
        <v>65100</v>
      </c>
      <c r="E124" s="2" t="s">
        <v>2316</v>
      </c>
      <c r="F124" s="2" t="str">
        <f>IFERROR(INDEX(Vendor_ID_Map!$B$2:$B$229,MATCH(B124,Vendor_ID_Map!$A$2:$A$229,0)),"UNMAPPED")</f>
        <v>V1060</v>
      </c>
      <c r="G124" s="2" t="str">
        <f>IFERROR(INDEX(Vendor_Master_Golden!$B$2:$B$208,MATCH(F124,Vendor_Master_Golden!$A$2:$A$208,0)),"-")</f>
        <v>Kaveri Maintenance Limited</v>
      </c>
      <c r="H124" s="2" t="str">
        <f>IFERROR(INDEX(Vendor_Master_Golden!$K$2:$K$208,MATCH(F124,Vendor_Master_Golden!$A$2:$A$208,0)),"-")</f>
        <v>Active</v>
      </c>
      <c r="I124" s="2" t="str">
        <f t="shared" si="3"/>
        <v>OK</v>
      </c>
      <c r="J124" s="2">
        <f>COUNTIFS($B$2:B124,B124,$A$2:A124,A124,$D$2:D124,D124)</f>
        <v>1</v>
      </c>
      <c r="K124" s="2">
        <f>COUNTIFS($F$2:F124,F124,$A$2:A124,A124,$D$2:D124,D124)</f>
        <v>1</v>
      </c>
      <c r="L124" s="2" t="str">
        <f t="shared" si="4"/>
        <v>Unique</v>
      </c>
      <c r="M124" s="2" t="str">
        <f t="shared" si="5"/>
        <v>No</v>
      </c>
    </row>
    <row r="125" spans="1:13" x14ac:dyDescent="0.35">
      <c r="A125" s="2" t="s">
        <v>2486</v>
      </c>
      <c r="B125" s="2" t="s">
        <v>684</v>
      </c>
      <c r="C125" s="2" t="s">
        <v>2487</v>
      </c>
      <c r="D125" s="16">
        <v>96800</v>
      </c>
      <c r="E125" s="2" t="s">
        <v>2314</v>
      </c>
      <c r="F125" s="2" t="str">
        <f>IFERROR(INDEX(Vendor_ID_Map!$B$2:$B$229,MATCH(B125,Vendor_ID_Map!$A$2:$A$229,0)),"UNMAPPED")</f>
        <v>V1155</v>
      </c>
      <c r="G125" s="2" t="str">
        <f>IFERROR(INDEX(Vendor_Master_Golden!$B$2:$B$208,MATCH(F125,Vendor_Master_Golden!$A$2:$A$208,0)),"-")</f>
        <v>Delta Pest Control Limited</v>
      </c>
      <c r="H125" s="2" t="str">
        <f>IFERROR(INDEX(Vendor_Master_Golden!$K$2:$K$208,MATCH(F125,Vendor_Master_Golden!$A$2:$A$208,0)),"-")</f>
        <v>Active</v>
      </c>
      <c r="I125" s="2" t="str">
        <f t="shared" si="3"/>
        <v>OK</v>
      </c>
      <c r="J125" s="2">
        <f>COUNTIFS($B$2:B125,B125,$A$2:A125,A125,$D$2:D125,D125)</f>
        <v>1</v>
      </c>
      <c r="K125" s="2">
        <f>COUNTIFS($F$2:F125,F125,$A$2:A125,A125,$D$2:D125,D125)</f>
        <v>1</v>
      </c>
      <c r="L125" s="2" t="str">
        <f t="shared" si="4"/>
        <v>Unique</v>
      </c>
      <c r="M125" s="2" t="str">
        <f t="shared" si="5"/>
        <v>No</v>
      </c>
    </row>
    <row r="126" spans="1:13" x14ac:dyDescent="0.35">
      <c r="A126" s="2" t="s">
        <v>2488</v>
      </c>
      <c r="B126" s="2" t="s">
        <v>922</v>
      </c>
      <c r="C126" s="2" t="s">
        <v>2487</v>
      </c>
      <c r="D126" s="16">
        <v>146300</v>
      </c>
      <c r="E126" s="2" t="s">
        <v>2316</v>
      </c>
      <c r="F126" s="2" t="str">
        <f>IFERROR(INDEX(Vendor_ID_Map!$B$2:$B$229,MATCH(B126,Vendor_ID_Map!$A$2:$A$229,0)),"UNMAPPED")</f>
        <v>V1099</v>
      </c>
      <c r="G126" s="2" t="str">
        <f>IFERROR(INDEX(Vendor_Master_Golden!$B$2:$B$208,MATCH(F126,Vendor_Master_Golden!$A$2:$A$208,0)),"-")</f>
        <v>Ironbridge Logistics LLP</v>
      </c>
      <c r="H126" s="2" t="str">
        <f>IFERROR(INDEX(Vendor_Master_Golden!$K$2:$K$208,MATCH(F126,Vendor_Master_Golden!$A$2:$A$208,0)),"-")</f>
        <v>Active</v>
      </c>
      <c r="I126" s="2" t="str">
        <f t="shared" si="3"/>
        <v>OK</v>
      </c>
      <c r="J126" s="2">
        <f>COUNTIFS($B$2:B126,B126,$A$2:A126,A126,$D$2:D126,D126)</f>
        <v>1</v>
      </c>
      <c r="K126" s="2">
        <f>COUNTIFS($F$2:F126,F126,$A$2:A126,A126,$D$2:D126,D126)</f>
        <v>1</v>
      </c>
      <c r="L126" s="2" t="str">
        <f t="shared" si="4"/>
        <v>Unique</v>
      </c>
      <c r="M126" s="2" t="str">
        <f t="shared" si="5"/>
        <v>No</v>
      </c>
    </row>
    <row r="127" spans="1:13" x14ac:dyDescent="0.35">
      <c r="A127" s="2" t="s">
        <v>2489</v>
      </c>
      <c r="B127" s="2" t="s">
        <v>1900</v>
      </c>
      <c r="C127" s="2" t="s">
        <v>2490</v>
      </c>
      <c r="D127" s="16">
        <v>117600</v>
      </c>
      <c r="E127" s="2" t="s">
        <v>2314</v>
      </c>
      <c r="F127" s="2" t="str">
        <f>IFERROR(INDEX(Vendor_ID_Map!$B$2:$B$229,MATCH(B127,Vendor_ID_Map!$A$2:$A$229,0)),"UNMAPPED")</f>
        <v>V1195</v>
      </c>
      <c r="G127" s="2" t="str">
        <f>IFERROR(INDEX(Vendor_Master_Golden!$B$2:$B$208,MATCH(F127,Vendor_Master_Golden!$A$2:$A$208,0)),"-")</f>
        <v>Vertex Landscaping Pvt Ltd</v>
      </c>
      <c r="H127" s="2" t="str">
        <f>IFERROR(INDEX(Vendor_Master_Golden!$K$2:$K$208,MATCH(F127,Vendor_Master_Golden!$A$2:$A$208,0)),"-")</f>
        <v>Active</v>
      </c>
      <c r="I127" s="2" t="str">
        <f t="shared" si="3"/>
        <v>OK</v>
      </c>
      <c r="J127" s="2">
        <f>COUNTIFS($B$2:B127,B127,$A$2:A127,A127,$D$2:D127,D127)</f>
        <v>1</v>
      </c>
      <c r="K127" s="2">
        <f>COUNTIFS($F$2:F127,F127,$A$2:A127,A127,$D$2:D127,D127)</f>
        <v>1</v>
      </c>
      <c r="L127" s="2" t="str">
        <f t="shared" si="4"/>
        <v>Unique</v>
      </c>
      <c r="M127" s="2" t="str">
        <f t="shared" si="5"/>
        <v>No</v>
      </c>
    </row>
    <row r="128" spans="1:13" x14ac:dyDescent="0.35">
      <c r="A128" s="2" t="s">
        <v>2491</v>
      </c>
      <c r="B128" s="2" t="s">
        <v>1314</v>
      </c>
      <c r="C128" s="2" t="s">
        <v>2490</v>
      </c>
      <c r="D128" s="16">
        <v>267200</v>
      </c>
      <c r="E128" s="2" t="s">
        <v>2314</v>
      </c>
      <c r="F128" s="2" t="str">
        <f>IFERROR(INDEX(Vendor_ID_Map!$B$2:$B$229,MATCH(B128,Vendor_ID_Map!$A$2:$A$229,0)),"UNMAPPED")</f>
        <v>V1085</v>
      </c>
      <c r="G128" s="2" t="str">
        <f>IFERROR(INDEX(Vendor_Master_Golden!$B$2:$B$208,MATCH(F128,Vendor_Master_Golden!$A$2:$A$208,0)),"-")</f>
        <v>Crestline Power Systems LLP</v>
      </c>
      <c r="H128" s="2" t="str">
        <f>IFERROR(INDEX(Vendor_Master_Golden!$K$2:$K$208,MATCH(F128,Vendor_Master_Golden!$A$2:$A$208,0)),"-")</f>
        <v>Active</v>
      </c>
      <c r="I128" s="2" t="str">
        <f t="shared" si="3"/>
        <v>OK</v>
      </c>
      <c r="J128" s="2">
        <f>COUNTIFS($B$2:B128,B128,$A$2:A128,A128,$D$2:D128,D128)</f>
        <v>1</v>
      </c>
      <c r="K128" s="2">
        <f>COUNTIFS($F$2:F128,F128,$A$2:A128,A128,$D$2:D128,D128)</f>
        <v>1</v>
      </c>
      <c r="L128" s="2" t="str">
        <f t="shared" si="4"/>
        <v>Unique</v>
      </c>
      <c r="M128" s="2" t="str">
        <f t="shared" si="5"/>
        <v>No</v>
      </c>
    </row>
    <row r="129" spans="1:13" x14ac:dyDescent="0.35">
      <c r="A129" s="2" t="s">
        <v>2492</v>
      </c>
      <c r="B129" s="2" t="s">
        <v>651</v>
      </c>
      <c r="C129" s="2" t="s">
        <v>122</v>
      </c>
      <c r="D129" s="16">
        <v>48000</v>
      </c>
      <c r="E129" s="2" t="s">
        <v>2316</v>
      </c>
      <c r="F129" s="2" t="str">
        <f>IFERROR(INDEX(Vendor_ID_Map!$B$2:$B$229,MATCH(B129,Vendor_ID_Map!$A$2:$A$229,0)),"UNMAPPED")</f>
        <v>V1227</v>
      </c>
      <c r="G129" s="2" t="str">
        <f>IFERROR(INDEX(Vendor_Master_Golden!$B$2:$B$208,MATCH(F129,Vendor_Master_Golden!$A$2:$A$208,0)),"-")</f>
        <v>Pinnacle Engneering Works Private Limited</v>
      </c>
      <c r="H129" s="2" t="str">
        <f>IFERROR(INDEX(Vendor_Master_Golden!$K$2:$K$208,MATCH(F129,Vendor_Master_Golden!$A$2:$A$208,0)),"-")</f>
        <v>Active</v>
      </c>
      <c r="I129" s="2" t="str">
        <f t="shared" si="3"/>
        <v>OK</v>
      </c>
      <c r="J129" s="2">
        <f>COUNTIFS($B$2:B129,B129,$A$2:A129,A129,$D$2:D129,D129)</f>
        <v>1</v>
      </c>
      <c r="K129" s="2">
        <f>COUNTIFS($F$2:F129,F129,$A$2:A129,A129,$D$2:D129,D129)</f>
        <v>1</v>
      </c>
      <c r="L129" s="2" t="str">
        <f t="shared" si="4"/>
        <v>Unique</v>
      </c>
      <c r="M129" s="2" t="str">
        <f t="shared" si="5"/>
        <v>No</v>
      </c>
    </row>
    <row r="130" spans="1:13" x14ac:dyDescent="0.35">
      <c r="A130" s="2" t="s">
        <v>2493</v>
      </c>
      <c r="B130" s="2" t="s">
        <v>1149</v>
      </c>
      <c r="C130" s="2" t="s">
        <v>122</v>
      </c>
      <c r="D130" s="16">
        <v>48400</v>
      </c>
      <c r="E130" s="2" t="s">
        <v>2314</v>
      </c>
      <c r="F130" s="2" t="str">
        <f>IFERROR(INDEX(Vendor_ID_Map!$B$2:$B$229,MATCH(B130,Vendor_ID_Map!$A$2:$A$229,0)),"UNMAPPED")</f>
        <v>V1192</v>
      </c>
      <c r="G130" s="2" t="str">
        <f>IFERROR(INDEX(Vendor_Master_Golden!$B$2:$B$208,MATCH(F130,Vendor_Master_Golden!$A$2:$A$208,0)),"-")</f>
        <v>Ganga IT Services LLP</v>
      </c>
      <c r="H130" s="2" t="str">
        <f>IFERROR(INDEX(Vendor_Master_Golden!$K$2:$K$208,MATCH(F130,Vendor_Master_Golden!$A$2:$A$208,0)),"-")</f>
        <v>Active</v>
      </c>
      <c r="I130" s="2" t="str">
        <f t="shared" ref="I130:I193" si="6">IF(F130="UNMAPPED","Orphan Vendor ID",IF(H130="Inactive","Inactive Vendor","OK"))</f>
        <v>OK</v>
      </c>
      <c r="J130" s="2">
        <f>COUNTIFS($B$2:B130,B130,$A$2:A130,A130,$D$2:D130,D130)</f>
        <v>1</v>
      </c>
      <c r="K130" s="2">
        <f>COUNTIFS($F$2:F130,F130,$A$2:A130,A130,$D$2:D130,D130)</f>
        <v>1</v>
      </c>
      <c r="L130" s="2" t="str">
        <f t="shared" ref="L130:L193" si="7">IF(K130&gt;1,"Duplicate","Unique")</f>
        <v>Unique</v>
      </c>
      <c r="M130" s="2" t="str">
        <f t="shared" ref="M130:M193" si="8">IF(AND(K130&gt;1,J130=1),"Yes","No")</f>
        <v>No</v>
      </c>
    </row>
    <row r="131" spans="1:13" x14ac:dyDescent="0.35">
      <c r="A131" s="2" t="s">
        <v>2494</v>
      </c>
      <c r="B131" s="2" t="s">
        <v>1940</v>
      </c>
      <c r="C131" s="2" t="s">
        <v>122</v>
      </c>
      <c r="D131" s="16">
        <v>218600</v>
      </c>
      <c r="E131" s="2" t="s">
        <v>2316</v>
      </c>
      <c r="F131" s="2" t="str">
        <f>IFERROR(INDEX(Vendor_ID_Map!$B$2:$B$229,MATCH(B131,Vendor_ID_Map!$A$2:$A$229,0)),"UNMAPPED")</f>
        <v>V1086</v>
      </c>
      <c r="G131" s="2" t="str">
        <f>IFERROR(INDEX(Vendor_Master_Golden!$B$2:$B$208,MATCH(F131,Vendor_Master_Golden!$A$2:$A$208,0)),"-")</f>
        <v>Western Housekeeping Private Limited</v>
      </c>
      <c r="H131" s="2" t="str">
        <f>IFERROR(INDEX(Vendor_Master_Golden!$K$2:$K$208,MATCH(F131,Vendor_Master_Golden!$A$2:$A$208,0)),"-")</f>
        <v>Active</v>
      </c>
      <c r="I131" s="2" t="str">
        <f t="shared" si="6"/>
        <v>OK</v>
      </c>
      <c r="J131" s="2">
        <f>COUNTIFS($B$2:B131,B131,$A$2:A131,A131,$D$2:D131,D131)</f>
        <v>1</v>
      </c>
      <c r="K131" s="2">
        <f>COUNTIFS($F$2:F131,F131,$A$2:A131,A131,$D$2:D131,D131)</f>
        <v>1</v>
      </c>
      <c r="L131" s="2" t="str">
        <f t="shared" si="7"/>
        <v>Unique</v>
      </c>
      <c r="M131" s="2" t="str">
        <f t="shared" si="8"/>
        <v>No</v>
      </c>
    </row>
    <row r="132" spans="1:13" x14ac:dyDescent="0.35">
      <c r="A132" s="2" t="s">
        <v>2495</v>
      </c>
      <c r="B132" s="2" t="s">
        <v>1873</v>
      </c>
      <c r="C132" s="2" t="s">
        <v>1190</v>
      </c>
      <c r="D132" s="16">
        <v>90200</v>
      </c>
      <c r="E132" s="2" t="s">
        <v>2316</v>
      </c>
      <c r="F132" s="2" t="str">
        <f>IFERROR(INDEX(Vendor_ID_Map!$B$2:$B$229,MATCH(B132,Vendor_ID_Map!$A$2:$A$229,0)),"UNMAPPED")</f>
        <v>V1091</v>
      </c>
      <c r="G132" s="2" t="str">
        <f>IFERROR(INDEX(Vendor_Master_Golden!$B$2:$B$208,MATCH(F132,Vendor_Master_Golden!$A$2:$A$208,0)),"-")</f>
        <v>Aaryan Logistics LLP</v>
      </c>
      <c r="H132" s="2" t="str">
        <f>IFERROR(INDEX(Vendor_Master_Golden!$K$2:$K$208,MATCH(F132,Vendor_Master_Golden!$A$2:$A$208,0)),"-")</f>
        <v>Active</v>
      </c>
      <c r="I132" s="2" t="str">
        <f t="shared" si="6"/>
        <v>OK</v>
      </c>
      <c r="J132" s="2">
        <f>COUNTIFS($B$2:B132,B132,$A$2:A132,A132,$D$2:D132,D132)</f>
        <v>1</v>
      </c>
      <c r="K132" s="2">
        <f>COUNTIFS($F$2:F132,F132,$A$2:A132,A132,$D$2:D132,D132)</f>
        <v>1</v>
      </c>
      <c r="L132" s="2" t="str">
        <f t="shared" si="7"/>
        <v>Unique</v>
      </c>
      <c r="M132" s="2" t="str">
        <f t="shared" si="8"/>
        <v>No</v>
      </c>
    </row>
    <row r="133" spans="1:13" x14ac:dyDescent="0.35">
      <c r="A133" s="2" t="s">
        <v>2496</v>
      </c>
      <c r="B133" s="2" t="s">
        <v>1666</v>
      </c>
      <c r="C133" s="2" t="s">
        <v>1190</v>
      </c>
      <c r="D133" s="16">
        <v>191000</v>
      </c>
      <c r="E133" s="2" t="s">
        <v>2314</v>
      </c>
      <c r="F133" s="2" t="str">
        <f>IFERROR(INDEX(Vendor_ID_Map!$B$2:$B$229,MATCH(B133,Vendor_ID_Map!$A$2:$A$229,0)),"UNMAPPED")</f>
        <v>V1140</v>
      </c>
      <c r="G133" s="2" t="str">
        <f>IFERROR(INDEX(Vendor_Master_Golden!$B$2:$B$208,MATCH(F133,Vendor_Master_Golden!$A$2:$A$208,0)),"-")</f>
        <v>Apex Logistics LLP</v>
      </c>
      <c r="H133" s="2" t="str">
        <f>IFERROR(INDEX(Vendor_Master_Golden!$K$2:$K$208,MATCH(F133,Vendor_Master_Golden!$A$2:$A$208,0)),"-")</f>
        <v>Active</v>
      </c>
      <c r="I133" s="2" t="str">
        <f t="shared" si="6"/>
        <v>OK</v>
      </c>
      <c r="J133" s="2">
        <f>COUNTIFS($B$2:B133,B133,$A$2:A133,A133,$D$2:D133,D133)</f>
        <v>1</v>
      </c>
      <c r="K133" s="2">
        <f>COUNTIFS($F$2:F133,F133,$A$2:A133,A133,$D$2:D133,D133)</f>
        <v>1</v>
      </c>
      <c r="L133" s="2" t="str">
        <f t="shared" si="7"/>
        <v>Unique</v>
      </c>
      <c r="M133" s="2" t="str">
        <f t="shared" si="8"/>
        <v>No</v>
      </c>
    </row>
    <row r="134" spans="1:13" x14ac:dyDescent="0.35">
      <c r="A134" s="2" t="s">
        <v>2497</v>
      </c>
      <c r="B134" s="2" t="s">
        <v>1395</v>
      </c>
      <c r="C134" s="2" t="s">
        <v>2498</v>
      </c>
      <c r="D134" s="16">
        <v>47400</v>
      </c>
      <c r="E134" s="2" t="s">
        <v>2316</v>
      </c>
      <c r="F134" s="2" t="str">
        <f>IFERROR(INDEX(Vendor_ID_Map!$B$2:$B$229,MATCH(B134,Vendor_ID_Map!$A$2:$A$229,0)),"UNMAPPED")</f>
        <v>V1050</v>
      </c>
      <c r="G134" s="2" t="str">
        <f>IFERROR(INDEX(Vendor_Master_Golden!$B$2:$B$208,MATCH(F134,Vendor_Master_Golden!$A$2:$A$208,0)),"-")</f>
        <v>Metro Power Systems Private Limited</v>
      </c>
      <c r="H134" s="2" t="str">
        <f>IFERROR(INDEX(Vendor_Master_Golden!$K$2:$K$208,MATCH(F134,Vendor_Master_Golden!$A$2:$A$208,0)),"-")</f>
        <v>Active</v>
      </c>
      <c r="I134" s="2" t="str">
        <f t="shared" si="6"/>
        <v>OK</v>
      </c>
      <c r="J134" s="2">
        <f>COUNTIFS($B$2:B134,B134,$A$2:A134,A134,$D$2:D134,D134)</f>
        <v>1</v>
      </c>
      <c r="K134" s="2">
        <f>COUNTIFS($F$2:F134,F134,$A$2:A134,A134,$D$2:D134,D134)</f>
        <v>1</v>
      </c>
      <c r="L134" s="2" t="str">
        <f t="shared" si="7"/>
        <v>Unique</v>
      </c>
      <c r="M134" s="2" t="str">
        <f t="shared" si="8"/>
        <v>No</v>
      </c>
    </row>
    <row r="135" spans="1:13" x14ac:dyDescent="0.35">
      <c r="A135" s="2" t="s">
        <v>2499</v>
      </c>
      <c r="B135" s="2" t="s">
        <v>1112</v>
      </c>
      <c r="C135" s="2" t="s">
        <v>2498</v>
      </c>
      <c r="D135" s="16">
        <v>147700</v>
      </c>
      <c r="E135" s="2" t="s">
        <v>2314</v>
      </c>
      <c r="F135" s="2" t="str">
        <f>IFERROR(INDEX(Vendor_ID_Map!$B$2:$B$229,MATCH(B135,Vendor_ID_Map!$A$2:$A$229,0)),"UNMAPPED")</f>
        <v>V1072</v>
      </c>
      <c r="G135" s="2" t="str">
        <f>IFERROR(INDEX(Vendor_Master_Golden!$B$2:$B$208,MATCH(F135,Vendor_Master_Golden!$A$2:$A$208,0)),"-")</f>
        <v>Eastern Water Solutions Pvt Ltd</v>
      </c>
      <c r="H135" s="2" t="str">
        <f>IFERROR(INDEX(Vendor_Master_Golden!$K$2:$K$208,MATCH(F135,Vendor_Master_Golden!$A$2:$A$208,0)),"-")</f>
        <v>Active</v>
      </c>
      <c r="I135" s="2" t="str">
        <f t="shared" si="6"/>
        <v>OK</v>
      </c>
      <c r="J135" s="2">
        <f>COUNTIFS($B$2:B135,B135,$A$2:A135,A135,$D$2:D135,D135)</f>
        <v>1</v>
      </c>
      <c r="K135" s="2">
        <f>COUNTIFS($F$2:F135,F135,$A$2:A135,A135,$D$2:D135,D135)</f>
        <v>1</v>
      </c>
      <c r="L135" s="2" t="str">
        <f t="shared" si="7"/>
        <v>Unique</v>
      </c>
      <c r="M135" s="2" t="str">
        <f t="shared" si="8"/>
        <v>No</v>
      </c>
    </row>
    <row r="136" spans="1:13" x14ac:dyDescent="0.35">
      <c r="A136" s="2" t="s">
        <v>2500</v>
      </c>
      <c r="B136" s="2" t="s">
        <v>1688</v>
      </c>
      <c r="C136" s="2" t="s">
        <v>2498</v>
      </c>
      <c r="D136" s="16">
        <v>135800</v>
      </c>
      <c r="E136" s="2" t="s">
        <v>2314</v>
      </c>
      <c r="F136" s="2" t="str">
        <f>IFERROR(INDEX(Vendor_ID_Map!$B$2:$B$229,MATCH(B136,Vendor_ID_Map!$A$2:$A$229,0)),"UNMAPPED")</f>
        <v>V1116</v>
      </c>
      <c r="G136" s="2" t="str">
        <f>IFERROR(INDEX(Vendor_Master_Golden!$B$2:$B$208,MATCH(F136,Vendor_Master_Golden!$A$2:$A$208,0)),"-")</f>
        <v>Eastern Housekeeping Private Limited</v>
      </c>
      <c r="H136" s="2" t="str">
        <f>IFERROR(INDEX(Vendor_Master_Golden!$K$2:$K$208,MATCH(F136,Vendor_Master_Golden!$A$2:$A$208,0)),"-")</f>
        <v>Active</v>
      </c>
      <c r="I136" s="2" t="str">
        <f t="shared" si="6"/>
        <v>OK</v>
      </c>
      <c r="J136" s="2">
        <f>COUNTIFS($B$2:B136,B136,$A$2:A136,A136,$D$2:D136,D136)</f>
        <v>1</v>
      </c>
      <c r="K136" s="2">
        <f>COUNTIFS($F$2:F136,F136,$A$2:A136,A136,$D$2:D136,D136)</f>
        <v>1</v>
      </c>
      <c r="L136" s="2" t="str">
        <f t="shared" si="7"/>
        <v>Unique</v>
      </c>
      <c r="M136" s="2" t="str">
        <f t="shared" si="8"/>
        <v>No</v>
      </c>
    </row>
    <row r="137" spans="1:13" x14ac:dyDescent="0.35">
      <c r="A137" s="2" t="s">
        <v>2501</v>
      </c>
      <c r="B137" s="2" t="s">
        <v>1608</v>
      </c>
      <c r="C137" s="2" t="s">
        <v>2502</v>
      </c>
      <c r="D137" s="16">
        <v>63500</v>
      </c>
      <c r="E137" s="2" t="s">
        <v>2314</v>
      </c>
      <c r="F137" s="2" t="str">
        <f>IFERROR(INDEX(Vendor_ID_Map!$B$2:$B$229,MATCH(B137,Vendor_ID_Map!$A$2:$A$229,0)),"UNMAPPED")</f>
        <v>V1087</v>
      </c>
      <c r="G137" s="2" t="str">
        <f>IFERROR(INDEX(Vendor_Master_Golden!$B$2:$B$208,MATCH(F137,Vendor_Master_Golden!$A$2:$A$208,0)),"-")</f>
        <v>Aaryan Water Solutions LLP</v>
      </c>
      <c r="H137" s="2" t="str">
        <f>IFERROR(INDEX(Vendor_Master_Golden!$K$2:$K$208,MATCH(F137,Vendor_Master_Golden!$A$2:$A$208,0)),"-")</f>
        <v>Active</v>
      </c>
      <c r="I137" s="2" t="str">
        <f t="shared" si="6"/>
        <v>OK</v>
      </c>
      <c r="J137" s="2">
        <f>COUNTIFS($B$2:B137,B137,$A$2:A137,A137,$D$2:D137,D137)</f>
        <v>1</v>
      </c>
      <c r="K137" s="2">
        <f>COUNTIFS($F$2:F137,F137,$A$2:A137,A137,$D$2:D137,D137)</f>
        <v>1</v>
      </c>
      <c r="L137" s="2" t="str">
        <f t="shared" si="7"/>
        <v>Unique</v>
      </c>
      <c r="M137" s="2" t="str">
        <f t="shared" si="8"/>
        <v>No</v>
      </c>
    </row>
    <row r="138" spans="1:13" x14ac:dyDescent="0.35">
      <c r="A138" s="2" t="s">
        <v>2492</v>
      </c>
      <c r="B138" s="2" t="s">
        <v>371</v>
      </c>
      <c r="C138" s="2" t="s">
        <v>2502</v>
      </c>
      <c r="D138" s="16">
        <v>48000</v>
      </c>
      <c r="E138" s="2" t="s">
        <v>2316</v>
      </c>
      <c r="F138" s="2" t="str">
        <f>IFERROR(INDEX(Vendor_ID_Map!$B$2:$B$229,MATCH(B138,Vendor_ID_Map!$A$2:$A$229,0)),"UNMAPPED")</f>
        <v>V1031</v>
      </c>
      <c r="G138" s="2" t="str">
        <f>IFERROR(INDEX(Vendor_Master_Golden!$B$2:$B$208,MATCH(F138,Vendor_Master_Golden!$A$2:$A$208,0)),"-")</f>
        <v>Pinnacle Engineering Works Private Limited</v>
      </c>
      <c r="H138" s="2" t="str">
        <f>IFERROR(INDEX(Vendor_Master_Golden!$K$2:$K$208,MATCH(F138,Vendor_Master_Golden!$A$2:$A$208,0)),"-")</f>
        <v>Active</v>
      </c>
      <c r="I138" s="2" t="str">
        <f t="shared" si="6"/>
        <v>OK</v>
      </c>
      <c r="J138" s="2">
        <f>COUNTIFS($B$2:B138,B138,$A$2:A138,A138,$D$2:D138,D138)</f>
        <v>1</v>
      </c>
      <c r="K138" s="2">
        <f>COUNTIFS($F$2:F138,F138,$A$2:A138,A138,$D$2:D138,D138)</f>
        <v>1</v>
      </c>
      <c r="L138" s="2" t="str">
        <f t="shared" si="7"/>
        <v>Unique</v>
      </c>
      <c r="M138" s="2" t="str">
        <f t="shared" si="8"/>
        <v>No</v>
      </c>
    </row>
    <row r="139" spans="1:13" x14ac:dyDescent="0.35">
      <c r="A139" s="2" t="s">
        <v>2503</v>
      </c>
      <c r="B139" s="2" t="s">
        <v>1453</v>
      </c>
      <c r="C139" s="2" t="s">
        <v>2504</v>
      </c>
      <c r="D139" s="16">
        <v>58500</v>
      </c>
      <c r="E139" s="2" t="s">
        <v>2314</v>
      </c>
      <c r="F139" s="2" t="str">
        <f>IFERROR(INDEX(Vendor_ID_Map!$B$2:$B$229,MATCH(B139,Vendor_ID_Map!$A$2:$A$229,0)),"UNMAPPED")</f>
        <v>V1008</v>
      </c>
      <c r="G139" s="2" t="str">
        <f>IFERROR(INDEX(Vendor_Master_Golden!$B$2:$B$208,MATCH(F139,Vendor_Master_Golden!$A$2:$A$208,0)),"-")</f>
        <v>Falcon Electricals Limited</v>
      </c>
      <c r="H139" s="2" t="str">
        <f>IFERROR(INDEX(Vendor_Master_Golden!$K$2:$K$208,MATCH(F139,Vendor_Master_Golden!$A$2:$A$208,0)),"-")</f>
        <v>Active</v>
      </c>
      <c r="I139" s="2" t="str">
        <f t="shared" si="6"/>
        <v>OK</v>
      </c>
      <c r="J139" s="2">
        <f>COUNTIFS($B$2:B139,B139,$A$2:A139,A139,$D$2:D139,D139)</f>
        <v>1</v>
      </c>
      <c r="K139" s="2">
        <f>COUNTIFS($F$2:F139,F139,$A$2:A139,A139,$D$2:D139,D139)</f>
        <v>1</v>
      </c>
      <c r="L139" s="2" t="str">
        <f t="shared" si="7"/>
        <v>Unique</v>
      </c>
      <c r="M139" s="2" t="str">
        <f t="shared" si="8"/>
        <v>No</v>
      </c>
    </row>
    <row r="140" spans="1:13" x14ac:dyDescent="0.35">
      <c r="A140" s="2" t="s">
        <v>2505</v>
      </c>
      <c r="B140" s="2" t="s">
        <v>1824</v>
      </c>
      <c r="C140" s="2" t="s">
        <v>2504</v>
      </c>
      <c r="D140" s="16">
        <v>64500</v>
      </c>
      <c r="E140" s="2" t="s">
        <v>2316</v>
      </c>
      <c r="F140" s="2" t="str">
        <f>IFERROR(INDEX(Vendor_ID_Map!$B$2:$B$229,MATCH(B140,Vendor_ID_Map!$A$2:$A$229,0)),"UNMAPPED")</f>
        <v>V1213</v>
      </c>
      <c r="G140" s="2" t="str">
        <f>IFERROR(INDEX(Vendor_Master_Golden!$B$2:$B$208,MATCH(F140,Vendor_Master_Golden!$A$2:$A$208,0)),"-")</f>
        <v>Bharat It Services Pvt Ltd</v>
      </c>
      <c r="H140" s="2" t="str">
        <f>IFERROR(INDEX(Vendor_Master_Golden!$K$2:$K$208,MATCH(F140,Vendor_Master_Golden!$A$2:$A$208,0)),"-")</f>
        <v>Active</v>
      </c>
      <c r="I140" s="2" t="str">
        <f t="shared" si="6"/>
        <v>OK</v>
      </c>
      <c r="J140" s="2">
        <f>COUNTIFS($B$2:B140,B140,$A$2:A140,A140,$D$2:D140,D140)</f>
        <v>1</v>
      </c>
      <c r="K140" s="2">
        <f>COUNTIFS($F$2:F140,F140,$A$2:A140,A140,$D$2:D140,D140)</f>
        <v>1</v>
      </c>
      <c r="L140" s="2" t="str">
        <f t="shared" si="7"/>
        <v>Unique</v>
      </c>
      <c r="M140" s="2" t="str">
        <f t="shared" si="8"/>
        <v>No</v>
      </c>
    </row>
    <row r="141" spans="1:13" x14ac:dyDescent="0.35">
      <c r="A141" s="2" t="s">
        <v>2506</v>
      </c>
      <c r="B141" s="2" t="s">
        <v>1289</v>
      </c>
      <c r="C141" s="2" t="s">
        <v>2507</v>
      </c>
      <c r="D141" s="16">
        <v>60800</v>
      </c>
      <c r="E141" s="2" t="s">
        <v>2314</v>
      </c>
      <c r="F141" s="2" t="str">
        <f>IFERROR(INDEX(Vendor_ID_Map!$B$2:$B$229,MATCH(B141,Vendor_ID_Map!$A$2:$A$229,0)),"UNMAPPED")</f>
        <v>V1151</v>
      </c>
      <c r="G141" s="2" t="str">
        <f>IFERROR(INDEX(Vendor_Master_Golden!$B$2:$B$208,MATCH(F141,Vendor_Master_Golden!$A$2:$A$208,0)),"-")</f>
        <v>Eastern Landscaping LLP</v>
      </c>
      <c r="H141" s="2" t="str">
        <f>IFERROR(INDEX(Vendor_Master_Golden!$K$2:$K$208,MATCH(F141,Vendor_Master_Golden!$A$2:$A$208,0)),"-")</f>
        <v>Active</v>
      </c>
      <c r="I141" s="2" t="str">
        <f t="shared" si="6"/>
        <v>OK</v>
      </c>
      <c r="J141" s="2">
        <f>COUNTIFS($B$2:B141,B141,$A$2:A141,A141,$D$2:D141,D141)</f>
        <v>1</v>
      </c>
      <c r="K141" s="2">
        <f>COUNTIFS($F$2:F141,F141,$A$2:A141,A141,$D$2:D141,D141)</f>
        <v>1</v>
      </c>
      <c r="L141" s="2" t="str">
        <f t="shared" si="7"/>
        <v>Unique</v>
      </c>
      <c r="M141" s="2" t="str">
        <f t="shared" si="8"/>
        <v>No</v>
      </c>
    </row>
    <row r="142" spans="1:13" x14ac:dyDescent="0.35">
      <c r="A142" s="2" t="s">
        <v>2508</v>
      </c>
      <c r="B142" s="2" t="s">
        <v>440</v>
      </c>
      <c r="C142" s="2" t="s">
        <v>2509</v>
      </c>
      <c r="D142" s="16">
        <v>86800</v>
      </c>
      <c r="E142" s="2" t="s">
        <v>2314</v>
      </c>
      <c r="F142" s="2" t="str">
        <f>IFERROR(INDEX(Vendor_ID_Map!$B$2:$B$229,MATCH(B142,Vendor_ID_Map!$A$2:$A$229,0)),"UNMAPPED")</f>
        <v>V1006</v>
      </c>
      <c r="G142" s="2" t="str">
        <f>IFERROR(INDEX(Vendor_Master_Golden!$B$2:$B$208,MATCH(F142,Vendor_Master_Golden!$A$2:$A$208,0)),"-")</f>
        <v>Ironbridge Landscaping Limited</v>
      </c>
      <c r="H142" s="2" t="str">
        <f>IFERROR(INDEX(Vendor_Master_Golden!$K$2:$K$208,MATCH(F142,Vendor_Master_Golden!$A$2:$A$208,0)),"-")</f>
        <v>Inactive</v>
      </c>
      <c r="I142" s="2" t="str">
        <f t="shared" si="6"/>
        <v>Inactive Vendor</v>
      </c>
      <c r="J142" s="2">
        <f>COUNTIFS($B$2:B142,B142,$A$2:A142,A142,$D$2:D142,D142)</f>
        <v>1</v>
      </c>
      <c r="K142" s="2">
        <f>COUNTIFS($F$2:F142,F142,$A$2:A142,A142,$D$2:D142,D142)</f>
        <v>1</v>
      </c>
      <c r="L142" s="2" t="str">
        <f t="shared" si="7"/>
        <v>Unique</v>
      </c>
      <c r="M142" s="2" t="str">
        <f t="shared" si="8"/>
        <v>No</v>
      </c>
    </row>
    <row r="143" spans="1:13" x14ac:dyDescent="0.35">
      <c r="A143" s="2" t="s">
        <v>2510</v>
      </c>
      <c r="B143" s="2" t="s">
        <v>1078</v>
      </c>
      <c r="C143" s="2" t="s">
        <v>2509</v>
      </c>
      <c r="D143" s="16">
        <v>29600</v>
      </c>
      <c r="E143" s="2" t="s">
        <v>2314</v>
      </c>
      <c r="F143" s="2" t="str">
        <f>IFERROR(INDEX(Vendor_ID_Map!$B$2:$B$229,MATCH(B143,Vendor_ID_Map!$A$2:$A$229,0)),"UNMAPPED")</f>
        <v>V1160</v>
      </c>
      <c r="G143" s="2" t="str">
        <f>IFERROR(INDEX(Vendor_Master_Golden!$B$2:$B$208,MATCH(F143,Vendor_Master_Golden!$A$2:$A$208,0)),"-")</f>
        <v>Nova IT Services LLP</v>
      </c>
      <c r="H143" s="2" t="str">
        <f>IFERROR(INDEX(Vendor_Master_Golden!$K$2:$K$208,MATCH(F143,Vendor_Master_Golden!$A$2:$A$208,0)),"-")</f>
        <v>Active</v>
      </c>
      <c r="I143" s="2" t="str">
        <f t="shared" si="6"/>
        <v>OK</v>
      </c>
      <c r="J143" s="2">
        <f>COUNTIFS($B$2:B143,B143,$A$2:A143,A143,$D$2:D143,D143)</f>
        <v>1</v>
      </c>
      <c r="K143" s="2">
        <f>COUNTIFS($F$2:F143,F143,$A$2:A143,A143,$D$2:D143,D143)</f>
        <v>1</v>
      </c>
      <c r="L143" s="2" t="str">
        <f t="shared" si="7"/>
        <v>Unique</v>
      </c>
      <c r="M143" s="2" t="str">
        <f t="shared" si="8"/>
        <v>No</v>
      </c>
    </row>
    <row r="144" spans="1:13" x14ac:dyDescent="0.35">
      <c r="A144" s="2" t="s">
        <v>2511</v>
      </c>
      <c r="B144" s="2" t="s">
        <v>582</v>
      </c>
      <c r="C144" s="2" t="s">
        <v>2512</v>
      </c>
      <c r="D144" s="16">
        <v>103000</v>
      </c>
      <c r="E144" s="2" t="s">
        <v>2316</v>
      </c>
      <c r="F144" s="2" t="str">
        <f>IFERROR(INDEX(Vendor_ID_Map!$B$2:$B$229,MATCH(B144,Vendor_ID_Map!$A$2:$A$229,0)),"UNMAPPED")</f>
        <v>V1027</v>
      </c>
      <c r="G144" s="2" t="str">
        <f>IFERROR(INDEX(Vendor_Master_Golden!$B$2:$B$208,MATCH(F144,Vendor_Master_Golden!$A$2:$A$208,0)),"-")</f>
        <v>Chola Security Solutions LLP</v>
      </c>
      <c r="H144" s="2" t="str">
        <f>IFERROR(INDEX(Vendor_Master_Golden!$K$2:$K$208,MATCH(F144,Vendor_Master_Golden!$A$2:$A$208,0)),"-")</f>
        <v>Active</v>
      </c>
      <c r="I144" s="2" t="str">
        <f t="shared" si="6"/>
        <v>OK</v>
      </c>
      <c r="J144" s="2">
        <f>COUNTIFS($B$2:B144,B144,$A$2:A144,A144,$D$2:D144,D144)</f>
        <v>1</v>
      </c>
      <c r="K144" s="2">
        <f>COUNTIFS($F$2:F144,F144,$A$2:A144,A144,$D$2:D144,D144)</f>
        <v>1</v>
      </c>
      <c r="L144" s="2" t="str">
        <f t="shared" si="7"/>
        <v>Unique</v>
      </c>
      <c r="M144" s="2" t="str">
        <f t="shared" si="8"/>
        <v>No</v>
      </c>
    </row>
    <row r="145" spans="1:13" x14ac:dyDescent="0.35">
      <c r="A145" s="2" t="s">
        <v>2513</v>
      </c>
      <c r="B145" s="2" t="s">
        <v>1788</v>
      </c>
      <c r="C145" s="2" t="s">
        <v>2512</v>
      </c>
      <c r="D145" s="16">
        <v>85600</v>
      </c>
      <c r="E145" s="2" t="s">
        <v>2314</v>
      </c>
      <c r="F145" s="2" t="str">
        <f>IFERROR(INDEX(Vendor_ID_Map!$B$2:$B$229,MATCH(B145,Vendor_ID_Map!$A$2:$A$229,0)),"UNMAPPED")</f>
        <v>V1175</v>
      </c>
      <c r="G145" s="2" t="str">
        <f>IFERROR(INDEX(Vendor_Master_Golden!$B$2:$B$208,MATCH(F145,Vendor_Master_Golden!$A$2:$A$208,0)),"-")</f>
        <v>Redwood IT Services LLP</v>
      </c>
      <c r="H145" s="2" t="str">
        <f>IFERROR(INDEX(Vendor_Master_Golden!$K$2:$K$208,MATCH(F145,Vendor_Master_Golden!$A$2:$A$208,0)),"-")</f>
        <v>Active</v>
      </c>
      <c r="I145" s="2" t="str">
        <f t="shared" si="6"/>
        <v>OK</v>
      </c>
      <c r="J145" s="2">
        <f>COUNTIFS($B$2:B145,B145,$A$2:A145,A145,$D$2:D145,D145)</f>
        <v>1</v>
      </c>
      <c r="K145" s="2">
        <f>COUNTIFS($F$2:F145,F145,$A$2:A145,A145,$D$2:D145,D145)</f>
        <v>1</v>
      </c>
      <c r="L145" s="2" t="str">
        <f t="shared" si="7"/>
        <v>Unique</v>
      </c>
      <c r="M145" s="2" t="str">
        <f t="shared" si="8"/>
        <v>No</v>
      </c>
    </row>
    <row r="146" spans="1:13" x14ac:dyDescent="0.35">
      <c r="A146" s="2" t="s">
        <v>2514</v>
      </c>
      <c r="B146" s="2" t="s">
        <v>155</v>
      </c>
      <c r="C146" s="2" t="s">
        <v>2515</v>
      </c>
      <c r="D146" s="16">
        <v>242800</v>
      </c>
      <c r="E146" s="2" t="s">
        <v>2314</v>
      </c>
      <c r="F146" s="2" t="str">
        <f>IFERROR(INDEX(Vendor_ID_Map!$B$2:$B$229,MATCH(B146,Vendor_ID_Map!$A$2:$A$229,0)),"UNMAPPED")</f>
        <v>V1174</v>
      </c>
      <c r="G146" s="2" t="str">
        <f>IFERROR(INDEX(Vendor_Master_Golden!$B$2:$B$208,MATCH(F146,Vendor_Master_Golden!$A$2:$A$208,0)),"-")</f>
        <v>Bluewave Facility Services LLP</v>
      </c>
      <c r="H146" s="2" t="str">
        <f>IFERROR(INDEX(Vendor_Master_Golden!$K$2:$K$208,MATCH(F146,Vendor_Master_Golden!$A$2:$A$208,0)),"-")</f>
        <v>Active</v>
      </c>
      <c r="I146" s="2" t="str">
        <f t="shared" si="6"/>
        <v>OK</v>
      </c>
      <c r="J146" s="2">
        <f>COUNTIFS($B$2:B146,B146,$A$2:A146,A146,$D$2:D146,D146)</f>
        <v>1</v>
      </c>
      <c r="K146" s="2">
        <f>COUNTIFS($F$2:F146,F146,$A$2:A146,A146,$D$2:D146,D146)</f>
        <v>1</v>
      </c>
      <c r="L146" s="2" t="str">
        <f t="shared" si="7"/>
        <v>Unique</v>
      </c>
      <c r="M146" s="2" t="str">
        <f t="shared" si="8"/>
        <v>No</v>
      </c>
    </row>
    <row r="147" spans="1:13" x14ac:dyDescent="0.35">
      <c r="A147" s="2" t="s">
        <v>2516</v>
      </c>
      <c r="B147" s="2" t="s">
        <v>440</v>
      </c>
      <c r="C147" s="2" t="s">
        <v>2515</v>
      </c>
      <c r="D147" s="16">
        <v>237800</v>
      </c>
      <c r="E147" s="2" t="s">
        <v>2314</v>
      </c>
      <c r="F147" s="2" t="str">
        <f>IFERROR(INDEX(Vendor_ID_Map!$B$2:$B$229,MATCH(B147,Vendor_ID_Map!$A$2:$A$229,0)),"UNMAPPED")</f>
        <v>V1006</v>
      </c>
      <c r="G147" s="2" t="str">
        <f>IFERROR(INDEX(Vendor_Master_Golden!$B$2:$B$208,MATCH(F147,Vendor_Master_Golden!$A$2:$A$208,0)),"-")</f>
        <v>Ironbridge Landscaping Limited</v>
      </c>
      <c r="H147" s="2" t="str">
        <f>IFERROR(INDEX(Vendor_Master_Golden!$K$2:$K$208,MATCH(F147,Vendor_Master_Golden!$A$2:$A$208,0)),"-")</f>
        <v>Inactive</v>
      </c>
      <c r="I147" s="2" t="str">
        <f t="shared" si="6"/>
        <v>Inactive Vendor</v>
      </c>
      <c r="J147" s="2">
        <f>COUNTIFS($B$2:B147,B147,$A$2:A147,A147,$D$2:D147,D147)</f>
        <v>1</v>
      </c>
      <c r="K147" s="2">
        <f>COUNTIFS($F$2:F147,F147,$A$2:A147,A147,$D$2:D147,D147)</f>
        <v>1</v>
      </c>
      <c r="L147" s="2" t="str">
        <f t="shared" si="7"/>
        <v>Unique</v>
      </c>
      <c r="M147" s="2" t="str">
        <f t="shared" si="8"/>
        <v>No</v>
      </c>
    </row>
    <row r="148" spans="1:13" x14ac:dyDescent="0.35">
      <c r="A148" s="2" t="s">
        <v>2517</v>
      </c>
      <c r="B148" s="2" t="s">
        <v>847</v>
      </c>
      <c r="C148" s="2" t="s">
        <v>2515</v>
      </c>
      <c r="D148" s="16">
        <v>85900</v>
      </c>
      <c r="E148" s="2" t="s">
        <v>2316</v>
      </c>
      <c r="F148" s="2" t="str">
        <f>IFERROR(INDEX(Vendor_ID_Map!$B$2:$B$229,MATCH(B148,Vendor_ID_Map!$A$2:$A$229,0)),"UNMAPPED")</f>
        <v>V1068</v>
      </c>
      <c r="G148" s="2" t="str">
        <f>IFERROR(INDEX(Vendor_Master_Golden!$B$2:$B$208,MATCH(F148,Vendor_Master_Golden!$A$2:$A$208,0)),"-")</f>
        <v>Aaryan Security Solutions Limited</v>
      </c>
      <c r="H148" s="2" t="str">
        <f>IFERROR(INDEX(Vendor_Master_Golden!$K$2:$K$208,MATCH(F148,Vendor_Master_Golden!$A$2:$A$208,0)),"-")</f>
        <v>Active</v>
      </c>
      <c r="I148" s="2" t="str">
        <f t="shared" si="6"/>
        <v>OK</v>
      </c>
      <c r="J148" s="2">
        <f>COUNTIFS($B$2:B148,B148,$A$2:A148,A148,$D$2:D148,D148)</f>
        <v>1</v>
      </c>
      <c r="K148" s="2">
        <f>COUNTIFS($F$2:F148,F148,$A$2:A148,A148,$D$2:D148,D148)</f>
        <v>1</v>
      </c>
      <c r="L148" s="2" t="str">
        <f t="shared" si="7"/>
        <v>Unique</v>
      </c>
      <c r="M148" s="2" t="str">
        <f t="shared" si="8"/>
        <v>No</v>
      </c>
    </row>
    <row r="149" spans="1:13" x14ac:dyDescent="0.35">
      <c r="A149" s="2" t="s">
        <v>2518</v>
      </c>
      <c r="B149" s="2" t="s">
        <v>431</v>
      </c>
      <c r="C149" s="2" t="s">
        <v>2519</v>
      </c>
      <c r="D149" s="16">
        <v>96700</v>
      </c>
      <c r="E149" s="2" t="s">
        <v>2314</v>
      </c>
      <c r="F149" s="2" t="str">
        <f>IFERROR(INDEX(Vendor_ID_Map!$B$2:$B$229,MATCH(B149,Vendor_ID_Map!$A$2:$A$229,0)),"UNMAPPED")</f>
        <v>V1077</v>
      </c>
      <c r="G149" s="2" t="str">
        <f>IFERROR(INDEX(Vendor_Master_Golden!$B$2:$B$208,MATCH(F149,Vendor_Master_Golden!$A$2:$A$208,0)),"-")</f>
        <v>Zenith Housekeeping LLP</v>
      </c>
      <c r="H149" s="2" t="str">
        <f>IFERROR(INDEX(Vendor_Master_Golden!$K$2:$K$208,MATCH(F149,Vendor_Master_Golden!$A$2:$A$208,0)),"-")</f>
        <v>Active</v>
      </c>
      <c r="I149" s="2" t="str">
        <f t="shared" si="6"/>
        <v>OK</v>
      </c>
      <c r="J149" s="2">
        <f>COUNTIFS($B$2:B149,B149,$A$2:A149,A149,$D$2:D149,D149)</f>
        <v>1</v>
      </c>
      <c r="K149" s="2">
        <f>COUNTIFS($F$2:F149,F149,$A$2:A149,A149,$D$2:D149,D149)</f>
        <v>1</v>
      </c>
      <c r="L149" s="2" t="str">
        <f t="shared" si="7"/>
        <v>Unique</v>
      </c>
      <c r="M149" s="2" t="str">
        <f t="shared" si="8"/>
        <v>No</v>
      </c>
    </row>
    <row r="150" spans="1:13" x14ac:dyDescent="0.35">
      <c r="A150" s="2" t="s">
        <v>2520</v>
      </c>
      <c r="B150" s="2" t="s">
        <v>1347</v>
      </c>
      <c r="C150" s="2" t="s">
        <v>2519</v>
      </c>
      <c r="D150" s="16">
        <v>54300</v>
      </c>
      <c r="E150" s="2" t="s">
        <v>2314</v>
      </c>
      <c r="F150" s="2" t="str">
        <f>IFERROR(INDEX(Vendor_ID_Map!$B$2:$B$229,MATCH(B150,Vendor_ID_Map!$A$2:$A$229,0)),"UNMAPPED")</f>
        <v>V1200</v>
      </c>
      <c r="G150" s="2" t="str">
        <f>IFERROR(INDEX(Vendor_Master_Golden!$B$2:$B$208,MATCH(F150,Vendor_Master_Golden!$A$2:$A$208,0)),"-")</f>
        <v>Zenith Engineering Works Pvt Ltd</v>
      </c>
      <c r="H150" s="2" t="str">
        <f>IFERROR(INDEX(Vendor_Master_Golden!$K$2:$K$208,MATCH(F150,Vendor_Master_Golden!$A$2:$A$208,0)),"-")</f>
        <v>Active</v>
      </c>
      <c r="I150" s="2" t="str">
        <f t="shared" si="6"/>
        <v>OK</v>
      </c>
      <c r="J150" s="2">
        <f>COUNTIFS($B$2:B150,B150,$A$2:A150,A150,$D$2:D150,D150)</f>
        <v>1</v>
      </c>
      <c r="K150" s="2">
        <f>COUNTIFS($F$2:F150,F150,$A$2:A150,A150,$D$2:D150,D150)</f>
        <v>1</v>
      </c>
      <c r="L150" s="2" t="str">
        <f t="shared" si="7"/>
        <v>Unique</v>
      </c>
      <c r="M150" s="2" t="str">
        <f t="shared" si="8"/>
        <v>No</v>
      </c>
    </row>
    <row r="151" spans="1:13" x14ac:dyDescent="0.35">
      <c r="A151" s="2" t="s">
        <v>2521</v>
      </c>
      <c r="B151" s="2" t="s">
        <v>1061</v>
      </c>
      <c r="C151" s="2" t="s">
        <v>2522</v>
      </c>
      <c r="D151" s="16">
        <v>93400</v>
      </c>
      <c r="E151" s="2" t="s">
        <v>2316</v>
      </c>
      <c r="F151" s="2" t="str">
        <f>IFERROR(INDEX(Vendor_ID_Map!$B$2:$B$229,MATCH(B151,Vendor_ID_Map!$A$2:$A$229,0)),"UNMAPPED")</f>
        <v>V1009</v>
      </c>
      <c r="G151" s="2" t="str">
        <f>IFERROR(INDEX(Vendor_Master_Golden!$B$2:$B$208,MATCH(F151,Vendor_Master_Golden!$A$2:$A$208,0)),"-")</f>
        <v>Chola Landscaping LLP</v>
      </c>
      <c r="H151" s="2" t="str">
        <f>IFERROR(INDEX(Vendor_Master_Golden!$K$2:$K$208,MATCH(F151,Vendor_Master_Golden!$A$2:$A$208,0)),"-")</f>
        <v>Inactive</v>
      </c>
      <c r="I151" s="2" t="str">
        <f t="shared" si="6"/>
        <v>Inactive Vendor</v>
      </c>
      <c r="J151" s="2">
        <f>COUNTIFS($B$2:B151,B151,$A$2:A151,A151,$D$2:D151,D151)</f>
        <v>1</v>
      </c>
      <c r="K151" s="2">
        <f>COUNTIFS($F$2:F151,F151,$A$2:A151,A151,$D$2:D151,D151)</f>
        <v>1</v>
      </c>
      <c r="L151" s="2" t="str">
        <f t="shared" si="7"/>
        <v>Unique</v>
      </c>
      <c r="M151" s="2" t="str">
        <f t="shared" si="8"/>
        <v>No</v>
      </c>
    </row>
    <row r="152" spans="1:13" x14ac:dyDescent="0.35">
      <c r="A152" s="2" t="s">
        <v>2523</v>
      </c>
      <c r="B152" s="2" t="s">
        <v>1551</v>
      </c>
      <c r="C152" s="2" t="s">
        <v>2524</v>
      </c>
      <c r="D152" s="16">
        <v>227800</v>
      </c>
      <c r="E152" s="2" t="s">
        <v>2314</v>
      </c>
      <c r="F152" s="2" t="str">
        <f>IFERROR(INDEX(Vendor_ID_Map!$B$2:$B$229,MATCH(B152,Vendor_ID_Map!$A$2:$A$229,0)),"UNMAPPED")</f>
        <v>V1207</v>
      </c>
      <c r="G152" s="2" t="str">
        <f>IFERROR(INDEX(Vendor_Master_Golden!$B$2:$B$208,MATCH(F152,Vendor_Master_Golden!$A$2:$A$208,0)),"-")</f>
        <v>Horizon Housekeeping Pvt Ltd</v>
      </c>
      <c r="H152" s="2" t="str">
        <f>IFERROR(INDEX(Vendor_Master_Golden!$K$2:$K$208,MATCH(F152,Vendor_Master_Golden!$A$2:$A$208,0)),"-")</f>
        <v>Active</v>
      </c>
      <c r="I152" s="2" t="str">
        <f t="shared" si="6"/>
        <v>OK</v>
      </c>
      <c r="J152" s="2">
        <f>COUNTIFS($B$2:B152,B152,$A$2:A152,A152,$D$2:D152,D152)</f>
        <v>1</v>
      </c>
      <c r="K152" s="2">
        <f>COUNTIFS($F$2:F152,F152,$A$2:A152,A152,$D$2:D152,D152)</f>
        <v>1</v>
      </c>
      <c r="L152" s="2" t="str">
        <f t="shared" si="7"/>
        <v>Unique</v>
      </c>
      <c r="M152" s="2" t="str">
        <f t="shared" si="8"/>
        <v>No</v>
      </c>
    </row>
    <row r="153" spans="1:13" x14ac:dyDescent="0.35">
      <c r="A153" s="2" t="s">
        <v>2525</v>
      </c>
      <c r="B153" s="2" t="s">
        <v>1524</v>
      </c>
      <c r="C153" s="2" t="s">
        <v>2524</v>
      </c>
      <c r="D153" s="16">
        <v>67500</v>
      </c>
      <c r="E153" s="2" t="s">
        <v>2314</v>
      </c>
      <c r="F153" s="2" t="str">
        <f>IFERROR(INDEX(Vendor_ID_Map!$B$2:$B$229,MATCH(B153,Vendor_ID_Map!$A$2:$A$229,0)),"UNMAPPED")</f>
        <v>V1164</v>
      </c>
      <c r="G153" s="2" t="str">
        <f>IFERROR(INDEX(Vendor_Master_Golden!$B$2:$B$208,MATCH(F153,Vendor_Master_Golden!$A$2:$A$208,0)),"-")</f>
        <v>Redwood Pest Control Pvt Ltd</v>
      </c>
      <c r="H153" s="2" t="str">
        <f>IFERROR(INDEX(Vendor_Master_Golden!$K$2:$K$208,MATCH(F153,Vendor_Master_Golden!$A$2:$A$208,0)),"-")</f>
        <v>Active</v>
      </c>
      <c r="I153" s="2" t="str">
        <f t="shared" si="6"/>
        <v>OK</v>
      </c>
      <c r="J153" s="2">
        <f>COUNTIFS($B$2:B153,B153,$A$2:A153,A153,$D$2:D153,D153)</f>
        <v>1</v>
      </c>
      <c r="K153" s="2">
        <f>COUNTIFS($F$2:F153,F153,$A$2:A153,A153,$D$2:D153,D153)</f>
        <v>1</v>
      </c>
      <c r="L153" s="2" t="str">
        <f t="shared" si="7"/>
        <v>Unique</v>
      </c>
      <c r="M153" s="2" t="str">
        <f t="shared" si="8"/>
        <v>No</v>
      </c>
    </row>
    <row r="154" spans="1:13" x14ac:dyDescent="0.35">
      <c r="A154" s="2" t="s">
        <v>2526</v>
      </c>
      <c r="B154" s="2" t="s">
        <v>1332</v>
      </c>
      <c r="C154" s="2" t="s">
        <v>2524</v>
      </c>
      <c r="D154" s="16">
        <v>49100</v>
      </c>
      <c r="E154" s="2" t="s">
        <v>2314</v>
      </c>
      <c r="F154" s="2" t="str">
        <f>IFERROR(INDEX(Vendor_ID_Map!$B$2:$B$229,MATCH(B154,Vendor_ID_Map!$A$2:$A$229,0)),"UNMAPPED")</f>
        <v>V1221</v>
      </c>
      <c r="G154" s="2" t="str">
        <f>IFERROR(INDEX(Vendor_Master_Golden!$B$2:$B$208,MATCH(F154,Vendor_Master_Golden!$A$2:$A$208,0)),"-")</f>
        <v>Pinnacle Security Soln Limited</v>
      </c>
      <c r="H154" s="2" t="str">
        <f>IFERROR(INDEX(Vendor_Master_Golden!$K$2:$K$208,MATCH(F154,Vendor_Master_Golden!$A$2:$A$208,0)),"-")</f>
        <v>Inactive</v>
      </c>
      <c r="I154" s="2" t="str">
        <f t="shared" si="6"/>
        <v>Inactive Vendor</v>
      </c>
      <c r="J154" s="2">
        <f>COUNTIFS($B$2:B154,B154,$A$2:A154,A154,$D$2:D154,D154)</f>
        <v>1</v>
      </c>
      <c r="K154" s="2">
        <f>COUNTIFS($F$2:F154,F154,$A$2:A154,A154,$D$2:D154,D154)</f>
        <v>1</v>
      </c>
      <c r="L154" s="2" t="str">
        <f t="shared" si="7"/>
        <v>Unique</v>
      </c>
      <c r="M154" s="2" t="str">
        <f t="shared" si="8"/>
        <v>No</v>
      </c>
    </row>
    <row r="155" spans="1:13" x14ac:dyDescent="0.35">
      <c r="A155" s="2" t="s">
        <v>2527</v>
      </c>
      <c r="B155" s="2" t="s">
        <v>2528</v>
      </c>
      <c r="C155" s="2" t="s">
        <v>2524</v>
      </c>
      <c r="D155" s="16">
        <v>127300</v>
      </c>
      <c r="E155" s="2" t="s">
        <v>2314</v>
      </c>
      <c r="F155" s="2" t="str">
        <f>IFERROR(INDEX(Vendor_ID_Map!$B$2:$B$229,MATCH(B155,Vendor_ID_Map!$A$2:$A$229,0)),"UNMAPPED")</f>
        <v>UNMAPPED</v>
      </c>
      <c r="G155" s="2" t="str">
        <f>IFERROR(INDEX(Vendor_Master_Golden!$B$2:$B$208,MATCH(F155,Vendor_Master_Golden!$A$2:$A$208,0)),"-")</f>
        <v>-</v>
      </c>
      <c r="H155" s="2" t="str">
        <f>IFERROR(INDEX(Vendor_Master_Golden!$K$2:$K$208,MATCH(F155,Vendor_Master_Golden!$A$2:$A$208,0)),"-")</f>
        <v>-</v>
      </c>
      <c r="I155" s="2" t="str">
        <f t="shared" si="6"/>
        <v>Orphan Vendor ID</v>
      </c>
      <c r="J155" s="2">
        <f>COUNTIFS($B$2:B155,B155,$A$2:A155,A155,$D$2:D155,D155)</f>
        <v>1</v>
      </c>
      <c r="K155" s="2">
        <f>COUNTIFS($F$2:F155,F155,$A$2:A155,A155,$D$2:D155,D155)</f>
        <v>1</v>
      </c>
      <c r="L155" s="2" t="str">
        <f t="shared" si="7"/>
        <v>Unique</v>
      </c>
      <c r="M155" s="2" t="str">
        <f t="shared" si="8"/>
        <v>No</v>
      </c>
    </row>
    <row r="156" spans="1:13" x14ac:dyDescent="0.35">
      <c r="A156" s="2" t="s">
        <v>2529</v>
      </c>
      <c r="B156" s="2" t="s">
        <v>1136</v>
      </c>
      <c r="C156" s="2" t="s">
        <v>2530</v>
      </c>
      <c r="D156" s="16">
        <v>39700</v>
      </c>
      <c r="E156" s="2" t="s">
        <v>2316</v>
      </c>
      <c r="F156" s="2" t="str">
        <f>IFERROR(INDEX(Vendor_ID_Map!$B$2:$B$229,MATCH(B156,Vendor_ID_Map!$A$2:$A$229,0)),"UNMAPPED")</f>
        <v>V1067</v>
      </c>
      <c r="G156" s="2" t="str">
        <f>IFERROR(INDEX(Vendor_Master_Golden!$B$2:$B$208,MATCH(F156,Vendor_Master_Golden!$A$2:$A$208,0)),"-")</f>
        <v>Bluewave IT Services Private Limited</v>
      </c>
      <c r="H156" s="2" t="str">
        <f>IFERROR(INDEX(Vendor_Master_Golden!$K$2:$K$208,MATCH(F156,Vendor_Master_Golden!$A$2:$A$208,0)),"-")</f>
        <v>Active</v>
      </c>
      <c r="I156" s="2" t="str">
        <f t="shared" si="6"/>
        <v>OK</v>
      </c>
      <c r="J156" s="2">
        <f>COUNTIFS($B$2:B156,B156,$A$2:A156,A156,$D$2:D156,D156)</f>
        <v>1</v>
      </c>
      <c r="K156" s="2">
        <f>COUNTIFS($F$2:F156,F156,$A$2:A156,A156,$D$2:D156,D156)</f>
        <v>1</v>
      </c>
      <c r="L156" s="2" t="str">
        <f t="shared" si="7"/>
        <v>Unique</v>
      </c>
      <c r="M156" s="2" t="str">
        <f t="shared" si="8"/>
        <v>No</v>
      </c>
    </row>
    <row r="157" spans="1:13" x14ac:dyDescent="0.35">
      <c r="A157" s="2" t="s">
        <v>2531</v>
      </c>
      <c r="B157" s="2" t="s">
        <v>1612</v>
      </c>
      <c r="C157" s="2" t="s">
        <v>2530</v>
      </c>
      <c r="D157" s="16">
        <v>48900</v>
      </c>
      <c r="E157" s="2" t="s">
        <v>2314</v>
      </c>
      <c r="F157" s="2" t="str">
        <f>IFERROR(INDEX(Vendor_ID_Map!$B$2:$B$229,MATCH(B157,Vendor_ID_Map!$A$2:$A$229,0)),"UNMAPPED")</f>
        <v>V1228</v>
      </c>
      <c r="G157" s="2" t="str">
        <f>IFERROR(INDEX(Vendor_Master_Golden!$B$2:$B$208,MATCH(F157,Vendor_Master_Golden!$A$2:$A$208,0)),"-")</f>
        <v>Falcon Staioners Private Limited</v>
      </c>
      <c r="H157" s="2" t="str">
        <f>IFERROR(INDEX(Vendor_Master_Golden!$K$2:$K$208,MATCH(F157,Vendor_Master_Golden!$A$2:$A$208,0)),"-")</f>
        <v>Inactive</v>
      </c>
      <c r="I157" s="2" t="str">
        <f t="shared" si="6"/>
        <v>Inactive Vendor</v>
      </c>
      <c r="J157" s="2">
        <f>COUNTIFS($B$2:B157,B157,$A$2:A157,A157,$D$2:D157,D157)</f>
        <v>1</v>
      </c>
      <c r="K157" s="2">
        <f>COUNTIFS($F$2:F157,F157,$A$2:A157,A157,$D$2:D157,D157)</f>
        <v>1</v>
      </c>
      <c r="L157" s="2" t="str">
        <f t="shared" si="7"/>
        <v>Unique</v>
      </c>
      <c r="M157" s="2" t="str">
        <f t="shared" si="8"/>
        <v>No</v>
      </c>
    </row>
    <row r="158" spans="1:13" x14ac:dyDescent="0.35">
      <c r="A158" s="2" t="s">
        <v>2532</v>
      </c>
      <c r="B158" s="2" t="s">
        <v>1912</v>
      </c>
      <c r="C158" s="2" t="s">
        <v>2533</v>
      </c>
      <c r="D158" s="16">
        <v>140400</v>
      </c>
      <c r="E158" s="2" t="s">
        <v>2314</v>
      </c>
      <c r="F158" s="2" t="str">
        <f>IFERROR(INDEX(Vendor_ID_Map!$B$2:$B$229,MATCH(B158,Vendor_ID_Map!$A$2:$A$229,0)),"UNMAPPED")</f>
        <v>V1044</v>
      </c>
      <c r="G158" s="2" t="str">
        <f>IFERROR(INDEX(Vendor_Master_Golden!$B$2:$B$208,MATCH(F158,Vendor_Master_Golden!$A$2:$A$208,0)),"-")</f>
        <v>Metro Engineering Works LLP</v>
      </c>
      <c r="H158" s="2" t="str">
        <f>IFERROR(INDEX(Vendor_Master_Golden!$K$2:$K$208,MATCH(F158,Vendor_Master_Golden!$A$2:$A$208,0)),"-")</f>
        <v>Active</v>
      </c>
      <c r="I158" s="2" t="str">
        <f t="shared" si="6"/>
        <v>OK</v>
      </c>
      <c r="J158" s="2">
        <f>COUNTIFS($B$2:B158,B158,$A$2:A158,A158,$D$2:D158,D158)</f>
        <v>1</v>
      </c>
      <c r="K158" s="2">
        <f>COUNTIFS($F$2:F158,F158,$A$2:A158,A158,$D$2:D158,D158)</f>
        <v>1</v>
      </c>
      <c r="L158" s="2" t="str">
        <f t="shared" si="7"/>
        <v>Unique</v>
      </c>
      <c r="M158" s="2" t="str">
        <f t="shared" si="8"/>
        <v>No</v>
      </c>
    </row>
    <row r="159" spans="1:13" x14ac:dyDescent="0.35">
      <c r="A159" s="2" t="s">
        <v>2534</v>
      </c>
      <c r="B159" s="2" t="s">
        <v>2535</v>
      </c>
      <c r="C159" s="2" t="s">
        <v>2533</v>
      </c>
      <c r="D159" s="16">
        <v>34500</v>
      </c>
      <c r="E159" s="2" t="s">
        <v>2316</v>
      </c>
      <c r="F159" s="2" t="str">
        <f>IFERROR(INDEX(Vendor_ID_Map!$B$2:$B$229,MATCH(B159,Vendor_ID_Map!$A$2:$A$229,0)),"UNMAPPED")</f>
        <v>UNMAPPED</v>
      </c>
      <c r="G159" s="2" t="str">
        <f>IFERROR(INDEX(Vendor_Master_Golden!$B$2:$B$208,MATCH(F159,Vendor_Master_Golden!$A$2:$A$208,0)),"-")</f>
        <v>-</v>
      </c>
      <c r="H159" s="2" t="str">
        <f>IFERROR(INDEX(Vendor_Master_Golden!$K$2:$K$208,MATCH(F159,Vendor_Master_Golden!$A$2:$A$208,0)),"-")</f>
        <v>-</v>
      </c>
      <c r="I159" s="2" t="str">
        <f t="shared" si="6"/>
        <v>Orphan Vendor ID</v>
      </c>
      <c r="J159" s="2">
        <f>COUNTIFS($B$2:B159,B159,$A$2:A159,A159,$D$2:D159,D159)</f>
        <v>1</v>
      </c>
      <c r="K159" s="2">
        <f>COUNTIFS($F$2:F159,F159,$A$2:A159,A159,$D$2:D159,D159)</f>
        <v>1</v>
      </c>
      <c r="L159" s="2" t="str">
        <f t="shared" si="7"/>
        <v>Unique</v>
      </c>
      <c r="M159" s="2" t="str">
        <f t="shared" si="8"/>
        <v>No</v>
      </c>
    </row>
    <row r="160" spans="1:13" x14ac:dyDescent="0.35">
      <c r="A160" s="2" t="s">
        <v>2536</v>
      </c>
      <c r="B160" s="2" t="s">
        <v>1257</v>
      </c>
      <c r="C160" s="2" t="s">
        <v>1836</v>
      </c>
      <c r="D160" s="16">
        <v>55400</v>
      </c>
      <c r="E160" s="2" t="s">
        <v>2314</v>
      </c>
      <c r="F160" s="2" t="str">
        <f>IFERROR(INDEX(Vendor_ID_Map!$B$2:$B$229,MATCH(B160,Vendor_ID_Map!$A$2:$A$229,0)),"UNMAPPED")</f>
        <v>V1134</v>
      </c>
      <c r="G160" s="2" t="str">
        <f>IFERROR(INDEX(Vendor_Master_Golden!$B$2:$B$208,MATCH(F160,Vendor_Master_Golden!$A$2:$A$208,0)),"-")</f>
        <v>Crestline Engineering Works Private Limited</v>
      </c>
      <c r="H160" s="2" t="str">
        <f>IFERROR(INDEX(Vendor_Master_Golden!$K$2:$K$208,MATCH(F160,Vendor_Master_Golden!$A$2:$A$208,0)),"-")</f>
        <v>Active</v>
      </c>
      <c r="I160" s="2" t="str">
        <f t="shared" si="6"/>
        <v>OK</v>
      </c>
      <c r="J160" s="2">
        <f>COUNTIFS($B$2:B160,B160,$A$2:A160,A160,$D$2:D160,D160)</f>
        <v>1</v>
      </c>
      <c r="K160" s="2">
        <f>COUNTIFS($F$2:F160,F160,$A$2:A160,A160,$D$2:D160,D160)</f>
        <v>1</v>
      </c>
      <c r="L160" s="2" t="str">
        <f t="shared" si="7"/>
        <v>Unique</v>
      </c>
      <c r="M160" s="2" t="str">
        <f t="shared" si="8"/>
        <v>No</v>
      </c>
    </row>
    <row r="161" spans="1:13" x14ac:dyDescent="0.35">
      <c r="A161" s="2" t="s">
        <v>2537</v>
      </c>
      <c r="B161" s="2" t="s">
        <v>1912</v>
      </c>
      <c r="C161" s="2" t="s">
        <v>1836</v>
      </c>
      <c r="D161" s="16">
        <v>49100</v>
      </c>
      <c r="E161" s="2" t="s">
        <v>2314</v>
      </c>
      <c r="F161" s="2" t="str">
        <f>IFERROR(INDEX(Vendor_ID_Map!$B$2:$B$229,MATCH(B161,Vendor_ID_Map!$A$2:$A$229,0)),"UNMAPPED")</f>
        <v>V1044</v>
      </c>
      <c r="G161" s="2" t="str">
        <f>IFERROR(INDEX(Vendor_Master_Golden!$B$2:$B$208,MATCH(F161,Vendor_Master_Golden!$A$2:$A$208,0)),"-")</f>
        <v>Metro Engineering Works LLP</v>
      </c>
      <c r="H161" s="2" t="str">
        <f>IFERROR(INDEX(Vendor_Master_Golden!$K$2:$K$208,MATCH(F161,Vendor_Master_Golden!$A$2:$A$208,0)),"-")</f>
        <v>Active</v>
      </c>
      <c r="I161" s="2" t="str">
        <f t="shared" si="6"/>
        <v>OK</v>
      </c>
      <c r="J161" s="2">
        <f>COUNTIFS($B$2:B161,B161,$A$2:A161,A161,$D$2:D161,D161)</f>
        <v>1</v>
      </c>
      <c r="K161" s="2">
        <f>COUNTIFS($F$2:F161,F161,$A$2:A161,A161,$D$2:D161,D161)</f>
        <v>1</v>
      </c>
      <c r="L161" s="2" t="str">
        <f t="shared" si="7"/>
        <v>Unique</v>
      </c>
      <c r="M161" s="2" t="str">
        <f t="shared" si="8"/>
        <v>No</v>
      </c>
    </row>
    <row r="162" spans="1:13" x14ac:dyDescent="0.35">
      <c r="A162" s="2" t="s">
        <v>2538</v>
      </c>
      <c r="B162" s="2" t="s">
        <v>1158</v>
      </c>
      <c r="C162" s="2" t="s">
        <v>1836</v>
      </c>
      <c r="D162" s="16">
        <v>110300</v>
      </c>
      <c r="E162" s="2" t="s">
        <v>2314</v>
      </c>
      <c r="F162" s="2" t="str">
        <f>IFERROR(INDEX(Vendor_ID_Map!$B$2:$B$229,MATCH(B162,Vendor_ID_Map!$A$2:$A$229,0)),"UNMAPPED")</f>
        <v>V1060</v>
      </c>
      <c r="G162" s="2" t="str">
        <f>IFERROR(INDEX(Vendor_Master_Golden!$B$2:$B$208,MATCH(F162,Vendor_Master_Golden!$A$2:$A$208,0)),"-")</f>
        <v>Kaveri Maintenance Limited</v>
      </c>
      <c r="H162" s="2" t="str">
        <f>IFERROR(INDEX(Vendor_Master_Golden!$K$2:$K$208,MATCH(F162,Vendor_Master_Golden!$A$2:$A$208,0)),"-")</f>
        <v>Active</v>
      </c>
      <c r="I162" s="2" t="str">
        <f t="shared" si="6"/>
        <v>OK</v>
      </c>
      <c r="J162" s="2">
        <f>COUNTIFS($B$2:B162,B162,$A$2:A162,A162,$D$2:D162,D162)</f>
        <v>1</v>
      </c>
      <c r="K162" s="2">
        <f>COUNTIFS($F$2:F162,F162,$A$2:A162,A162,$D$2:D162,D162)</f>
        <v>1</v>
      </c>
      <c r="L162" s="2" t="str">
        <f t="shared" si="7"/>
        <v>Unique</v>
      </c>
      <c r="M162" s="2" t="str">
        <f t="shared" si="8"/>
        <v>No</v>
      </c>
    </row>
    <row r="163" spans="1:13" x14ac:dyDescent="0.35">
      <c r="A163" s="2" t="s">
        <v>2539</v>
      </c>
      <c r="B163" s="2" t="s">
        <v>1369</v>
      </c>
      <c r="C163" s="2" t="s">
        <v>2540</v>
      </c>
      <c r="D163" s="16">
        <v>125400</v>
      </c>
      <c r="E163" s="2" t="s">
        <v>2316</v>
      </c>
      <c r="F163" s="2" t="str">
        <f>IFERROR(INDEX(Vendor_ID_Map!$B$2:$B$229,MATCH(B163,Vendor_ID_Map!$A$2:$A$229,0)),"UNMAPPED")</f>
        <v>V1071</v>
      </c>
      <c r="G163" s="2" t="str">
        <f>IFERROR(INDEX(Vendor_Master_Golden!$B$2:$B$208,MATCH(F163,Vendor_Master_Golden!$A$2:$A$208,0)),"-")</f>
        <v>Bharat Pest Control Limited</v>
      </c>
      <c r="H163" s="2" t="str">
        <f>IFERROR(INDEX(Vendor_Master_Golden!$K$2:$K$208,MATCH(F163,Vendor_Master_Golden!$A$2:$A$208,0)),"-")</f>
        <v>Active</v>
      </c>
      <c r="I163" s="2" t="str">
        <f t="shared" si="6"/>
        <v>OK</v>
      </c>
      <c r="J163" s="2">
        <f>COUNTIFS($B$2:B163,B163,$A$2:A163,A163,$D$2:D163,D163)</f>
        <v>1</v>
      </c>
      <c r="K163" s="2">
        <f>COUNTIFS($F$2:F163,F163,$A$2:A163,A163,$D$2:D163,D163)</f>
        <v>1</v>
      </c>
      <c r="L163" s="2" t="str">
        <f t="shared" si="7"/>
        <v>Unique</v>
      </c>
      <c r="M163" s="2" t="str">
        <f t="shared" si="8"/>
        <v>No</v>
      </c>
    </row>
    <row r="164" spans="1:13" x14ac:dyDescent="0.35">
      <c r="A164" s="2" t="s">
        <v>2541</v>
      </c>
      <c r="B164" s="2" t="s">
        <v>820</v>
      </c>
      <c r="C164" s="2" t="s">
        <v>2540</v>
      </c>
      <c r="D164" s="16">
        <v>149500</v>
      </c>
      <c r="E164" s="2" t="s">
        <v>2316</v>
      </c>
      <c r="F164" s="2" t="str">
        <f>IFERROR(INDEX(Vendor_ID_Map!$B$2:$B$229,MATCH(B164,Vendor_ID_Map!$A$2:$A$229,0)),"UNMAPPED")</f>
        <v>V1184</v>
      </c>
      <c r="G164" s="2" t="str">
        <f>IFERROR(INDEX(Vendor_Master_Golden!$B$2:$B$208,MATCH(F164,Vendor_Master_Golden!$A$2:$A$208,0)),"-")</f>
        <v>Bluewave Housekeeping Limited</v>
      </c>
      <c r="H164" s="2" t="str">
        <f>IFERROR(INDEX(Vendor_Master_Golden!$K$2:$K$208,MATCH(F164,Vendor_Master_Golden!$A$2:$A$208,0)),"-")</f>
        <v>Active</v>
      </c>
      <c r="I164" s="2" t="str">
        <f t="shared" si="6"/>
        <v>OK</v>
      </c>
      <c r="J164" s="2">
        <f>COUNTIFS($B$2:B164,B164,$A$2:A164,A164,$D$2:D164,D164)</f>
        <v>1</v>
      </c>
      <c r="K164" s="2">
        <f>COUNTIFS($F$2:F164,F164,$A$2:A164,A164,$D$2:D164,D164)</f>
        <v>1</v>
      </c>
      <c r="L164" s="2" t="str">
        <f t="shared" si="7"/>
        <v>Unique</v>
      </c>
      <c r="M164" s="2" t="str">
        <f t="shared" si="8"/>
        <v>No</v>
      </c>
    </row>
    <row r="165" spans="1:13" x14ac:dyDescent="0.35">
      <c r="A165" s="2" t="s">
        <v>2542</v>
      </c>
      <c r="B165" s="2" t="s">
        <v>2543</v>
      </c>
      <c r="C165" s="2" t="s">
        <v>2544</v>
      </c>
      <c r="D165" s="16">
        <v>101400</v>
      </c>
      <c r="E165" s="2" t="s">
        <v>2316</v>
      </c>
      <c r="F165" s="2" t="str">
        <f>IFERROR(INDEX(Vendor_ID_Map!$B$2:$B$229,MATCH(B165,Vendor_ID_Map!$A$2:$A$229,0)),"UNMAPPED")</f>
        <v>UNMAPPED</v>
      </c>
      <c r="G165" s="2" t="str">
        <f>IFERROR(INDEX(Vendor_Master_Golden!$B$2:$B$208,MATCH(F165,Vendor_Master_Golden!$A$2:$A$208,0)),"-")</f>
        <v>-</v>
      </c>
      <c r="H165" s="2" t="str">
        <f>IFERROR(INDEX(Vendor_Master_Golden!$K$2:$K$208,MATCH(F165,Vendor_Master_Golden!$A$2:$A$208,0)),"-")</f>
        <v>-</v>
      </c>
      <c r="I165" s="2" t="str">
        <f t="shared" si="6"/>
        <v>Orphan Vendor ID</v>
      </c>
      <c r="J165" s="2">
        <f>COUNTIFS($B$2:B165,B165,$A$2:A165,A165,$D$2:D165,D165)</f>
        <v>1</v>
      </c>
      <c r="K165" s="2">
        <f>COUNTIFS($F$2:F165,F165,$A$2:A165,A165,$D$2:D165,D165)</f>
        <v>1</v>
      </c>
      <c r="L165" s="2" t="str">
        <f t="shared" si="7"/>
        <v>Unique</v>
      </c>
      <c r="M165" s="2" t="str">
        <f t="shared" si="8"/>
        <v>No</v>
      </c>
    </row>
    <row r="166" spans="1:13" x14ac:dyDescent="0.35">
      <c r="A166" s="2" t="s">
        <v>2545</v>
      </c>
      <c r="B166" s="2" t="s">
        <v>325</v>
      </c>
      <c r="C166" s="2" t="s">
        <v>2546</v>
      </c>
      <c r="D166" s="16">
        <v>120800</v>
      </c>
      <c r="E166" s="2" t="s">
        <v>2314</v>
      </c>
      <c r="F166" s="2" t="str">
        <f>IFERROR(INDEX(Vendor_ID_Map!$B$2:$B$229,MATCH(B166,Vendor_ID_Map!$A$2:$A$229,0)),"UNMAPPED")</f>
        <v>V1163</v>
      </c>
      <c r="G166" s="2" t="str">
        <f>IFERROR(INDEX(Vendor_Master_Golden!$B$2:$B$208,MATCH(F166,Vendor_Master_Golden!$A$2:$A$208,0)),"-")</f>
        <v>Lotus Stationers LLP</v>
      </c>
      <c r="H166" s="2" t="str">
        <f>IFERROR(INDEX(Vendor_Master_Golden!$K$2:$K$208,MATCH(F166,Vendor_Master_Golden!$A$2:$A$208,0)),"-")</f>
        <v>Active</v>
      </c>
      <c r="I166" s="2" t="str">
        <f t="shared" si="6"/>
        <v>OK</v>
      </c>
      <c r="J166" s="2">
        <f>COUNTIFS($B$2:B166,B166,$A$2:A166,A166,$D$2:D166,D166)</f>
        <v>1</v>
      </c>
      <c r="K166" s="2">
        <f>COUNTIFS($F$2:F166,F166,$A$2:A166,A166,$D$2:D166,D166)</f>
        <v>1</v>
      </c>
      <c r="L166" s="2" t="str">
        <f t="shared" si="7"/>
        <v>Unique</v>
      </c>
      <c r="M166" s="2" t="str">
        <f t="shared" si="8"/>
        <v>No</v>
      </c>
    </row>
    <row r="167" spans="1:13" x14ac:dyDescent="0.35">
      <c r="A167" s="2" t="s">
        <v>2547</v>
      </c>
      <c r="B167" s="2" t="s">
        <v>887</v>
      </c>
      <c r="C167" s="2" t="s">
        <v>2546</v>
      </c>
      <c r="D167" s="16">
        <v>36600</v>
      </c>
      <c r="E167" s="2" t="s">
        <v>2316</v>
      </c>
      <c r="F167" s="2" t="str">
        <f>IFERROR(INDEX(Vendor_ID_Map!$B$2:$B$229,MATCH(B167,Vendor_ID_Map!$A$2:$A$229,0)),"UNMAPPED")</f>
        <v>V1147</v>
      </c>
      <c r="G167" s="2" t="str">
        <f>IFERROR(INDEX(Vendor_Master_Golden!$B$2:$B$208,MATCH(F167,Vendor_Master_Golden!$A$2:$A$208,0)),"-")</f>
        <v>Pinnacle Pest Control Private Limited</v>
      </c>
      <c r="H167" s="2" t="str">
        <f>IFERROR(INDEX(Vendor_Master_Golden!$K$2:$K$208,MATCH(F167,Vendor_Master_Golden!$A$2:$A$208,0)),"-")</f>
        <v>Active</v>
      </c>
      <c r="I167" s="2" t="str">
        <f t="shared" si="6"/>
        <v>OK</v>
      </c>
      <c r="J167" s="2">
        <f>COUNTIFS($B$2:B167,B167,$A$2:A167,A167,$D$2:D167,D167)</f>
        <v>1</v>
      </c>
      <c r="K167" s="2">
        <f>COUNTIFS($F$2:F167,F167,$A$2:A167,A167,$D$2:D167,D167)</f>
        <v>1</v>
      </c>
      <c r="L167" s="2" t="str">
        <f t="shared" si="7"/>
        <v>Unique</v>
      </c>
      <c r="M167" s="2" t="str">
        <f t="shared" si="8"/>
        <v>No</v>
      </c>
    </row>
    <row r="168" spans="1:13" x14ac:dyDescent="0.35">
      <c r="A168" s="2" t="s">
        <v>2548</v>
      </c>
      <c r="B168" s="2" t="s">
        <v>730</v>
      </c>
      <c r="C168" s="2" t="s">
        <v>2546</v>
      </c>
      <c r="D168" s="16">
        <v>16200</v>
      </c>
      <c r="E168" s="2" t="s">
        <v>2316</v>
      </c>
      <c r="F168" s="2" t="str">
        <f>IFERROR(INDEX(Vendor_ID_Map!$B$2:$B$229,MATCH(B168,Vendor_ID_Map!$A$2:$A$229,0)),"UNMAPPED")</f>
        <v>V1055</v>
      </c>
      <c r="G168" s="2" t="str">
        <f>IFERROR(INDEX(Vendor_Master_Golden!$B$2:$B$208,MATCH(F168,Vendor_Master_Golden!$A$2:$A$208,0)),"-")</f>
        <v>Titan Power Systems LLP</v>
      </c>
      <c r="H168" s="2" t="str">
        <f>IFERROR(INDEX(Vendor_Master_Golden!$K$2:$K$208,MATCH(F168,Vendor_Master_Golden!$A$2:$A$208,0)),"-")</f>
        <v>Active</v>
      </c>
      <c r="I168" s="2" t="str">
        <f t="shared" si="6"/>
        <v>OK</v>
      </c>
      <c r="J168" s="2">
        <f>COUNTIFS($B$2:B168,B168,$A$2:A168,A168,$D$2:D168,D168)</f>
        <v>1</v>
      </c>
      <c r="K168" s="2">
        <f>COUNTIFS($F$2:F168,F168,$A$2:A168,A168,$D$2:D168,D168)</f>
        <v>1</v>
      </c>
      <c r="L168" s="2" t="str">
        <f t="shared" si="7"/>
        <v>Unique</v>
      </c>
      <c r="M168" s="2" t="str">
        <f t="shared" si="8"/>
        <v>No</v>
      </c>
    </row>
    <row r="169" spans="1:13" x14ac:dyDescent="0.35">
      <c r="A169" s="2" t="s">
        <v>2549</v>
      </c>
      <c r="B169" s="2" t="s">
        <v>245</v>
      </c>
      <c r="C169" s="2" t="s">
        <v>2546</v>
      </c>
      <c r="D169" s="16">
        <v>325700</v>
      </c>
      <c r="E169" s="2" t="s">
        <v>2314</v>
      </c>
      <c r="F169" s="2" t="str">
        <f>IFERROR(INDEX(Vendor_ID_Map!$B$2:$B$229,MATCH(B169,Vendor_ID_Map!$A$2:$A$229,0)),"UNMAPPED")</f>
        <v>V1073</v>
      </c>
      <c r="G169" s="2" t="str">
        <f>IFERROR(INDEX(Vendor_Master_Golden!$B$2:$B$208,MATCH(F169,Vendor_Master_Golden!$A$2:$A$208,0)),"-")</f>
        <v>Delta IT Services Limited</v>
      </c>
      <c r="H169" s="2" t="str">
        <f>IFERROR(INDEX(Vendor_Master_Golden!$K$2:$K$208,MATCH(F169,Vendor_Master_Golden!$A$2:$A$208,0)),"-")</f>
        <v>Active</v>
      </c>
      <c r="I169" s="2" t="str">
        <f t="shared" si="6"/>
        <v>OK</v>
      </c>
      <c r="J169" s="2">
        <f>COUNTIFS($B$2:B169,B169,$A$2:A169,A169,$D$2:D169,D169)</f>
        <v>1</v>
      </c>
      <c r="K169" s="2">
        <f>COUNTIFS($F$2:F169,F169,$A$2:A169,A169,$D$2:D169,D169)</f>
        <v>1</v>
      </c>
      <c r="L169" s="2" t="str">
        <f t="shared" si="7"/>
        <v>Unique</v>
      </c>
      <c r="M169" s="2" t="str">
        <f t="shared" si="8"/>
        <v>No</v>
      </c>
    </row>
    <row r="170" spans="1:13" x14ac:dyDescent="0.35">
      <c r="A170" s="2" t="s">
        <v>2550</v>
      </c>
      <c r="B170" s="2" t="s">
        <v>1732</v>
      </c>
      <c r="C170" s="2" t="s">
        <v>2546</v>
      </c>
      <c r="D170" s="16">
        <v>98800</v>
      </c>
      <c r="E170" s="2" t="s">
        <v>2314</v>
      </c>
      <c r="F170" s="2" t="str">
        <f>IFERROR(INDEX(Vendor_ID_Map!$B$2:$B$229,MATCH(B170,Vendor_ID_Map!$A$2:$A$229,0)),"UNMAPPED")</f>
        <v>V1038</v>
      </c>
      <c r="G170" s="2" t="str">
        <f>IFERROR(INDEX(Vendor_Master_Golden!$B$2:$B$208,MATCH(F170,Vendor_Master_Golden!$A$2:$A$208,0)),"-")</f>
        <v>Bharat Water Solutions Private Limited</v>
      </c>
      <c r="H170" s="2" t="str">
        <f>IFERROR(INDEX(Vendor_Master_Golden!$K$2:$K$208,MATCH(F170,Vendor_Master_Golden!$A$2:$A$208,0)),"-")</f>
        <v>Active</v>
      </c>
      <c r="I170" s="2" t="str">
        <f t="shared" si="6"/>
        <v>OK</v>
      </c>
      <c r="J170" s="2">
        <f>COUNTIFS($B$2:B170,B170,$A$2:A170,A170,$D$2:D170,D170)</f>
        <v>1</v>
      </c>
      <c r="K170" s="2">
        <f>COUNTIFS($F$2:F170,F170,$A$2:A170,A170,$D$2:D170,D170)</f>
        <v>1</v>
      </c>
      <c r="L170" s="2" t="str">
        <f t="shared" si="7"/>
        <v>Unique</v>
      </c>
      <c r="M170" s="2" t="str">
        <f t="shared" si="8"/>
        <v>No</v>
      </c>
    </row>
    <row r="171" spans="1:13" x14ac:dyDescent="0.35">
      <c r="A171" s="2" t="s">
        <v>2551</v>
      </c>
      <c r="B171" s="2" t="s">
        <v>878</v>
      </c>
      <c r="C171" s="2" t="s">
        <v>2552</v>
      </c>
      <c r="D171" s="16">
        <v>45900</v>
      </c>
      <c r="E171" s="2" t="s">
        <v>2314</v>
      </c>
      <c r="F171" s="2" t="str">
        <f>IFERROR(INDEX(Vendor_ID_Map!$B$2:$B$229,MATCH(B171,Vendor_ID_Map!$A$2:$A$229,0)),"UNMAPPED")</f>
        <v>V1105</v>
      </c>
      <c r="G171" s="2" t="str">
        <f>IFERROR(INDEX(Vendor_Master_Golden!$B$2:$B$208,MATCH(F171,Vendor_Master_Golden!$A$2:$A$208,0)),"-")</f>
        <v>Horizon Maintenance Limited</v>
      </c>
      <c r="H171" s="2" t="str">
        <f>IFERROR(INDEX(Vendor_Master_Golden!$K$2:$K$208,MATCH(F171,Vendor_Master_Golden!$A$2:$A$208,0)),"-")</f>
        <v>Active</v>
      </c>
      <c r="I171" s="2" t="str">
        <f t="shared" si="6"/>
        <v>OK</v>
      </c>
      <c r="J171" s="2">
        <f>COUNTIFS($B$2:B171,B171,$A$2:A171,A171,$D$2:D171,D171)</f>
        <v>1</v>
      </c>
      <c r="K171" s="2">
        <f>COUNTIFS($F$2:F171,F171,$A$2:A171,A171,$D$2:D171,D171)</f>
        <v>1</v>
      </c>
      <c r="L171" s="2" t="str">
        <f t="shared" si="7"/>
        <v>Unique</v>
      </c>
      <c r="M171" s="2" t="str">
        <f t="shared" si="8"/>
        <v>No</v>
      </c>
    </row>
    <row r="172" spans="1:13" x14ac:dyDescent="0.35">
      <c r="A172" s="2" t="s">
        <v>2553</v>
      </c>
      <c r="B172" s="2" t="s">
        <v>351</v>
      </c>
      <c r="C172" s="2" t="s">
        <v>2552</v>
      </c>
      <c r="D172" s="16">
        <v>300100</v>
      </c>
      <c r="E172" s="2" t="s">
        <v>2314</v>
      </c>
      <c r="F172" s="2" t="str">
        <f>IFERROR(INDEX(Vendor_ID_Map!$B$2:$B$229,MATCH(B172,Vendor_ID_Map!$A$2:$A$229,0)),"UNMAPPED")</f>
        <v>V1173</v>
      </c>
      <c r="G172" s="2" t="str">
        <f>IFERROR(INDEX(Vendor_Master_Golden!$B$2:$B$208,MATCH(F172,Vendor_Master_Golden!$A$2:$A$208,0)),"-")</f>
        <v>Evergreen Logistics Limited</v>
      </c>
      <c r="H172" s="2" t="str">
        <f>IFERROR(INDEX(Vendor_Master_Golden!$K$2:$K$208,MATCH(F172,Vendor_Master_Golden!$A$2:$A$208,0)),"-")</f>
        <v>Active</v>
      </c>
      <c r="I172" s="2" t="str">
        <f t="shared" si="6"/>
        <v>OK</v>
      </c>
      <c r="J172" s="2">
        <f>COUNTIFS($B$2:B172,B172,$A$2:A172,A172,$D$2:D172,D172)</f>
        <v>1</v>
      </c>
      <c r="K172" s="2">
        <f>COUNTIFS($F$2:F172,F172,$A$2:A172,A172,$D$2:D172,D172)</f>
        <v>1</v>
      </c>
      <c r="L172" s="2" t="str">
        <f t="shared" si="7"/>
        <v>Unique</v>
      </c>
      <c r="M172" s="2" t="str">
        <f t="shared" si="8"/>
        <v>No</v>
      </c>
    </row>
    <row r="173" spans="1:13" x14ac:dyDescent="0.35">
      <c r="A173" s="2" t="s">
        <v>2554</v>
      </c>
      <c r="B173" s="2" t="s">
        <v>1182</v>
      </c>
      <c r="C173" s="2" t="s">
        <v>2555</v>
      </c>
      <c r="D173" s="16">
        <v>29000</v>
      </c>
      <c r="E173" s="2" t="s">
        <v>2314</v>
      </c>
      <c r="F173" s="2" t="str">
        <f>IFERROR(INDEX(Vendor_ID_Map!$B$2:$B$229,MATCH(B173,Vendor_ID_Map!$A$2:$A$229,0)),"UNMAPPED")</f>
        <v>V1119</v>
      </c>
      <c r="G173" s="2" t="str">
        <f>IFERROR(INDEX(Vendor_Master_Golden!$B$2:$B$208,MATCH(F173,Vendor_Master_Golden!$A$2:$A$208,0)),"-")</f>
        <v>Vertex Logistics Private Limited</v>
      </c>
      <c r="H173" s="2" t="str">
        <f>IFERROR(INDEX(Vendor_Master_Golden!$K$2:$K$208,MATCH(F173,Vendor_Master_Golden!$A$2:$A$208,0)),"-")</f>
        <v>Active</v>
      </c>
      <c r="I173" s="2" t="str">
        <f t="shared" si="6"/>
        <v>OK</v>
      </c>
      <c r="J173" s="2">
        <f>COUNTIFS($B$2:B173,B173,$A$2:A173,A173,$D$2:D173,D173)</f>
        <v>1</v>
      </c>
      <c r="K173" s="2">
        <f>COUNTIFS($F$2:F173,F173,$A$2:A173,A173,$D$2:D173,D173)</f>
        <v>1</v>
      </c>
      <c r="L173" s="2" t="str">
        <f t="shared" si="7"/>
        <v>Unique</v>
      </c>
      <c r="M173" s="2" t="str">
        <f t="shared" si="8"/>
        <v>No</v>
      </c>
    </row>
    <row r="174" spans="1:13" x14ac:dyDescent="0.35">
      <c r="A174" s="2" t="s">
        <v>2556</v>
      </c>
      <c r="B174" s="2" t="s">
        <v>887</v>
      </c>
      <c r="C174" s="2" t="s">
        <v>2555</v>
      </c>
      <c r="D174" s="16">
        <v>63100</v>
      </c>
      <c r="E174" s="2" t="s">
        <v>2314</v>
      </c>
      <c r="F174" s="2" t="str">
        <f>IFERROR(INDEX(Vendor_ID_Map!$B$2:$B$229,MATCH(B174,Vendor_ID_Map!$A$2:$A$229,0)),"UNMAPPED")</f>
        <v>V1147</v>
      </c>
      <c r="G174" s="2" t="str">
        <f>IFERROR(INDEX(Vendor_Master_Golden!$B$2:$B$208,MATCH(F174,Vendor_Master_Golden!$A$2:$A$208,0)),"-")</f>
        <v>Pinnacle Pest Control Private Limited</v>
      </c>
      <c r="H174" s="2" t="str">
        <f>IFERROR(INDEX(Vendor_Master_Golden!$K$2:$K$208,MATCH(F174,Vendor_Master_Golden!$A$2:$A$208,0)),"-")</f>
        <v>Active</v>
      </c>
      <c r="I174" s="2" t="str">
        <f t="shared" si="6"/>
        <v>OK</v>
      </c>
      <c r="J174" s="2">
        <f>COUNTIFS($B$2:B174,B174,$A$2:A174,A174,$D$2:D174,D174)</f>
        <v>1</v>
      </c>
      <c r="K174" s="2">
        <f>COUNTIFS($F$2:F174,F174,$A$2:A174,A174,$D$2:D174,D174)</f>
        <v>1</v>
      </c>
      <c r="L174" s="2" t="str">
        <f t="shared" si="7"/>
        <v>Unique</v>
      </c>
      <c r="M174" s="2" t="str">
        <f t="shared" si="8"/>
        <v>No</v>
      </c>
    </row>
    <row r="175" spans="1:13" x14ac:dyDescent="0.35">
      <c r="A175" s="2" t="s">
        <v>2557</v>
      </c>
      <c r="B175" s="2" t="s">
        <v>1054</v>
      </c>
      <c r="C175" s="2" t="s">
        <v>2555</v>
      </c>
      <c r="D175" s="16">
        <v>52500</v>
      </c>
      <c r="E175" s="2" t="s">
        <v>2314</v>
      </c>
      <c r="F175" s="2" t="str">
        <f>IFERROR(INDEX(Vendor_ID_Map!$B$2:$B$229,MATCH(B175,Vendor_ID_Map!$A$2:$A$229,0)),"UNMAPPED")</f>
        <v>V1103</v>
      </c>
      <c r="G175" s="2" t="str">
        <f>IFERROR(INDEX(Vendor_Master_Golden!$B$2:$B$208,MATCH(F175,Vendor_Master_Golden!$A$2:$A$208,0)),"-")</f>
        <v>Jupiter Stationers Pvt Ltd</v>
      </c>
      <c r="H175" s="2" t="str">
        <f>IFERROR(INDEX(Vendor_Master_Golden!$K$2:$K$208,MATCH(F175,Vendor_Master_Golden!$A$2:$A$208,0)),"-")</f>
        <v>Active</v>
      </c>
      <c r="I175" s="2" t="str">
        <f t="shared" si="6"/>
        <v>OK</v>
      </c>
      <c r="J175" s="2">
        <f>COUNTIFS($B$2:B175,B175,$A$2:A175,A175,$D$2:D175,D175)</f>
        <v>1</v>
      </c>
      <c r="K175" s="2">
        <f>COUNTIFS($F$2:F175,F175,$A$2:A175,A175,$D$2:D175,D175)</f>
        <v>1</v>
      </c>
      <c r="L175" s="2" t="str">
        <f t="shared" si="7"/>
        <v>Unique</v>
      </c>
      <c r="M175" s="2" t="str">
        <f t="shared" si="8"/>
        <v>No</v>
      </c>
    </row>
    <row r="176" spans="1:13" x14ac:dyDescent="0.35">
      <c r="A176" s="2" t="s">
        <v>2558</v>
      </c>
      <c r="B176" s="2" t="s">
        <v>1497</v>
      </c>
      <c r="C176" s="2" t="s">
        <v>1814</v>
      </c>
      <c r="D176" s="16">
        <v>28000</v>
      </c>
      <c r="E176" s="2" t="s">
        <v>2314</v>
      </c>
      <c r="F176" s="2" t="str">
        <f>IFERROR(INDEX(Vendor_ID_Map!$B$2:$B$229,MATCH(B176,Vendor_ID_Map!$A$2:$A$229,0)),"UNMAPPED")</f>
        <v>V1106</v>
      </c>
      <c r="G176" s="2" t="str">
        <f>IFERROR(INDEX(Vendor_Master_Golden!$B$2:$B$208,MATCH(F176,Vendor_Master_Golden!$A$2:$A$208,0)),"-")</f>
        <v>Unity Maintenance Limited</v>
      </c>
      <c r="H176" s="2" t="str">
        <f>IFERROR(INDEX(Vendor_Master_Golden!$K$2:$K$208,MATCH(F176,Vendor_Master_Golden!$A$2:$A$208,0)),"-")</f>
        <v>Active</v>
      </c>
      <c r="I176" s="2" t="str">
        <f t="shared" si="6"/>
        <v>OK</v>
      </c>
      <c r="J176" s="2">
        <f>COUNTIFS($B$2:B176,B176,$A$2:A176,A176,$D$2:D176,D176)</f>
        <v>1</v>
      </c>
      <c r="K176" s="2">
        <f>COUNTIFS($F$2:F176,F176,$A$2:A176,A176,$D$2:D176,D176)</f>
        <v>1</v>
      </c>
      <c r="L176" s="2" t="str">
        <f t="shared" si="7"/>
        <v>Unique</v>
      </c>
      <c r="M176" s="2" t="str">
        <f t="shared" si="8"/>
        <v>No</v>
      </c>
    </row>
    <row r="177" spans="1:13" x14ac:dyDescent="0.35">
      <c r="A177" s="2" t="s">
        <v>2559</v>
      </c>
      <c r="B177" s="2" t="s">
        <v>1732</v>
      </c>
      <c r="C177" s="2" t="s">
        <v>1814</v>
      </c>
      <c r="D177" s="16">
        <v>195300</v>
      </c>
      <c r="E177" s="2" t="s">
        <v>2314</v>
      </c>
      <c r="F177" s="2" t="str">
        <f>IFERROR(INDEX(Vendor_ID_Map!$B$2:$B$229,MATCH(B177,Vendor_ID_Map!$A$2:$A$229,0)),"UNMAPPED")</f>
        <v>V1038</v>
      </c>
      <c r="G177" s="2" t="str">
        <f>IFERROR(INDEX(Vendor_Master_Golden!$B$2:$B$208,MATCH(F177,Vendor_Master_Golden!$A$2:$A$208,0)),"-")</f>
        <v>Bharat Water Solutions Private Limited</v>
      </c>
      <c r="H177" s="2" t="str">
        <f>IFERROR(INDEX(Vendor_Master_Golden!$K$2:$K$208,MATCH(F177,Vendor_Master_Golden!$A$2:$A$208,0)),"-")</f>
        <v>Active</v>
      </c>
      <c r="I177" s="2" t="str">
        <f t="shared" si="6"/>
        <v>OK</v>
      </c>
      <c r="J177" s="2">
        <f>COUNTIFS($B$2:B177,B177,$A$2:A177,A177,$D$2:D177,D177)</f>
        <v>1</v>
      </c>
      <c r="K177" s="2">
        <f>COUNTIFS($F$2:F177,F177,$A$2:A177,A177,$D$2:D177,D177)</f>
        <v>1</v>
      </c>
      <c r="L177" s="2" t="str">
        <f t="shared" si="7"/>
        <v>Unique</v>
      </c>
      <c r="M177" s="2" t="str">
        <f t="shared" si="8"/>
        <v>No</v>
      </c>
    </row>
    <row r="178" spans="1:13" x14ac:dyDescent="0.35">
      <c r="A178" s="2" t="s">
        <v>2560</v>
      </c>
      <c r="B178" s="2" t="s">
        <v>1524</v>
      </c>
      <c r="C178" s="2" t="s">
        <v>1814</v>
      </c>
      <c r="D178" s="16">
        <v>107300</v>
      </c>
      <c r="E178" s="2" t="s">
        <v>2314</v>
      </c>
      <c r="F178" s="2" t="str">
        <f>IFERROR(INDEX(Vendor_ID_Map!$B$2:$B$229,MATCH(B178,Vendor_ID_Map!$A$2:$A$229,0)),"UNMAPPED")</f>
        <v>V1164</v>
      </c>
      <c r="G178" s="2" t="str">
        <f>IFERROR(INDEX(Vendor_Master_Golden!$B$2:$B$208,MATCH(F178,Vendor_Master_Golden!$A$2:$A$208,0)),"-")</f>
        <v>Redwood Pest Control Pvt Ltd</v>
      </c>
      <c r="H178" s="2" t="str">
        <f>IFERROR(INDEX(Vendor_Master_Golden!$K$2:$K$208,MATCH(F178,Vendor_Master_Golden!$A$2:$A$208,0)),"-")</f>
        <v>Active</v>
      </c>
      <c r="I178" s="2" t="str">
        <f t="shared" si="6"/>
        <v>OK</v>
      </c>
      <c r="J178" s="2">
        <f>COUNTIFS($B$2:B178,B178,$A$2:A178,A178,$D$2:D178,D178)</f>
        <v>1</v>
      </c>
      <c r="K178" s="2">
        <f>COUNTIFS($F$2:F178,F178,$A$2:A178,A178,$D$2:D178,D178)</f>
        <v>1</v>
      </c>
      <c r="L178" s="2" t="str">
        <f t="shared" si="7"/>
        <v>Unique</v>
      </c>
      <c r="M178" s="2" t="str">
        <f t="shared" si="8"/>
        <v>No</v>
      </c>
    </row>
    <row r="179" spans="1:13" x14ac:dyDescent="0.35">
      <c r="A179" s="2" t="s">
        <v>2561</v>
      </c>
      <c r="B179" s="2" t="s">
        <v>1870</v>
      </c>
      <c r="C179" s="2" t="s">
        <v>2562</v>
      </c>
      <c r="D179" s="16">
        <v>186100</v>
      </c>
      <c r="E179" s="2" t="s">
        <v>2316</v>
      </c>
      <c r="F179" s="2" t="str">
        <f>IFERROR(INDEX(Vendor_ID_Map!$B$2:$B$229,MATCH(B179,Vendor_ID_Map!$A$2:$A$229,0)),"UNMAPPED")</f>
        <v>V1226</v>
      </c>
      <c r="G179" s="2" t="str">
        <f>IFERROR(INDEX(Vendor_Master_Golden!$B$2:$B$208,MATCH(F179,Vendor_Master_Golden!$A$2:$A$208,0)),"-")</f>
        <v>Bluewave Secrity Solutions Private Limited</v>
      </c>
      <c r="H179" s="2" t="str">
        <f>IFERROR(INDEX(Vendor_Master_Golden!$K$2:$K$208,MATCH(F179,Vendor_Master_Golden!$A$2:$A$208,0)),"-")</f>
        <v>Active</v>
      </c>
      <c r="I179" s="2" t="str">
        <f t="shared" si="6"/>
        <v>OK</v>
      </c>
      <c r="J179" s="2">
        <f>COUNTIFS($B$2:B179,B179,$A$2:A179,A179,$D$2:D179,D179)</f>
        <v>1</v>
      </c>
      <c r="K179" s="2">
        <f>COUNTIFS($F$2:F179,F179,$A$2:A179,A179,$D$2:D179,D179)</f>
        <v>1</v>
      </c>
      <c r="L179" s="2" t="str">
        <f t="shared" si="7"/>
        <v>Unique</v>
      </c>
      <c r="M179" s="2" t="str">
        <f t="shared" si="8"/>
        <v>No</v>
      </c>
    </row>
    <row r="180" spans="1:13" x14ac:dyDescent="0.35">
      <c r="A180" s="2" t="s">
        <v>2563</v>
      </c>
      <c r="B180" s="2" t="s">
        <v>186</v>
      </c>
      <c r="C180" s="2" t="s">
        <v>2562</v>
      </c>
      <c r="D180" s="16">
        <v>141200</v>
      </c>
      <c r="E180" s="2" t="s">
        <v>2314</v>
      </c>
      <c r="F180" s="2" t="str">
        <f>IFERROR(INDEX(Vendor_ID_Map!$B$2:$B$229,MATCH(B180,Vendor_ID_Map!$A$2:$A$229,0)),"UNMAPPED")</f>
        <v>V1186</v>
      </c>
      <c r="G180" s="2" t="str">
        <f>IFERROR(INDEX(Vendor_Master_Golden!$B$2:$B$208,MATCH(F180,Vendor_Master_Golden!$A$2:$A$208,0)),"-")</f>
        <v>Titan Stationers Private Limited</v>
      </c>
      <c r="H180" s="2" t="str">
        <f>IFERROR(INDEX(Vendor_Master_Golden!$K$2:$K$208,MATCH(F180,Vendor_Master_Golden!$A$2:$A$208,0)),"-")</f>
        <v>Active</v>
      </c>
      <c r="I180" s="2" t="str">
        <f t="shared" si="6"/>
        <v>OK</v>
      </c>
      <c r="J180" s="2">
        <f>COUNTIFS($B$2:B180,B180,$A$2:A180,A180,$D$2:D180,D180)</f>
        <v>1</v>
      </c>
      <c r="K180" s="2">
        <f>COUNTIFS($F$2:F180,F180,$A$2:A180,A180,$D$2:D180,D180)</f>
        <v>1</v>
      </c>
      <c r="L180" s="2" t="str">
        <f t="shared" si="7"/>
        <v>Unique</v>
      </c>
      <c r="M180" s="2" t="str">
        <f t="shared" si="8"/>
        <v>No</v>
      </c>
    </row>
    <row r="181" spans="1:13" x14ac:dyDescent="0.35">
      <c r="A181" s="2" t="s">
        <v>2564</v>
      </c>
      <c r="B181" s="2" t="s">
        <v>1940</v>
      </c>
      <c r="C181" s="2" t="s">
        <v>2562</v>
      </c>
      <c r="D181" s="16">
        <v>83500</v>
      </c>
      <c r="E181" s="2" t="s">
        <v>2314</v>
      </c>
      <c r="F181" s="2" t="str">
        <f>IFERROR(INDEX(Vendor_ID_Map!$B$2:$B$229,MATCH(B181,Vendor_ID_Map!$A$2:$A$229,0)),"UNMAPPED")</f>
        <v>V1086</v>
      </c>
      <c r="G181" s="2" t="str">
        <f>IFERROR(INDEX(Vendor_Master_Golden!$B$2:$B$208,MATCH(F181,Vendor_Master_Golden!$A$2:$A$208,0)),"-")</f>
        <v>Western Housekeeping Private Limited</v>
      </c>
      <c r="H181" s="2" t="str">
        <f>IFERROR(INDEX(Vendor_Master_Golden!$K$2:$K$208,MATCH(F181,Vendor_Master_Golden!$A$2:$A$208,0)),"-")</f>
        <v>Active</v>
      </c>
      <c r="I181" s="2" t="str">
        <f t="shared" si="6"/>
        <v>OK</v>
      </c>
      <c r="J181" s="2">
        <f>COUNTIFS($B$2:B181,B181,$A$2:A181,A181,$D$2:D181,D181)</f>
        <v>1</v>
      </c>
      <c r="K181" s="2">
        <f>COUNTIFS($F$2:F181,F181,$A$2:A181,A181,$D$2:D181,D181)</f>
        <v>1</v>
      </c>
      <c r="L181" s="2" t="str">
        <f t="shared" si="7"/>
        <v>Unique</v>
      </c>
      <c r="M181" s="2" t="str">
        <f t="shared" si="8"/>
        <v>No</v>
      </c>
    </row>
    <row r="182" spans="1:13" x14ac:dyDescent="0.35">
      <c r="A182" s="2" t="s">
        <v>2565</v>
      </c>
      <c r="B182" s="2" t="s">
        <v>2566</v>
      </c>
      <c r="C182" s="2" t="s">
        <v>2562</v>
      </c>
      <c r="D182" s="16">
        <v>93100</v>
      </c>
      <c r="E182" s="2" t="s">
        <v>2314</v>
      </c>
      <c r="F182" s="2" t="str">
        <f>IFERROR(INDEX(Vendor_ID_Map!$B$2:$B$229,MATCH(B182,Vendor_ID_Map!$A$2:$A$229,0)),"UNMAPPED")</f>
        <v>UNMAPPED</v>
      </c>
      <c r="G182" s="2" t="str">
        <f>IFERROR(INDEX(Vendor_Master_Golden!$B$2:$B$208,MATCH(F182,Vendor_Master_Golden!$A$2:$A$208,0)),"-")</f>
        <v>-</v>
      </c>
      <c r="H182" s="2" t="str">
        <f>IFERROR(INDEX(Vendor_Master_Golden!$K$2:$K$208,MATCH(F182,Vendor_Master_Golden!$A$2:$A$208,0)),"-")</f>
        <v>-</v>
      </c>
      <c r="I182" s="2" t="str">
        <f t="shared" si="6"/>
        <v>Orphan Vendor ID</v>
      </c>
      <c r="J182" s="2">
        <f>COUNTIFS($B$2:B182,B182,$A$2:A182,A182,$D$2:D182,D182)</f>
        <v>1</v>
      </c>
      <c r="K182" s="2">
        <f>COUNTIFS($F$2:F182,F182,$A$2:A182,A182,$D$2:D182,D182)</f>
        <v>1</v>
      </c>
      <c r="L182" s="2" t="str">
        <f t="shared" si="7"/>
        <v>Unique</v>
      </c>
      <c r="M182" s="2" t="str">
        <f t="shared" si="8"/>
        <v>No</v>
      </c>
    </row>
    <row r="183" spans="1:13" x14ac:dyDescent="0.35">
      <c r="A183" s="2" t="s">
        <v>2567</v>
      </c>
      <c r="B183" s="2" t="s">
        <v>896</v>
      </c>
      <c r="C183" s="2" t="s">
        <v>2568</v>
      </c>
      <c r="D183" s="16">
        <v>61700</v>
      </c>
      <c r="E183" s="2" t="s">
        <v>2314</v>
      </c>
      <c r="F183" s="2" t="str">
        <f>IFERROR(INDEX(Vendor_ID_Map!$B$2:$B$229,MATCH(B183,Vendor_ID_Map!$A$2:$A$229,0)),"UNMAPPED")</f>
        <v>V1018</v>
      </c>
      <c r="G183" s="2" t="str">
        <f>IFERROR(INDEX(Vendor_Master_Golden!$B$2:$B$208,MATCH(F183,Vendor_Master_Golden!$A$2:$A$208,0)),"-")</f>
        <v>Bluewave Electricals Pvt Ltd</v>
      </c>
      <c r="H183" s="2" t="str">
        <f>IFERROR(INDEX(Vendor_Master_Golden!$K$2:$K$208,MATCH(F183,Vendor_Master_Golden!$A$2:$A$208,0)),"-")</f>
        <v>Active</v>
      </c>
      <c r="I183" s="2" t="str">
        <f t="shared" si="6"/>
        <v>OK</v>
      </c>
      <c r="J183" s="2">
        <f>COUNTIFS($B$2:B183,B183,$A$2:A183,A183,$D$2:D183,D183)</f>
        <v>1</v>
      </c>
      <c r="K183" s="2">
        <f>COUNTIFS($F$2:F183,F183,$A$2:A183,A183,$D$2:D183,D183)</f>
        <v>1</v>
      </c>
      <c r="L183" s="2" t="str">
        <f t="shared" si="7"/>
        <v>Unique</v>
      </c>
      <c r="M183" s="2" t="str">
        <f t="shared" si="8"/>
        <v>No</v>
      </c>
    </row>
    <row r="184" spans="1:13" x14ac:dyDescent="0.35">
      <c r="A184" s="2" t="s">
        <v>2569</v>
      </c>
      <c r="B184" s="2" t="s">
        <v>484</v>
      </c>
      <c r="C184" s="2" t="s">
        <v>2568</v>
      </c>
      <c r="D184" s="16">
        <v>107400</v>
      </c>
      <c r="E184" s="2" t="s">
        <v>2314</v>
      </c>
      <c r="F184" s="2" t="str">
        <f>IFERROR(INDEX(Vendor_ID_Map!$B$2:$B$229,MATCH(B184,Vendor_ID_Map!$A$2:$A$229,0)),"UNMAPPED")</f>
        <v>V1096</v>
      </c>
      <c r="G184" s="2" t="str">
        <f>IFERROR(INDEX(Vendor_Master_Golden!$B$2:$B$208,MATCH(F184,Vendor_Master_Golden!$A$2:$A$208,0)),"-")</f>
        <v>Deccan Maintenance Private Limited</v>
      </c>
      <c r="H184" s="2" t="str">
        <f>IFERROR(INDEX(Vendor_Master_Golden!$K$2:$K$208,MATCH(F184,Vendor_Master_Golden!$A$2:$A$208,0)),"-")</f>
        <v>Active</v>
      </c>
      <c r="I184" s="2" t="str">
        <f t="shared" si="6"/>
        <v>OK</v>
      </c>
      <c r="J184" s="2">
        <f>COUNTIFS($B$2:B184,B184,$A$2:A184,A184,$D$2:D184,D184)</f>
        <v>1</v>
      </c>
      <c r="K184" s="2">
        <f>COUNTIFS($F$2:F184,F184,$A$2:A184,A184,$D$2:D184,D184)</f>
        <v>1</v>
      </c>
      <c r="L184" s="2" t="str">
        <f t="shared" si="7"/>
        <v>Unique</v>
      </c>
      <c r="M184" s="2" t="str">
        <f t="shared" si="8"/>
        <v>No</v>
      </c>
    </row>
    <row r="185" spans="1:13" x14ac:dyDescent="0.35">
      <c r="A185" s="2" t="s">
        <v>2563</v>
      </c>
      <c r="B185" s="2" t="s">
        <v>186</v>
      </c>
      <c r="C185" s="2" t="s">
        <v>2570</v>
      </c>
      <c r="D185" s="16">
        <v>141200</v>
      </c>
      <c r="E185" s="2" t="s">
        <v>2314</v>
      </c>
      <c r="F185" s="2" t="str">
        <f>IFERROR(INDEX(Vendor_ID_Map!$B$2:$B$229,MATCH(B185,Vendor_ID_Map!$A$2:$A$229,0)),"UNMAPPED")</f>
        <v>V1186</v>
      </c>
      <c r="G185" s="2" t="str">
        <f>IFERROR(INDEX(Vendor_Master_Golden!$B$2:$B$208,MATCH(F185,Vendor_Master_Golden!$A$2:$A$208,0)),"-")</f>
        <v>Titan Stationers Private Limited</v>
      </c>
      <c r="H185" s="2" t="str">
        <f>IFERROR(INDEX(Vendor_Master_Golden!$K$2:$K$208,MATCH(F185,Vendor_Master_Golden!$A$2:$A$208,0)),"-")</f>
        <v>Active</v>
      </c>
      <c r="I185" s="2" t="str">
        <f t="shared" si="6"/>
        <v>OK</v>
      </c>
      <c r="J185" s="2">
        <f>COUNTIFS($B$2:B185,B185,$A$2:A185,A185,$D$2:D185,D185)</f>
        <v>2</v>
      </c>
      <c r="K185" s="2">
        <f>COUNTIFS($F$2:F185,F185,$A$2:A185,A185,$D$2:D185,D185)</f>
        <v>2</v>
      </c>
      <c r="L185" s="2" t="str">
        <f t="shared" si="7"/>
        <v>Duplicate</v>
      </c>
      <c r="M185" s="2" t="str">
        <f t="shared" si="8"/>
        <v>No</v>
      </c>
    </row>
    <row r="186" spans="1:13" x14ac:dyDescent="0.35">
      <c r="A186" s="2" t="s">
        <v>2571</v>
      </c>
      <c r="B186" s="2" t="s">
        <v>701</v>
      </c>
      <c r="C186" s="2" t="s">
        <v>2570</v>
      </c>
      <c r="D186" s="16">
        <v>62400</v>
      </c>
      <c r="E186" s="2" t="s">
        <v>2314</v>
      </c>
      <c r="F186" s="2" t="str">
        <f>IFERROR(INDEX(Vendor_ID_Map!$B$2:$B$229,MATCH(B186,Vendor_ID_Map!$A$2:$A$229,0)),"UNMAPPED")</f>
        <v>V1115</v>
      </c>
      <c r="G186" s="2" t="str">
        <f>IFERROR(INDEX(Vendor_Master_Golden!$B$2:$B$208,MATCH(F186,Vendor_Master_Golden!$A$2:$A$208,0)),"-")</f>
        <v>Jupiter Facility Services Private Limited</v>
      </c>
      <c r="H186" s="2" t="str">
        <f>IFERROR(INDEX(Vendor_Master_Golden!$K$2:$K$208,MATCH(F186,Vendor_Master_Golden!$A$2:$A$208,0)),"-")</f>
        <v>Inactive</v>
      </c>
      <c r="I186" s="2" t="str">
        <f t="shared" si="6"/>
        <v>Inactive Vendor</v>
      </c>
      <c r="J186" s="2">
        <f>COUNTIFS($B$2:B186,B186,$A$2:A186,A186,$D$2:D186,D186)</f>
        <v>1</v>
      </c>
      <c r="K186" s="2">
        <f>COUNTIFS($F$2:F186,F186,$A$2:A186,A186,$D$2:D186,D186)</f>
        <v>1</v>
      </c>
      <c r="L186" s="2" t="str">
        <f t="shared" si="7"/>
        <v>Unique</v>
      </c>
      <c r="M186" s="2" t="str">
        <f t="shared" si="8"/>
        <v>No</v>
      </c>
    </row>
    <row r="187" spans="1:13" x14ac:dyDescent="0.35">
      <c r="A187" s="2" t="s">
        <v>2572</v>
      </c>
      <c r="B187" s="2" t="s">
        <v>1136</v>
      </c>
      <c r="C187" s="2" t="s">
        <v>2573</v>
      </c>
      <c r="D187" s="16">
        <v>56600</v>
      </c>
      <c r="E187" s="2" t="s">
        <v>2316</v>
      </c>
      <c r="F187" s="2" t="str">
        <f>IFERROR(INDEX(Vendor_ID_Map!$B$2:$B$229,MATCH(B187,Vendor_ID_Map!$A$2:$A$229,0)),"UNMAPPED")</f>
        <v>V1067</v>
      </c>
      <c r="G187" s="2" t="str">
        <f>IFERROR(INDEX(Vendor_Master_Golden!$B$2:$B$208,MATCH(F187,Vendor_Master_Golden!$A$2:$A$208,0)),"-")</f>
        <v>Bluewave IT Services Private Limited</v>
      </c>
      <c r="H187" s="2" t="str">
        <f>IFERROR(INDEX(Vendor_Master_Golden!$K$2:$K$208,MATCH(F187,Vendor_Master_Golden!$A$2:$A$208,0)),"-")</f>
        <v>Active</v>
      </c>
      <c r="I187" s="2" t="str">
        <f t="shared" si="6"/>
        <v>OK</v>
      </c>
      <c r="J187" s="2">
        <f>COUNTIFS($B$2:B187,B187,$A$2:A187,A187,$D$2:D187,D187)</f>
        <v>1</v>
      </c>
      <c r="K187" s="2">
        <f>COUNTIFS($F$2:F187,F187,$A$2:A187,A187,$D$2:D187,D187)</f>
        <v>1</v>
      </c>
      <c r="L187" s="2" t="str">
        <f t="shared" si="7"/>
        <v>Unique</v>
      </c>
      <c r="M187" s="2" t="str">
        <f t="shared" si="8"/>
        <v>No</v>
      </c>
    </row>
    <row r="188" spans="1:13" x14ac:dyDescent="0.35">
      <c r="A188" s="2" t="s">
        <v>2574</v>
      </c>
      <c r="B188" s="2" t="s">
        <v>1203</v>
      </c>
      <c r="C188" s="2" t="s">
        <v>2575</v>
      </c>
      <c r="D188" s="16">
        <v>93100</v>
      </c>
      <c r="E188" s="2" t="s">
        <v>2314</v>
      </c>
      <c r="F188" s="2" t="str">
        <f>IFERROR(INDEX(Vendor_ID_Map!$B$2:$B$229,MATCH(B188,Vendor_ID_Map!$A$2:$A$229,0)),"UNMAPPED")</f>
        <v>V1172</v>
      </c>
      <c r="G188" s="2" t="str">
        <f>IFERROR(INDEX(Vendor_Master_Golden!$B$2:$B$208,MATCH(F188,Vendor_Master_Golden!$A$2:$A$208,0)),"-")</f>
        <v>Sunrise IT Services Limited</v>
      </c>
      <c r="H188" s="2" t="str">
        <f>IFERROR(INDEX(Vendor_Master_Golden!$K$2:$K$208,MATCH(F188,Vendor_Master_Golden!$A$2:$A$208,0)),"-")</f>
        <v>Active</v>
      </c>
      <c r="I188" s="2" t="str">
        <f t="shared" si="6"/>
        <v>OK</v>
      </c>
      <c r="J188" s="2">
        <f>COUNTIFS($B$2:B188,B188,$A$2:A188,A188,$D$2:D188,D188)</f>
        <v>1</v>
      </c>
      <c r="K188" s="2">
        <f>COUNTIFS($F$2:F188,F188,$A$2:A188,A188,$D$2:D188,D188)</f>
        <v>1</v>
      </c>
      <c r="L188" s="2" t="str">
        <f t="shared" si="7"/>
        <v>Unique</v>
      </c>
      <c r="M188" s="2" t="str">
        <f t="shared" si="8"/>
        <v>No</v>
      </c>
    </row>
    <row r="189" spans="1:13" x14ac:dyDescent="0.35">
      <c r="A189" s="2" t="s">
        <v>2576</v>
      </c>
      <c r="B189" s="2" t="s">
        <v>887</v>
      </c>
      <c r="C189" s="2" t="s">
        <v>2577</v>
      </c>
      <c r="D189" s="16">
        <v>438400</v>
      </c>
      <c r="E189" s="2" t="s">
        <v>2314</v>
      </c>
      <c r="F189" s="2" t="str">
        <f>IFERROR(INDEX(Vendor_ID_Map!$B$2:$B$229,MATCH(B189,Vendor_ID_Map!$A$2:$A$229,0)),"UNMAPPED")</f>
        <v>V1147</v>
      </c>
      <c r="G189" s="2" t="str">
        <f>IFERROR(INDEX(Vendor_Master_Golden!$B$2:$B$208,MATCH(F189,Vendor_Master_Golden!$A$2:$A$208,0)),"-")</f>
        <v>Pinnacle Pest Control Private Limited</v>
      </c>
      <c r="H189" s="2" t="str">
        <f>IFERROR(INDEX(Vendor_Master_Golden!$K$2:$K$208,MATCH(F189,Vendor_Master_Golden!$A$2:$A$208,0)),"-")</f>
        <v>Active</v>
      </c>
      <c r="I189" s="2" t="str">
        <f t="shared" si="6"/>
        <v>OK</v>
      </c>
      <c r="J189" s="2">
        <f>COUNTIFS($B$2:B189,B189,$A$2:A189,A189,$D$2:D189,D189)</f>
        <v>1</v>
      </c>
      <c r="K189" s="2">
        <f>COUNTIFS($F$2:F189,F189,$A$2:A189,A189,$D$2:D189,D189)</f>
        <v>1</v>
      </c>
      <c r="L189" s="2" t="str">
        <f t="shared" si="7"/>
        <v>Unique</v>
      </c>
      <c r="M189" s="2" t="str">
        <f t="shared" si="8"/>
        <v>No</v>
      </c>
    </row>
    <row r="190" spans="1:13" x14ac:dyDescent="0.35">
      <c r="A190" s="2" t="s">
        <v>2578</v>
      </c>
      <c r="B190" s="2" t="s">
        <v>342</v>
      </c>
      <c r="C190" s="2" t="s">
        <v>2577</v>
      </c>
      <c r="D190" s="16">
        <v>41400</v>
      </c>
      <c r="E190" s="2" t="s">
        <v>2316</v>
      </c>
      <c r="F190" s="2" t="str">
        <f>IFERROR(INDEX(Vendor_ID_Map!$B$2:$B$229,MATCH(B190,Vendor_ID_Map!$A$2:$A$229,0)),"UNMAPPED")</f>
        <v>V1197</v>
      </c>
      <c r="G190" s="2" t="str">
        <f>IFERROR(INDEX(Vendor_Master_Golden!$B$2:$B$208,MATCH(F190,Vendor_Master_Golden!$A$2:$A$208,0)),"-")</f>
        <v>Lotus Electricals LLP</v>
      </c>
      <c r="H190" s="2" t="str">
        <f>IFERROR(INDEX(Vendor_Master_Golden!$K$2:$K$208,MATCH(F190,Vendor_Master_Golden!$A$2:$A$208,0)),"-")</f>
        <v>Active</v>
      </c>
      <c r="I190" s="2" t="str">
        <f t="shared" si="6"/>
        <v>OK</v>
      </c>
      <c r="J190" s="2">
        <f>COUNTIFS($B$2:B190,B190,$A$2:A190,A190,$D$2:D190,D190)</f>
        <v>1</v>
      </c>
      <c r="K190" s="2">
        <f>COUNTIFS($F$2:F190,F190,$A$2:A190,A190,$D$2:D190,D190)</f>
        <v>1</v>
      </c>
      <c r="L190" s="2" t="str">
        <f t="shared" si="7"/>
        <v>Unique</v>
      </c>
      <c r="M190" s="2" t="str">
        <f t="shared" si="8"/>
        <v>No</v>
      </c>
    </row>
    <row r="191" spans="1:13" x14ac:dyDescent="0.35">
      <c r="A191" s="2" t="s">
        <v>2579</v>
      </c>
      <c r="B191" s="2" t="s">
        <v>701</v>
      </c>
      <c r="C191" s="2" t="s">
        <v>2577</v>
      </c>
      <c r="D191" s="16">
        <v>58300</v>
      </c>
      <c r="E191" s="2" t="s">
        <v>2314</v>
      </c>
      <c r="F191" s="2" t="str">
        <f>IFERROR(INDEX(Vendor_ID_Map!$B$2:$B$229,MATCH(B191,Vendor_ID_Map!$A$2:$A$229,0)),"UNMAPPED")</f>
        <v>V1115</v>
      </c>
      <c r="G191" s="2" t="str">
        <f>IFERROR(INDEX(Vendor_Master_Golden!$B$2:$B$208,MATCH(F191,Vendor_Master_Golden!$A$2:$A$208,0)),"-")</f>
        <v>Jupiter Facility Services Private Limited</v>
      </c>
      <c r="H191" s="2" t="str">
        <f>IFERROR(INDEX(Vendor_Master_Golden!$K$2:$K$208,MATCH(F191,Vendor_Master_Golden!$A$2:$A$208,0)),"-")</f>
        <v>Inactive</v>
      </c>
      <c r="I191" s="2" t="str">
        <f t="shared" si="6"/>
        <v>Inactive Vendor</v>
      </c>
      <c r="J191" s="2">
        <f>COUNTIFS($B$2:B191,B191,$A$2:A191,A191,$D$2:D191,D191)</f>
        <v>1</v>
      </c>
      <c r="K191" s="2">
        <f>COUNTIFS($F$2:F191,F191,$A$2:A191,A191,$D$2:D191,D191)</f>
        <v>1</v>
      </c>
      <c r="L191" s="2" t="str">
        <f t="shared" si="7"/>
        <v>Unique</v>
      </c>
      <c r="M191" s="2" t="str">
        <f t="shared" si="8"/>
        <v>No</v>
      </c>
    </row>
    <row r="192" spans="1:13" x14ac:dyDescent="0.35">
      <c r="A192" s="2" t="s">
        <v>2580</v>
      </c>
      <c r="B192" s="2" t="s">
        <v>760</v>
      </c>
      <c r="C192" s="2" t="s">
        <v>2577</v>
      </c>
      <c r="D192" s="16">
        <v>59500</v>
      </c>
      <c r="E192" s="2" t="s">
        <v>2314</v>
      </c>
      <c r="F192" s="2" t="str">
        <f>IFERROR(INDEX(Vendor_ID_Map!$B$2:$B$229,MATCH(B192,Vendor_ID_Map!$A$2:$A$229,0)),"UNMAPPED")</f>
        <v>V1061</v>
      </c>
      <c r="G192" s="2" t="str">
        <f>IFERROR(INDEX(Vendor_Master_Golden!$B$2:$B$208,MATCH(F192,Vendor_Master_Golden!$A$2:$A$208,0)),"-")</f>
        <v>Western Landscaping LLP</v>
      </c>
      <c r="H192" s="2" t="str">
        <f>IFERROR(INDEX(Vendor_Master_Golden!$K$2:$K$208,MATCH(F192,Vendor_Master_Golden!$A$2:$A$208,0)),"-")</f>
        <v>Active</v>
      </c>
      <c r="I192" s="2" t="str">
        <f t="shared" si="6"/>
        <v>OK</v>
      </c>
      <c r="J192" s="2">
        <f>COUNTIFS($B$2:B192,B192,$A$2:A192,A192,$D$2:D192,D192)</f>
        <v>1</v>
      </c>
      <c r="K192" s="2">
        <f>COUNTIFS($F$2:F192,F192,$A$2:A192,A192,$D$2:D192,D192)</f>
        <v>1</v>
      </c>
      <c r="L192" s="2" t="str">
        <f t="shared" si="7"/>
        <v>Unique</v>
      </c>
      <c r="M192" s="2" t="str">
        <f t="shared" si="8"/>
        <v>No</v>
      </c>
    </row>
    <row r="193" spans="1:13" x14ac:dyDescent="0.35">
      <c r="A193" s="2" t="s">
        <v>2581</v>
      </c>
      <c r="B193" s="2" t="s">
        <v>651</v>
      </c>
      <c r="C193" s="2" t="s">
        <v>2577</v>
      </c>
      <c r="D193" s="16">
        <v>80900</v>
      </c>
      <c r="E193" s="2" t="s">
        <v>2314</v>
      </c>
      <c r="F193" s="2" t="str">
        <f>IFERROR(INDEX(Vendor_ID_Map!$B$2:$B$229,MATCH(B193,Vendor_ID_Map!$A$2:$A$229,0)),"UNMAPPED")</f>
        <v>V1227</v>
      </c>
      <c r="G193" s="2" t="str">
        <f>IFERROR(INDEX(Vendor_Master_Golden!$B$2:$B$208,MATCH(F193,Vendor_Master_Golden!$A$2:$A$208,0)),"-")</f>
        <v>Pinnacle Engneering Works Private Limited</v>
      </c>
      <c r="H193" s="2" t="str">
        <f>IFERROR(INDEX(Vendor_Master_Golden!$K$2:$K$208,MATCH(F193,Vendor_Master_Golden!$A$2:$A$208,0)),"-")</f>
        <v>Active</v>
      </c>
      <c r="I193" s="2" t="str">
        <f t="shared" si="6"/>
        <v>OK</v>
      </c>
      <c r="J193" s="2">
        <f>COUNTIFS($B$2:B193,B193,$A$2:A193,A193,$D$2:D193,D193)</f>
        <v>1</v>
      </c>
      <c r="K193" s="2">
        <f>COUNTIFS($F$2:F193,F193,$A$2:A193,A193,$D$2:D193,D193)</f>
        <v>1</v>
      </c>
      <c r="L193" s="2" t="str">
        <f t="shared" si="7"/>
        <v>Unique</v>
      </c>
      <c r="M193" s="2" t="str">
        <f t="shared" si="8"/>
        <v>No</v>
      </c>
    </row>
    <row r="194" spans="1:13" x14ac:dyDescent="0.35">
      <c r="A194" s="2" t="s">
        <v>2582</v>
      </c>
      <c r="B194" s="2" t="s">
        <v>1515</v>
      </c>
      <c r="C194" s="2" t="s">
        <v>2583</v>
      </c>
      <c r="D194" s="16">
        <v>227600</v>
      </c>
      <c r="E194" s="2" t="s">
        <v>2314</v>
      </c>
      <c r="F194" s="2" t="str">
        <f>IFERROR(INDEX(Vendor_ID_Map!$B$2:$B$229,MATCH(B194,Vendor_ID_Map!$A$2:$A$229,0)),"UNMAPPED")</f>
        <v>V1223</v>
      </c>
      <c r="G194" s="2" t="str">
        <f>IFERROR(INDEX(Vendor_Master_Golden!$B$2:$B$208,MATCH(F194,Vendor_Master_Golden!$A$2:$A$208,0)),"-")</f>
        <v>Orchid Elec. Limited</v>
      </c>
      <c r="H194" s="2" t="str">
        <f>IFERROR(INDEX(Vendor_Master_Golden!$K$2:$K$208,MATCH(F194,Vendor_Master_Golden!$A$2:$A$208,0)),"-")</f>
        <v>Active</v>
      </c>
      <c r="I194" s="2" t="str">
        <f t="shared" ref="I194:I257" si="9">IF(F194="UNMAPPED","Orphan Vendor ID",IF(H194="Inactive","Inactive Vendor","OK"))</f>
        <v>OK</v>
      </c>
      <c r="J194" s="2">
        <f>COUNTIFS($B$2:B194,B194,$A$2:A194,A194,$D$2:D194,D194)</f>
        <v>1</v>
      </c>
      <c r="K194" s="2">
        <f>COUNTIFS($F$2:F194,F194,$A$2:A194,A194,$D$2:D194,D194)</f>
        <v>1</v>
      </c>
      <c r="L194" s="2" t="str">
        <f t="shared" ref="L194:L257" si="10">IF(K194&gt;1,"Duplicate","Unique")</f>
        <v>Unique</v>
      </c>
      <c r="M194" s="2" t="str">
        <f t="shared" ref="M194:M257" si="11">IF(AND(K194&gt;1,J194=1),"Yes","No")</f>
        <v>No</v>
      </c>
    </row>
    <row r="195" spans="1:13" x14ac:dyDescent="0.35">
      <c r="A195" s="2" t="s">
        <v>2584</v>
      </c>
      <c r="B195" s="2" t="s">
        <v>939</v>
      </c>
      <c r="C195" s="2" t="s">
        <v>2585</v>
      </c>
      <c r="D195" s="16">
        <v>86600</v>
      </c>
      <c r="E195" s="2" t="s">
        <v>2314</v>
      </c>
      <c r="F195" s="2" t="str">
        <f>IFERROR(INDEX(Vendor_ID_Map!$B$2:$B$229,MATCH(B195,Vendor_ID_Map!$A$2:$A$229,0)),"UNMAPPED")</f>
        <v>V1222</v>
      </c>
      <c r="G195" s="2" t="str">
        <f>IFERROR(INDEX(Vendor_Master_Golden!$B$2:$B$208,MATCH(F195,Vendor_Master_Golden!$A$2:$A$208,0)),"-")</f>
        <v>Metro Engg Works LLP</v>
      </c>
      <c r="H195" s="2" t="str">
        <f>IFERROR(INDEX(Vendor_Master_Golden!$K$2:$K$208,MATCH(F195,Vendor_Master_Golden!$A$2:$A$208,0)),"-")</f>
        <v>Active</v>
      </c>
      <c r="I195" s="2" t="str">
        <f t="shared" si="9"/>
        <v>OK</v>
      </c>
      <c r="J195" s="2">
        <f>COUNTIFS($B$2:B195,B195,$A$2:A195,A195,$D$2:D195,D195)</f>
        <v>1</v>
      </c>
      <c r="K195" s="2">
        <f>COUNTIFS($F$2:F195,F195,$A$2:A195,A195,$D$2:D195,D195)</f>
        <v>1</v>
      </c>
      <c r="L195" s="2" t="str">
        <f t="shared" si="10"/>
        <v>Unique</v>
      </c>
      <c r="M195" s="2" t="str">
        <f t="shared" si="11"/>
        <v>No</v>
      </c>
    </row>
    <row r="196" spans="1:13" x14ac:dyDescent="0.35">
      <c r="A196" s="2" t="s">
        <v>2586</v>
      </c>
      <c r="B196" s="2" t="s">
        <v>2566</v>
      </c>
      <c r="C196" s="2" t="s">
        <v>2587</v>
      </c>
      <c r="D196" s="16">
        <v>94900</v>
      </c>
      <c r="E196" s="2" t="s">
        <v>2314</v>
      </c>
      <c r="F196" s="2" t="str">
        <f>IFERROR(INDEX(Vendor_ID_Map!$B$2:$B$229,MATCH(B196,Vendor_ID_Map!$A$2:$A$229,0)),"UNMAPPED")</f>
        <v>UNMAPPED</v>
      </c>
      <c r="G196" s="2" t="str">
        <f>IFERROR(INDEX(Vendor_Master_Golden!$B$2:$B$208,MATCH(F196,Vendor_Master_Golden!$A$2:$A$208,0)),"-")</f>
        <v>-</v>
      </c>
      <c r="H196" s="2" t="str">
        <f>IFERROR(INDEX(Vendor_Master_Golden!$K$2:$K$208,MATCH(F196,Vendor_Master_Golden!$A$2:$A$208,0)),"-")</f>
        <v>-</v>
      </c>
      <c r="I196" s="2" t="str">
        <f t="shared" si="9"/>
        <v>Orphan Vendor ID</v>
      </c>
      <c r="J196" s="2">
        <f>COUNTIFS($B$2:B196,B196,$A$2:A196,A196,$D$2:D196,D196)</f>
        <v>1</v>
      </c>
      <c r="K196" s="2">
        <f>COUNTIFS($F$2:F196,F196,$A$2:A196,A196,$D$2:D196,D196)</f>
        <v>1</v>
      </c>
      <c r="L196" s="2" t="str">
        <f t="shared" si="10"/>
        <v>Unique</v>
      </c>
      <c r="M196" s="2" t="str">
        <f t="shared" si="11"/>
        <v>No</v>
      </c>
    </row>
    <row r="197" spans="1:13" x14ac:dyDescent="0.35">
      <c r="A197" s="2" t="s">
        <v>2588</v>
      </c>
      <c r="B197" s="2" t="s">
        <v>1612</v>
      </c>
      <c r="C197" s="2" t="s">
        <v>2587</v>
      </c>
      <c r="D197" s="16">
        <v>56300</v>
      </c>
      <c r="E197" s="2" t="s">
        <v>2314</v>
      </c>
      <c r="F197" s="2" t="str">
        <f>IFERROR(INDEX(Vendor_ID_Map!$B$2:$B$229,MATCH(B197,Vendor_ID_Map!$A$2:$A$229,0)),"UNMAPPED")</f>
        <v>V1228</v>
      </c>
      <c r="G197" s="2" t="str">
        <f>IFERROR(INDEX(Vendor_Master_Golden!$B$2:$B$208,MATCH(F197,Vendor_Master_Golden!$A$2:$A$208,0)),"-")</f>
        <v>Falcon Staioners Private Limited</v>
      </c>
      <c r="H197" s="2" t="str">
        <f>IFERROR(INDEX(Vendor_Master_Golden!$K$2:$K$208,MATCH(F197,Vendor_Master_Golden!$A$2:$A$208,0)),"-")</f>
        <v>Inactive</v>
      </c>
      <c r="I197" s="2" t="str">
        <f t="shared" si="9"/>
        <v>Inactive Vendor</v>
      </c>
      <c r="J197" s="2">
        <f>COUNTIFS($B$2:B197,B197,$A$2:A197,A197,$D$2:D197,D197)</f>
        <v>1</v>
      </c>
      <c r="K197" s="2">
        <f>COUNTIFS($F$2:F197,F197,$A$2:A197,A197,$D$2:D197,D197)</f>
        <v>1</v>
      </c>
      <c r="L197" s="2" t="str">
        <f t="shared" si="10"/>
        <v>Unique</v>
      </c>
      <c r="M197" s="2" t="str">
        <f t="shared" si="11"/>
        <v>No</v>
      </c>
    </row>
    <row r="198" spans="1:13" x14ac:dyDescent="0.35">
      <c r="A198" s="2" t="s">
        <v>2589</v>
      </c>
      <c r="B198" s="2" t="s">
        <v>1870</v>
      </c>
      <c r="C198" s="2" t="s">
        <v>2590</v>
      </c>
      <c r="D198" s="16">
        <v>66400</v>
      </c>
      <c r="E198" s="2" t="s">
        <v>2314</v>
      </c>
      <c r="F198" s="2" t="str">
        <f>IFERROR(INDEX(Vendor_ID_Map!$B$2:$B$229,MATCH(B198,Vendor_ID_Map!$A$2:$A$229,0)),"UNMAPPED")</f>
        <v>V1226</v>
      </c>
      <c r="G198" s="2" t="str">
        <f>IFERROR(INDEX(Vendor_Master_Golden!$B$2:$B$208,MATCH(F198,Vendor_Master_Golden!$A$2:$A$208,0)),"-")</f>
        <v>Bluewave Secrity Solutions Private Limited</v>
      </c>
      <c r="H198" s="2" t="str">
        <f>IFERROR(INDEX(Vendor_Master_Golden!$K$2:$K$208,MATCH(F198,Vendor_Master_Golden!$A$2:$A$208,0)),"-")</f>
        <v>Active</v>
      </c>
      <c r="I198" s="2" t="str">
        <f t="shared" si="9"/>
        <v>OK</v>
      </c>
      <c r="J198" s="2">
        <f>COUNTIFS($B$2:B198,B198,$A$2:A198,A198,$D$2:D198,D198)</f>
        <v>1</v>
      </c>
      <c r="K198" s="2">
        <f>COUNTIFS($F$2:F198,F198,$A$2:A198,A198,$D$2:D198,D198)</f>
        <v>1</v>
      </c>
      <c r="L198" s="2" t="str">
        <f t="shared" si="10"/>
        <v>Unique</v>
      </c>
      <c r="M198" s="2" t="str">
        <f t="shared" si="11"/>
        <v>No</v>
      </c>
    </row>
    <row r="199" spans="1:13" x14ac:dyDescent="0.35">
      <c r="A199" s="2" t="s">
        <v>2591</v>
      </c>
      <c r="B199" s="2" t="s">
        <v>820</v>
      </c>
      <c r="C199" s="2" t="s">
        <v>2592</v>
      </c>
      <c r="D199" s="16">
        <v>35000</v>
      </c>
      <c r="E199" s="2" t="s">
        <v>2316</v>
      </c>
      <c r="F199" s="2" t="str">
        <f>IFERROR(INDEX(Vendor_ID_Map!$B$2:$B$229,MATCH(B199,Vendor_ID_Map!$A$2:$A$229,0)),"UNMAPPED")</f>
        <v>V1184</v>
      </c>
      <c r="G199" s="2" t="str">
        <f>IFERROR(INDEX(Vendor_Master_Golden!$B$2:$B$208,MATCH(F199,Vendor_Master_Golden!$A$2:$A$208,0)),"-")</f>
        <v>Bluewave Housekeeping Limited</v>
      </c>
      <c r="H199" s="2" t="str">
        <f>IFERROR(INDEX(Vendor_Master_Golden!$K$2:$K$208,MATCH(F199,Vendor_Master_Golden!$A$2:$A$208,0)),"-")</f>
        <v>Active</v>
      </c>
      <c r="I199" s="2" t="str">
        <f t="shared" si="9"/>
        <v>OK</v>
      </c>
      <c r="J199" s="2">
        <f>COUNTIFS($B$2:B199,B199,$A$2:A199,A199,$D$2:D199,D199)</f>
        <v>1</v>
      </c>
      <c r="K199" s="2">
        <f>COUNTIFS($F$2:F199,F199,$A$2:A199,A199,$D$2:D199,D199)</f>
        <v>1</v>
      </c>
      <c r="L199" s="2" t="str">
        <f t="shared" si="10"/>
        <v>Unique</v>
      </c>
      <c r="M199" s="2" t="str">
        <f t="shared" si="11"/>
        <v>No</v>
      </c>
    </row>
    <row r="200" spans="1:13" x14ac:dyDescent="0.35">
      <c r="A200" s="2" t="s">
        <v>2593</v>
      </c>
      <c r="B200" s="2" t="s">
        <v>1070</v>
      </c>
      <c r="C200" s="2" t="s">
        <v>2592</v>
      </c>
      <c r="D200" s="16">
        <v>109700</v>
      </c>
      <c r="E200" s="2" t="s">
        <v>2316</v>
      </c>
      <c r="F200" s="2" t="str">
        <f>IFERROR(INDEX(Vendor_ID_Map!$B$2:$B$229,MATCH(B200,Vendor_ID_Map!$A$2:$A$229,0)),"UNMAPPED")</f>
        <v>V1169</v>
      </c>
      <c r="G200" s="2" t="str">
        <f>IFERROR(INDEX(Vendor_Master_Golden!$B$2:$B$208,MATCH(F200,Vendor_Master_Golden!$A$2:$A$208,0)),"-")</f>
        <v>Quantum Facility Services Private Limited</v>
      </c>
      <c r="H200" s="2" t="str">
        <f>IFERROR(INDEX(Vendor_Master_Golden!$K$2:$K$208,MATCH(F200,Vendor_Master_Golden!$A$2:$A$208,0)),"-")</f>
        <v>Active</v>
      </c>
      <c r="I200" s="2" t="str">
        <f t="shared" si="9"/>
        <v>OK</v>
      </c>
      <c r="J200" s="2">
        <f>COUNTIFS($B$2:B200,B200,$A$2:A200,A200,$D$2:D200,D200)</f>
        <v>1</v>
      </c>
      <c r="K200" s="2">
        <f>COUNTIFS($F$2:F200,F200,$A$2:A200,A200,$D$2:D200,D200)</f>
        <v>1</v>
      </c>
      <c r="L200" s="2" t="str">
        <f t="shared" si="10"/>
        <v>Unique</v>
      </c>
      <c r="M200" s="2" t="str">
        <f t="shared" si="11"/>
        <v>No</v>
      </c>
    </row>
    <row r="201" spans="1:13" x14ac:dyDescent="0.35">
      <c r="A201" s="2" t="s">
        <v>2594</v>
      </c>
      <c r="B201" s="2" t="s">
        <v>1770</v>
      </c>
      <c r="C201" s="2" t="s">
        <v>2592</v>
      </c>
      <c r="D201" s="16">
        <v>101400</v>
      </c>
      <c r="E201" s="2" t="s">
        <v>2314</v>
      </c>
      <c r="F201" s="2" t="str">
        <f>IFERROR(INDEX(Vendor_ID_Map!$B$2:$B$229,MATCH(B201,Vendor_ID_Map!$A$2:$A$229,0)),"UNMAPPED")</f>
        <v>V1059</v>
      </c>
      <c r="G201" s="2" t="str">
        <f>IFERROR(INDEX(Vendor_Master_Golden!$B$2:$B$208,MATCH(F201,Vendor_Master_Golden!$A$2:$A$208,0)),"-")</f>
        <v>Unity Security Solutions LLP</v>
      </c>
      <c r="H201" s="2" t="str">
        <f>IFERROR(INDEX(Vendor_Master_Golden!$K$2:$K$208,MATCH(F201,Vendor_Master_Golden!$A$2:$A$208,0)),"-")</f>
        <v>Active</v>
      </c>
      <c r="I201" s="2" t="str">
        <f t="shared" si="9"/>
        <v>OK</v>
      </c>
      <c r="J201" s="2">
        <f>COUNTIFS($B$2:B201,B201,$A$2:A201,A201,$D$2:D201,D201)</f>
        <v>1</v>
      </c>
      <c r="K201" s="2">
        <f>COUNTIFS($F$2:F201,F201,$A$2:A201,A201,$D$2:D201,D201)</f>
        <v>1</v>
      </c>
      <c r="L201" s="2" t="str">
        <f t="shared" si="10"/>
        <v>Unique</v>
      </c>
      <c r="M201" s="2" t="str">
        <f t="shared" si="11"/>
        <v>No</v>
      </c>
    </row>
    <row r="202" spans="1:13" x14ac:dyDescent="0.35">
      <c r="A202" s="2" t="s">
        <v>2595</v>
      </c>
      <c r="B202" s="2" t="s">
        <v>422</v>
      </c>
      <c r="C202" s="2" t="s">
        <v>2592</v>
      </c>
      <c r="D202" s="16">
        <v>110600</v>
      </c>
      <c r="E202" s="2" t="s">
        <v>2314</v>
      </c>
      <c r="F202" s="2" t="str">
        <f>IFERROR(INDEX(Vendor_ID_Map!$B$2:$B$229,MATCH(B202,Vendor_ID_Map!$A$2:$A$229,0)),"UNMAPPED")</f>
        <v>V1127</v>
      </c>
      <c r="G202" s="2" t="str">
        <f>IFERROR(INDEX(Vendor_Master_Golden!$B$2:$B$208,MATCH(F202,Vendor_Master_Golden!$A$2:$A$208,0)),"-")</f>
        <v>Sunrise Facility Services Private Limited</v>
      </c>
      <c r="H202" s="2" t="str">
        <f>IFERROR(INDEX(Vendor_Master_Golden!$K$2:$K$208,MATCH(F202,Vendor_Master_Golden!$A$2:$A$208,0)),"-")</f>
        <v>Active</v>
      </c>
      <c r="I202" s="2" t="str">
        <f t="shared" si="9"/>
        <v>OK</v>
      </c>
      <c r="J202" s="2">
        <f>COUNTIFS($B$2:B202,B202,$A$2:A202,A202,$D$2:D202,D202)</f>
        <v>1</v>
      </c>
      <c r="K202" s="2">
        <f>COUNTIFS($F$2:F202,F202,$A$2:A202,A202,$D$2:D202,D202)</f>
        <v>1</v>
      </c>
      <c r="L202" s="2" t="str">
        <f t="shared" si="10"/>
        <v>Unique</v>
      </c>
      <c r="M202" s="2" t="str">
        <f t="shared" si="11"/>
        <v>No</v>
      </c>
    </row>
    <row r="203" spans="1:13" x14ac:dyDescent="0.35">
      <c r="A203" s="2" t="s">
        <v>2596</v>
      </c>
      <c r="B203" s="2" t="s">
        <v>1719</v>
      </c>
      <c r="C203" s="2" t="s">
        <v>2597</v>
      </c>
      <c r="D203" s="16">
        <v>30100</v>
      </c>
      <c r="E203" s="2" t="s">
        <v>2316</v>
      </c>
      <c r="F203" s="2" t="str">
        <f>IFERROR(INDEX(Vendor_ID_Map!$B$2:$B$229,MATCH(B203,Vendor_ID_Map!$A$2:$A$229,0)),"UNMAPPED")</f>
        <v>V1207</v>
      </c>
      <c r="G203" s="2" t="str">
        <f>IFERROR(INDEX(Vendor_Master_Golden!$B$2:$B$208,MATCH(F203,Vendor_Master_Golden!$A$2:$A$208,0)),"-")</f>
        <v>Horizon Housekeeping Pvt Ltd</v>
      </c>
      <c r="H203" s="2" t="str">
        <f>IFERROR(INDEX(Vendor_Master_Golden!$K$2:$K$208,MATCH(F203,Vendor_Master_Golden!$A$2:$A$208,0)),"-")</f>
        <v>Active</v>
      </c>
      <c r="I203" s="2" t="str">
        <f t="shared" si="9"/>
        <v>OK</v>
      </c>
      <c r="J203" s="2">
        <f>COUNTIFS($B$2:B203,B203,$A$2:A203,A203,$D$2:D203,D203)</f>
        <v>1</v>
      </c>
      <c r="K203" s="2">
        <f>COUNTIFS($F$2:F203,F203,$A$2:A203,A203,$D$2:D203,D203)</f>
        <v>1</v>
      </c>
      <c r="L203" s="2" t="str">
        <f t="shared" si="10"/>
        <v>Unique</v>
      </c>
      <c r="M203" s="2" t="str">
        <f t="shared" si="11"/>
        <v>No</v>
      </c>
    </row>
    <row r="204" spans="1:13" x14ac:dyDescent="0.35">
      <c r="A204" s="2" t="s">
        <v>2598</v>
      </c>
      <c r="B204" s="2" t="s">
        <v>333</v>
      </c>
      <c r="C204" s="2" t="s">
        <v>2597</v>
      </c>
      <c r="D204" s="16">
        <v>66300</v>
      </c>
      <c r="E204" s="2" t="s">
        <v>2314</v>
      </c>
      <c r="F204" s="2" t="str">
        <f>IFERROR(INDEX(Vendor_ID_Map!$B$2:$B$229,MATCH(B204,Vendor_ID_Map!$A$2:$A$229,0)),"UNMAPPED")</f>
        <v>V1095</v>
      </c>
      <c r="G204" s="2" t="str">
        <f>IFERROR(INDEX(Vendor_Master_Golden!$B$2:$B$208,MATCH(F204,Vendor_Master_Golden!$A$2:$A$208,0)),"-")</f>
        <v>Unity Logistics LLP</v>
      </c>
      <c r="H204" s="2" t="str">
        <f>IFERROR(INDEX(Vendor_Master_Golden!$K$2:$K$208,MATCH(F204,Vendor_Master_Golden!$A$2:$A$208,0)),"-")</f>
        <v>Active</v>
      </c>
      <c r="I204" s="2" t="str">
        <f t="shared" si="9"/>
        <v>OK</v>
      </c>
      <c r="J204" s="2">
        <f>COUNTIFS($B$2:B204,B204,$A$2:A204,A204,$D$2:D204,D204)</f>
        <v>1</v>
      </c>
      <c r="K204" s="2">
        <f>COUNTIFS($F$2:F204,F204,$A$2:A204,A204,$D$2:D204,D204)</f>
        <v>1</v>
      </c>
      <c r="L204" s="2" t="str">
        <f t="shared" si="10"/>
        <v>Unique</v>
      </c>
      <c r="M204" s="2" t="str">
        <f t="shared" si="11"/>
        <v>No</v>
      </c>
    </row>
    <row r="205" spans="1:13" x14ac:dyDescent="0.35">
      <c r="A205" s="2" t="s">
        <v>2599</v>
      </c>
      <c r="B205" s="2" t="s">
        <v>1248</v>
      </c>
      <c r="C205" s="2" t="s">
        <v>2597</v>
      </c>
      <c r="D205" s="16">
        <v>23300</v>
      </c>
      <c r="E205" s="2" t="s">
        <v>2314</v>
      </c>
      <c r="F205" s="2" t="str">
        <f>IFERROR(INDEX(Vendor_ID_Map!$B$2:$B$229,MATCH(B205,Vendor_ID_Map!$A$2:$A$229,0)),"UNMAPPED")</f>
        <v>V1088</v>
      </c>
      <c r="G205" s="2" t="str">
        <f>IFERROR(INDEX(Vendor_Master_Golden!$B$2:$B$208,MATCH(F205,Vendor_Master_Golden!$A$2:$A$208,0)),"-")</f>
        <v>Greenfield Housekeeping Pvt Ltd</v>
      </c>
      <c r="H205" s="2" t="str">
        <f>IFERROR(INDEX(Vendor_Master_Golden!$K$2:$K$208,MATCH(F205,Vendor_Master_Golden!$A$2:$A$208,0)),"-")</f>
        <v>Active</v>
      </c>
      <c r="I205" s="2" t="str">
        <f t="shared" si="9"/>
        <v>OK</v>
      </c>
      <c r="J205" s="2">
        <f>COUNTIFS($B$2:B205,B205,$A$2:A205,A205,$D$2:D205,D205)</f>
        <v>1</v>
      </c>
      <c r="K205" s="2">
        <f>COUNTIFS($F$2:F205,F205,$A$2:A205,A205,$D$2:D205,D205)</f>
        <v>1</v>
      </c>
      <c r="L205" s="2" t="str">
        <f t="shared" si="10"/>
        <v>Unique</v>
      </c>
      <c r="M205" s="2" t="str">
        <f t="shared" si="11"/>
        <v>No</v>
      </c>
    </row>
    <row r="206" spans="1:13" x14ac:dyDescent="0.35">
      <c r="A206" s="2" t="s">
        <v>2600</v>
      </c>
      <c r="B206" s="2" t="s">
        <v>361</v>
      </c>
      <c r="C206" s="2" t="s">
        <v>2601</v>
      </c>
      <c r="D206" s="16">
        <v>185200</v>
      </c>
      <c r="E206" s="2" t="s">
        <v>2314</v>
      </c>
      <c r="F206" s="2" t="str">
        <f>IFERROR(INDEX(Vendor_ID_Map!$B$2:$B$229,MATCH(B206,Vendor_ID_Map!$A$2:$A$229,0)),"UNMAPPED")</f>
        <v>V1042</v>
      </c>
      <c r="G206" s="2" t="str">
        <f>IFERROR(INDEX(Vendor_Master_Golden!$B$2:$B$208,MATCH(F206,Vendor_Master_Golden!$A$2:$A$208,0)),"-")</f>
        <v>Falcon IT Services Private Limited</v>
      </c>
      <c r="H206" s="2" t="str">
        <f>IFERROR(INDEX(Vendor_Master_Golden!$K$2:$K$208,MATCH(F206,Vendor_Master_Golden!$A$2:$A$208,0)),"-")</f>
        <v>Active</v>
      </c>
      <c r="I206" s="2" t="str">
        <f t="shared" si="9"/>
        <v>OK</v>
      </c>
      <c r="J206" s="2">
        <f>COUNTIFS($B$2:B206,B206,$A$2:A206,A206,$D$2:D206,D206)</f>
        <v>1</v>
      </c>
      <c r="K206" s="2">
        <f>COUNTIFS($F$2:F206,F206,$A$2:A206,A206,$D$2:D206,D206)</f>
        <v>1</v>
      </c>
      <c r="L206" s="2" t="str">
        <f t="shared" si="10"/>
        <v>Unique</v>
      </c>
      <c r="M206" s="2" t="str">
        <f t="shared" si="11"/>
        <v>No</v>
      </c>
    </row>
    <row r="207" spans="1:13" x14ac:dyDescent="0.35">
      <c r="A207" s="2" t="s">
        <v>2602</v>
      </c>
      <c r="B207" s="2" t="s">
        <v>291</v>
      </c>
      <c r="C207" s="2" t="s">
        <v>2601</v>
      </c>
      <c r="D207" s="16">
        <v>154000</v>
      </c>
      <c r="E207" s="2" t="s">
        <v>2316</v>
      </c>
      <c r="F207" s="2" t="str">
        <f>IFERROR(INDEX(Vendor_ID_Map!$B$2:$B$229,MATCH(B207,Vendor_ID_Map!$A$2:$A$229,0)),"UNMAPPED")</f>
        <v>V1104</v>
      </c>
      <c r="G207" s="2" t="str">
        <f>IFERROR(INDEX(Vendor_Master_Golden!$B$2:$B$208,MATCH(F207,Vendor_Master_Golden!$A$2:$A$208,0)),"-")</f>
        <v>Crestline Logistics LLP</v>
      </c>
      <c r="H207" s="2" t="str">
        <f>IFERROR(INDEX(Vendor_Master_Golden!$K$2:$K$208,MATCH(F207,Vendor_Master_Golden!$A$2:$A$208,0)),"-")</f>
        <v>Inactive</v>
      </c>
      <c r="I207" s="2" t="str">
        <f t="shared" si="9"/>
        <v>Inactive Vendor</v>
      </c>
      <c r="J207" s="2">
        <f>COUNTIFS($B$2:B207,B207,$A$2:A207,A207,$D$2:D207,D207)</f>
        <v>1</v>
      </c>
      <c r="K207" s="2">
        <f>COUNTIFS($F$2:F207,F207,$A$2:A207,A207,$D$2:D207,D207)</f>
        <v>1</v>
      </c>
      <c r="L207" s="2" t="str">
        <f t="shared" si="10"/>
        <v>Unique</v>
      </c>
      <c r="M207" s="2" t="str">
        <f t="shared" si="11"/>
        <v>No</v>
      </c>
    </row>
    <row r="208" spans="1:13" x14ac:dyDescent="0.35">
      <c r="A208" s="2" t="s">
        <v>2603</v>
      </c>
      <c r="B208" s="2" t="s">
        <v>1413</v>
      </c>
      <c r="C208" s="2" t="s">
        <v>2601</v>
      </c>
      <c r="D208" s="16">
        <v>127200</v>
      </c>
      <c r="E208" s="2" t="s">
        <v>2314</v>
      </c>
      <c r="F208" s="2" t="str">
        <f>IFERROR(INDEX(Vendor_ID_Map!$B$2:$B$229,MATCH(B208,Vendor_ID_Map!$A$2:$A$229,0)),"UNMAPPED")</f>
        <v>V1053</v>
      </c>
      <c r="G208" s="2" t="str">
        <f>IFERROR(INDEX(Vendor_Master_Golden!$B$2:$B$208,MATCH(F208,Vendor_Master_Golden!$A$2:$A$208,0)),"-")</f>
        <v>Bluewave Power Systems LLP</v>
      </c>
      <c r="H208" s="2" t="str">
        <f>IFERROR(INDEX(Vendor_Master_Golden!$K$2:$K$208,MATCH(F208,Vendor_Master_Golden!$A$2:$A$208,0)),"-")</f>
        <v>Active</v>
      </c>
      <c r="I208" s="2" t="str">
        <f t="shared" si="9"/>
        <v>OK</v>
      </c>
      <c r="J208" s="2">
        <f>COUNTIFS($B$2:B208,B208,$A$2:A208,A208,$D$2:D208,D208)</f>
        <v>1</v>
      </c>
      <c r="K208" s="2">
        <f>COUNTIFS($F$2:F208,F208,$A$2:A208,A208,$D$2:D208,D208)</f>
        <v>1</v>
      </c>
      <c r="L208" s="2" t="str">
        <f t="shared" si="10"/>
        <v>Unique</v>
      </c>
      <c r="M208" s="2" t="str">
        <f t="shared" si="11"/>
        <v>No</v>
      </c>
    </row>
    <row r="209" spans="1:13" x14ac:dyDescent="0.35">
      <c r="A209" s="2" t="s">
        <v>2604</v>
      </c>
      <c r="B209" s="2" t="s">
        <v>1741</v>
      </c>
      <c r="C209" s="2" t="s">
        <v>2605</v>
      </c>
      <c r="D209" s="16">
        <v>53200</v>
      </c>
      <c r="E209" s="2" t="s">
        <v>2314</v>
      </c>
      <c r="F209" s="2" t="str">
        <f>IFERROR(INDEX(Vendor_ID_Map!$B$2:$B$229,MATCH(B209,Vendor_ID_Map!$A$2:$A$229,0)),"UNMAPPED")</f>
        <v>V1194</v>
      </c>
      <c r="G209" s="2" t="str">
        <f>IFERROR(INDEX(Vendor_Master_Golden!$B$2:$B$208,MATCH(F209,Vendor_Master_Golden!$A$2:$A$208,0)),"-")</f>
        <v>Evergreen Stationers LLP</v>
      </c>
      <c r="H209" s="2" t="str">
        <f>IFERROR(INDEX(Vendor_Master_Golden!$K$2:$K$208,MATCH(F209,Vendor_Master_Golden!$A$2:$A$208,0)),"-")</f>
        <v>Active</v>
      </c>
      <c r="I209" s="2" t="str">
        <f t="shared" si="9"/>
        <v>OK</v>
      </c>
      <c r="J209" s="2">
        <f>COUNTIFS($B$2:B209,B209,$A$2:A209,A209,$D$2:D209,D209)</f>
        <v>1</v>
      </c>
      <c r="K209" s="2">
        <f>COUNTIFS($F$2:F209,F209,$A$2:A209,A209,$D$2:D209,D209)</f>
        <v>1</v>
      </c>
      <c r="L209" s="2" t="str">
        <f t="shared" si="10"/>
        <v>Unique</v>
      </c>
      <c r="M209" s="2" t="str">
        <f t="shared" si="11"/>
        <v>No</v>
      </c>
    </row>
    <row r="210" spans="1:13" x14ac:dyDescent="0.35">
      <c r="A210" s="2" t="s">
        <v>2606</v>
      </c>
      <c r="B210" s="2" t="s">
        <v>440</v>
      </c>
      <c r="C210" s="2" t="s">
        <v>2605</v>
      </c>
      <c r="D210" s="16">
        <v>111200</v>
      </c>
      <c r="E210" s="2" t="s">
        <v>2314</v>
      </c>
      <c r="F210" s="2" t="str">
        <f>IFERROR(INDEX(Vendor_ID_Map!$B$2:$B$229,MATCH(B210,Vendor_ID_Map!$A$2:$A$229,0)),"UNMAPPED")</f>
        <v>V1006</v>
      </c>
      <c r="G210" s="2" t="str">
        <f>IFERROR(INDEX(Vendor_Master_Golden!$B$2:$B$208,MATCH(F210,Vendor_Master_Golden!$A$2:$A$208,0)),"-")</f>
        <v>Ironbridge Landscaping Limited</v>
      </c>
      <c r="H210" s="2" t="str">
        <f>IFERROR(INDEX(Vendor_Master_Golden!$K$2:$K$208,MATCH(F210,Vendor_Master_Golden!$A$2:$A$208,0)),"-")</f>
        <v>Inactive</v>
      </c>
      <c r="I210" s="2" t="str">
        <f t="shared" si="9"/>
        <v>Inactive Vendor</v>
      </c>
      <c r="J210" s="2">
        <f>COUNTIFS($B$2:B210,B210,$A$2:A210,A210,$D$2:D210,D210)</f>
        <v>1</v>
      </c>
      <c r="K210" s="2">
        <f>COUNTIFS($F$2:F210,F210,$A$2:A210,A210,$D$2:D210,D210)</f>
        <v>1</v>
      </c>
      <c r="L210" s="2" t="str">
        <f t="shared" si="10"/>
        <v>Unique</v>
      </c>
      <c r="M210" s="2" t="str">
        <f t="shared" si="11"/>
        <v>No</v>
      </c>
    </row>
    <row r="211" spans="1:13" x14ac:dyDescent="0.35">
      <c r="A211" s="2" t="s">
        <v>2596</v>
      </c>
      <c r="B211" s="2" t="s">
        <v>1551</v>
      </c>
      <c r="C211" s="2" t="s">
        <v>2607</v>
      </c>
      <c r="D211" s="16">
        <v>30100</v>
      </c>
      <c r="E211" s="2" t="s">
        <v>2316</v>
      </c>
      <c r="F211" s="2" t="str">
        <f>IFERROR(INDEX(Vendor_ID_Map!$B$2:$B$229,MATCH(B211,Vendor_ID_Map!$A$2:$A$229,0)),"UNMAPPED")</f>
        <v>V1207</v>
      </c>
      <c r="G211" s="2" t="str">
        <f>IFERROR(INDEX(Vendor_Master_Golden!$B$2:$B$208,MATCH(F211,Vendor_Master_Golden!$A$2:$A$208,0)),"-")</f>
        <v>Horizon Housekeeping Pvt Ltd</v>
      </c>
      <c r="H211" s="2" t="str">
        <f>IFERROR(INDEX(Vendor_Master_Golden!$K$2:$K$208,MATCH(F211,Vendor_Master_Golden!$A$2:$A$208,0)),"-")</f>
        <v>Active</v>
      </c>
      <c r="I211" s="2" t="str">
        <f t="shared" si="9"/>
        <v>OK</v>
      </c>
      <c r="J211" s="2">
        <f>COUNTIFS($B$2:B211,B211,$A$2:A211,A211,$D$2:D211,D211)</f>
        <v>1</v>
      </c>
      <c r="K211" s="2">
        <f>COUNTIFS($F$2:F211,F211,$A$2:A211,A211,$D$2:D211,D211)</f>
        <v>2</v>
      </c>
      <c r="L211" s="2" t="str">
        <f t="shared" si="10"/>
        <v>Duplicate</v>
      </c>
      <c r="M211" s="2" t="str">
        <f t="shared" si="11"/>
        <v>Yes</v>
      </c>
    </row>
    <row r="212" spans="1:13" x14ac:dyDescent="0.35">
      <c r="A212" s="2" t="s">
        <v>2608</v>
      </c>
      <c r="B212" s="2" t="s">
        <v>215</v>
      </c>
      <c r="C212" s="2" t="s">
        <v>2607</v>
      </c>
      <c r="D212" s="16">
        <v>45400</v>
      </c>
      <c r="E212" s="2" t="s">
        <v>2314</v>
      </c>
      <c r="F212" s="2" t="str">
        <f>IFERROR(INDEX(Vendor_ID_Map!$B$2:$B$229,MATCH(B212,Vendor_ID_Map!$A$2:$A$229,0)),"UNMAPPED")</f>
        <v>V1083</v>
      </c>
      <c r="G212" s="2" t="str">
        <f>IFERROR(INDEX(Vendor_Master_Golden!$B$2:$B$208,MATCH(F212,Vendor_Master_Golden!$A$2:$A$208,0)),"-")</f>
        <v>Jupiter Maintenance Limited</v>
      </c>
      <c r="H212" s="2" t="str">
        <f>IFERROR(INDEX(Vendor_Master_Golden!$K$2:$K$208,MATCH(F212,Vendor_Master_Golden!$A$2:$A$208,0)),"-")</f>
        <v>Active</v>
      </c>
      <c r="I212" s="2" t="str">
        <f t="shared" si="9"/>
        <v>OK</v>
      </c>
      <c r="J212" s="2">
        <f>COUNTIFS($B$2:B212,B212,$A$2:A212,A212,$D$2:D212,D212)</f>
        <v>1</v>
      </c>
      <c r="K212" s="2">
        <f>COUNTIFS($F$2:F212,F212,$A$2:A212,A212,$D$2:D212,D212)</f>
        <v>1</v>
      </c>
      <c r="L212" s="2" t="str">
        <f t="shared" si="10"/>
        <v>Unique</v>
      </c>
      <c r="M212" s="2" t="str">
        <f t="shared" si="11"/>
        <v>No</v>
      </c>
    </row>
    <row r="213" spans="1:13" x14ac:dyDescent="0.35">
      <c r="A213" s="2" t="s">
        <v>2609</v>
      </c>
      <c r="B213" s="2" t="s">
        <v>281</v>
      </c>
      <c r="C213" s="2" t="s">
        <v>2610</v>
      </c>
      <c r="D213" s="16">
        <v>59200</v>
      </c>
      <c r="E213" s="2" t="s">
        <v>2314</v>
      </c>
      <c r="F213" s="2" t="str">
        <f>IFERROR(INDEX(Vendor_ID_Map!$B$2:$B$229,MATCH(B213,Vendor_ID_Map!$A$2:$A$229,0)),"UNMAPPED")</f>
        <v>V1010</v>
      </c>
      <c r="G213" s="2" t="str">
        <f>IFERROR(INDEX(Vendor_Master_Golden!$B$2:$B$208,MATCH(F213,Vendor_Master_Golden!$A$2:$A$208,0)),"-")</f>
        <v>Delta Maintenance Limited</v>
      </c>
      <c r="H213" s="2" t="str">
        <f>IFERROR(INDEX(Vendor_Master_Golden!$K$2:$K$208,MATCH(F213,Vendor_Master_Golden!$A$2:$A$208,0)),"-")</f>
        <v>Active</v>
      </c>
      <c r="I213" s="2" t="str">
        <f t="shared" si="9"/>
        <v>OK</v>
      </c>
      <c r="J213" s="2">
        <f>COUNTIFS($B$2:B213,B213,$A$2:A213,A213,$D$2:D213,D213)</f>
        <v>1</v>
      </c>
      <c r="K213" s="2">
        <f>COUNTIFS($F$2:F213,F213,$A$2:A213,A213,$D$2:D213,D213)</f>
        <v>1</v>
      </c>
      <c r="L213" s="2" t="str">
        <f t="shared" si="10"/>
        <v>Unique</v>
      </c>
      <c r="M213" s="2" t="str">
        <f t="shared" si="11"/>
        <v>No</v>
      </c>
    </row>
    <row r="214" spans="1:13" x14ac:dyDescent="0.35">
      <c r="A214" s="2" t="s">
        <v>2611</v>
      </c>
      <c r="B214" s="2" t="s">
        <v>1440</v>
      </c>
      <c r="C214" s="2" t="s">
        <v>2612</v>
      </c>
      <c r="D214" s="16">
        <v>74200</v>
      </c>
      <c r="E214" s="2" t="s">
        <v>2314</v>
      </c>
      <c r="F214" s="2" t="str">
        <f>IFERROR(INDEX(Vendor_ID_Map!$B$2:$B$229,MATCH(B214,Vendor_ID_Map!$A$2:$A$229,0)),"UNMAPPED")</f>
        <v>V1148</v>
      </c>
      <c r="G214" s="2" t="str">
        <f>IFERROR(INDEX(Vendor_Master_Golden!$B$2:$B$208,MATCH(F214,Vendor_Master_Golden!$A$2:$A$208,0)),"-")</f>
        <v>Falcon Maintenance Limited</v>
      </c>
      <c r="H214" s="2" t="str">
        <f>IFERROR(INDEX(Vendor_Master_Golden!$K$2:$K$208,MATCH(F214,Vendor_Master_Golden!$A$2:$A$208,0)),"-")</f>
        <v>Inactive</v>
      </c>
      <c r="I214" s="2" t="str">
        <f t="shared" si="9"/>
        <v>Inactive Vendor</v>
      </c>
      <c r="J214" s="2">
        <f>COUNTIFS($B$2:B214,B214,$A$2:A214,A214,$D$2:D214,D214)</f>
        <v>1</v>
      </c>
      <c r="K214" s="2">
        <f>COUNTIFS($F$2:F214,F214,$A$2:A214,A214,$D$2:D214,D214)</f>
        <v>1</v>
      </c>
      <c r="L214" s="2" t="str">
        <f t="shared" si="10"/>
        <v>Unique</v>
      </c>
      <c r="M214" s="2" t="str">
        <f t="shared" si="11"/>
        <v>No</v>
      </c>
    </row>
    <row r="215" spans="1:13" x14ac:dyDescent="0.35">
      <c r="A215" s="2" t="s">
        <v>2613</v>
      </c>
      <c r="B215" s="2" t="s">
        <v>684</v>
      </c>
      <c r="C215" s="2" t="s">
        <v>2614</v>
      </c>
      <c r="D215" s="16">
        <v>52900</v>
      </c>
      <c r="E215" s="2" t="s">
        <v>2316</v>
      </c>
      <c r="F215" s="2" t="str">
        <f>IFERROR(INDEX(Vendor_ID_Map!$B$2:$B$229,MATCH(B215,Vendor_ID_Map!$A$2:$A$229,0)),"UNMAPPED")</f>
        <v>V1155</v>
      </c>
      <c r="G215" s="2" t="str">
        <f>IFERROR(INDEX(Vendor_Master_Golden!$B$2:$B$208,MATCH(F215,Vendor_Master_Golden!$A$2:$A$208,0)),"-")</f>
        <v>Delta Pest Control Limited</v>
      </c>
      <c r="H215" s="2" t="str">
        <f>IFERROR(INDEX(Vendor_Master_Golden!$K$2:$K$208,MATCH(F215,Vendor_Master_Golden!$A$2:$A$208,0)),"-")</f>
        <v>Active</v>
      </c>
      <c r="I215" s="2" t="str">
        <f t="shared" si="9"/>
        <v>OK</v>
      </c>
      <c r="J215" s="2">
        <f>COUNTIFS($B$2:B215,B215,$A$2:A215,A215,$D$2:D215,D215)</f>
        <v>1</v>
      </c>
      <c r="K215" s="2">
        <f>COUNTIFS($F$2:F215,F215,$A$2:A215,A215,$D$2:D215,D215)</f>
        <v>1</v>
      </c>
      <c r="L215" s="2" t="str">
        <f t="shared" si="10"/>
        <v>Unique</v>
      </c>
      <c r="M215" s="2" t="str">
        <f t="shared" si="11"/>
        <v>No</v>
      </c>
    </row>
    <row r="216" spans="1:13" x14ac:dyDescent="0.35">
      <c r="A216" s="2" t="s">
        <v>2615</v>
      </c>
      <c r="B216" s="2" t="s">
        <v>546</v>
      </c>
      <c r="C216" s="2" t="s">
        <v>2614</v>
      </c>
      <c r="D216" s="16">
        <v>100800</v>
      </c>
      <c r="E216" s="2" t="s">
        <v>2314</v>
      </c>
      <c r="F216" s="2" t="str">
        <f>IFERROR(INDEX(Vendor_ID_Map!$B$2:$B$229,MATCH(B216,Vendor_ID_Map!$A$2:$A$229,0)),"UNMAPPED")</f>
        <v>V1139</v>
      </c>
      <c r="G216" s="2" t="str">
        <f>IFERROR(INDEX(Vendor_Master_Golden!$B$2:$B$208,MATCH(F216,Vendor_Master_Golden!$A$2:$A$208,0)),"-")</f>
        <v>Jupiter Security Solutions Private Limited</v>
      </c>
      <c r="H216" s="2" t="str">
        <f>IFERROR(INDEX(Vendor_Master_Golden!$K$2:$K$208,MATCH(F216,Vendor_Master_Golden!$A$2:$A$208,0)),"-")</f>
        <v>Active</v>
      </c>
      <c r="I216" s="2" t="str">
        <f t="shared" si="9"/>
        <v>OK</v>
      </c>
      <c r="J216" s="2">
        <f>COUNTIFS($B$2:B216,B216,$A$2:A216,A216,$D$2:D216,D216)</f>
        <v>1</v>
      </c>
      <c r="K216" s="2">
        <f>COUNTIFS($F$2:F216,F216,$A$2:A216,A216,$D$2:D216,D216)</f>
        <v>1</v>
      </c>
      <c r="L216" s="2" t="str">
        <f t="shared" si="10"/>
        <v>Unique</v>
      </c>
      <c r="M216" s="2" t="str">
        <f t="shared" si="11"/>
        <v>No</v>
      </c>
    </row>
    <row r="217" spans="1:13" x14ac:dyDescent="0.35">
      <c r="A217" s="2" t="s">
        <v>2613</v>
      </c>
      <c r="B217" s="2" t="s">
        <v>684</v>
      </c>
      <c r="C217" s="2" t="s">
        <v>2616</v>
      </c>
      <c r="D217" s="16">
        <v>52900</v>
      </c>
      <c r="E217" s="2" t="s">
        <v>2314</v>
      </c>
      <c r="F217" s="2" t="str">
        <f>IFERROR(INDEX(Vendor_ID_Map!$B$2:$B$229,MATCH(B217,Vendor_ID_Map!$A$2:$A$229,0)),"UNMAPPED")</f>
        <v>V1155</v>
      </c>
      <c r="G217" s="2" t="str">
        <f>IFERROR(INDEX(Vendor_Master_Golden!$B$2:$B$208,MATCH(F217,Vendor_Master_Golden!$A$2:$A$208,0)),"-")</f>
        <v>Delta Pest Control Limited</v>
      </c>
      <c r="H217" s="2" t="str">
        <f>IFERROR(INDEX(Vendor_Master_Golden!$K$2:$K$208,MATCH(F217,Vendor_Master_Golden!$A$2:$A$208,0)),"-")</f>
        <v>Active</v>
      </c>
      <c r="I217" s="2" t="str">
        <f t="shared" si="9"/>
        <v>OK</v>
      </c>
      <c r="J217" s="2">
        <f>COUNTIFS($B$2:B217,B217,$A$2:A217,A217,$D$2:D217,D217)</f>
        <v>2</v>
      </c>
      <c r="K217" s="2">
        <f>COUNTIFS($F$2:F217,F217,$A$2:A217,A217,$D$2:D217,D217)</f>
        <v>2</v>
      </c>
      <c r="L217" s="2" t="str">
        <f t="shared" si="10"/>
        <v>Duplicate</v>
      </c>
      <c r="M217" s="2" t="str">
        <f t="shared" si="11"/>
        <v>No</v>
      </c>
    </row>
    <row r="218" spans="1:13" x14ac:dyDescent="0.35">
      <c r="A218" s="2" t="s">
        <v>2617</v>
      </c>
      <c r="B218" s="2" t="s">
        <v>1364</v>
      </c>
      <c r="C218" s="2" t="s">
        <v>2616</v>
      </c>
      <c r="D218" s="16">
        <v>154400</v>
      </c>
      <c r="E218" s="2" t="s">
        <v>2314</v>
      </c>
      <c r="F218" s="2" t="str">
        <f>IFERROR(INDEX(Vendor_ID_Map!$B$2:$B$229,MATCH(B218,Vendor_ID_Map!$A$2:$A$229,0)),"UNMAPPED")</f>
        <v>V1187</v>
      </c>
      <c r="G218" s="2" t="str">
        <f>IFERROR(INDEX(Vendor_Master_Golden!$B$2:$B$208,MATCH(F218,Vendor_Master_Golden!$A$2:$A$208,0)),"-")</f>
        <v>Orchid Facility Services Limited</v>
      </c>
      <c r="H218" s="2" t="str">
        <f>IFERROR(INDEX(Vendor_Master_Golden!$K$2:$K$208,MATCH(F218,Vendor_Master_Golden!$A$2:$A$208,0)),"-")</f>
        <v>Active</v>
      </c>
      <c r="I218" s="2" t="str">
        <f t="shared" si="9"/>
        <v>OK</v>
      </c>
      <c r="J218" s="2">
        <f>COUNTIFS($B$2:B218,B218,$A$2:A218,A218,$D$2:D218,D218)</f>
        <v>1</v>
      </c>
      <c r="K218" s="2">
        <f>COUNTIFS($F$2:F218,F218,$A$2:A218,A218,$D$2:D218,D218)</f>
        <v>1</v>
      </c>
      <c r="L218" s="2" t="str">
        <f t="shared" si="10"/>
        <v>Unique</v>
      </c>
      <c r="M218" s="2" t="str">
        <f t="shared" si="11"/>
        <v>No</v>
      </c>
    </row>
    <row r="219" spans="1:13" x14ac:dyDescent="0.35">
      <c r="A219" s="2" t="s">
        <v>2618</v>
      </c>
      <c r="B219" s="2" t="s">
        <v>176</v>
      </c>
      <c r="C219" s="2" t="s">
        <v>2619</v>
      </c>
      <c r="D219" s="16">
        <v>97600</v>
      </c>
      <c r="E219" s="2" t="s">
        <v>2314</v>
      </c>
      <c r="F219" s="2" t="str">
        <f>IFERROR(INDEX(Vendor_ID_Map!$B$2:$B$229,MATCH(B219,Vendor_ID_Map!$A$2:$A$229,0)),"UNMAPPED")</f>
        <v>V1180</v>
      </c>
      <c r="G219" s="2" t="str">
        <f>IFERROR(INDEX(Vendor_Master_Golden!$B$2:$B$208,MATCH(F219,Vendor_Master_Golden!$A$2:$A$208,0)),"-")</f>
        <v>Bluewave Water Solutions Limited</v>
      </c>
      <c r="H219" s="2" t="str">
        <f>IFERROR(INDEX(Vendor_Master_Golden!$K$2:$K$208,MATCH(F219,Vendor_Master_Golden!$A$2:$A$208,0)),"-")</f>
        <v>Active</v>
      </c>
      <c r="I219" s="2" t="str">
        <f t="shared" si="9"/>
        <v>OK</v>
      </c>
      <c r="J219" s="2">
        <f>COUNTIFS($B$2:B219,B219,$A$2:A219,A219,$D$2:D219,D219)</f>
        <v>1</v>
      </c>
      <c r="K219" s="2">
        <f>COUNTIFS($F$2:F219,F219,$A$2:A219,A219,$D$2:D219,D219)</f>
        <v>1</v>
      </c>
      <c r="L219" s="2" t="str">
        <f t="shared" si="10"/>
        <v>Unique</v>
      </c>
      <c r="M219" s="2" t="str">
        <f t="shared" si="11"/>
        <v>No</v>
      </c>
    </row>
    <row r="220" spans="1:13" x14ac:dyDescent="0.35">
      <c r="A220" s="2" t="s">
        <v>2620</v>
      </c>
      <c r="B220" s="2" t="s">
        <v>111</v>
      </c>
      <c r="C220" s="2" t="s">
        <v>2619</v>
      </c>
      <c r="D220" s="16">
        <v>15400</v>
      </c>
      <c r="E220" s="2" t="s">
        <v>2316</v>
      </c>
      <c r="F220" s="2" t="str">
        <f>IFERROR(INDEX(Vendor_ID_Map!$B$2:$B$229,MATCH(B220,Vendor_ID_Map!$A$2:$A$229,0)),"UNMAPPED")</f>
        <v>V1079</v>
      </c>
      <c r="G220" s="2" t="str">
        <f>IFERROR(INDEX(Vendor_Master_Golden!$B$2:$B$208,MATCH(F220,Vendor_Master_Golden!$A$2:$A$208,0)),"-")</f>
        <v>Falcon Landscaping Pvt Ltd</v>
      </c>
      <c r="H220" s="2" t="str">
        <f>IFERROR(INDEX(Vendor_Master_Golden!$K$2:$K$208,MATCH(F220,Vendor_Master_Golden!$A$2:$A$208,0)),"-")</f>
        <v>Active</v>
      </c>
      <c r="I220" s="2" t="str">
        <f t="shared" si="9"/>
        <v>OK</v>
      </c>
      <c r="J220" s="2">
        <f>COUNTIFS($B$2:B220,B220,$A$2:A220,A220,$D$2:D220,D220)</f>
        <v>1</v>
      </c>
      <c r="K220" s="2">
        <f>COUNTIFS($F$2:F220,F220,$A$2:A220,A220,$D$2:D220,D220)</f>
        <v>1</v>
      </c>
      <c r="L220" s="2" t="str">
        <f t="shared" si="10"/>
        <v>Unique</v>
      </c>
      <c r="M220" s="2" t="str">
        <f t="shared" si="11"/>
        <v>No</v>
      </c>
    </row>
    <row r="221" spans="1:13" x14ac:dyDescent="0.35">
      <c r="A221" s="2" t="s">
        <v>2621</v>
      </c>
      <c r="B221" s="2" t="s">
        <v>1431</v>
      </c>
      <c r="C221" s="2" t="s">
        <v>2622</v>
      </c>
      <c r="D221" s="16">
        <v>163600</v>
      </c>
      <c r="E221" s="2" t="s">
        <v>2314</v>
      </c>
      <c r="F221" s="2" t="str">
        <f>IFERROR(INDEX(Vendor_ID_Map!$B$2:$B$229,MATCH(B221,Vendor_ID_Map!$A$2:$A$229,0)),"UNMAPPED")</f>
        <v>V1111</v>
      </c>
      <c r="G221" s="2" t="str">
        <f>IFERROR(INDEX(Vendor_Master_Golden!$B$2:$B$208,MATCH(F221,Vendor_Master_Golden!$A$2:$A$208,0)),"-")</f>
        <v>Quantum Maintenance LLP</v>
      </c>
      <c r="H221" s="2" t="str">
        <f>IFERROR(INDEX(Vendor_Master_Golden!$K$2:$K$208,MATCH(F221,Vendor_Master_Golden!$A$2:$A$208,0)),"-")</f>
        <v>Active</v>
      </c>
      <c r="I221" s="2" t="str">
        <f t="shared" si="9"/>
        <v>OK</v>
      </c>
      <c r="J221" s="2">
        <f>COUNTIFS($B$2:B221,B221,$A$2:A221,A221,$D$2:D221,D221)</f>
        <v>1</v>
      </c>
      <c r="K221" s="2">
        <f>COUNTIFS($F$2:F221,F221,$A$2:A221,A221,$D$2:D221,D221)</f>
        <v>1</v>
      </c>
      <c r="L221" s="2" t="str">
        <f t="shared" si="10"/>
        <v>Unique</v>
      </c>
      <c r="M221" s="2" t="str">
        <f t="shared" si="11"/>
        <v>No</v>
      </c>
    </row>
    <row r="222" spans="1:13" x14ac:dyDescent="0.35">
      <c r="A222" s="2" t="s">
        <v>2623</v>
      </c>
      <c r="B222" s="2" t="s">
        <v>1675</v>
      </c>
      <c r="C222" s="2" t="s">
        <v>2622</v>
      </c>
      <c r="D222" s="16">
        <v>28700</v>
      </c>
      <c r="E222" s="2" t="s">
        <v>2314</v>
      </c>
      <c r="F222" s="2" t="str">
        <f>IFERROR(INDEX(Vendor_ID_Map!$B$2:$B$229,MATCH(B222,Vendor_ID_Map!$A$2:$A$229,0)),"UNMAPPED")</f>
        <v>V1090</v>
      </c>
      <c r="G222" s="2" t="str">
        <f>IFERROR(INDEX(Vendor_Master_Golden!$B$2:$B$208,MATCH(F222,Vendor_Master_Golden!$A$2:$A$208,0)),"-")</f>
        <v>Ganga Power Systems Pvt Ltd</v>
      </c>
      <c r="H222" s="2" t="str">
        <f>IFERROR(INDEX(Vendor_Master_Golden!$K$2:$K$208,MATCH(F222,Vendor_Master_Golden!$A$2:$A$208,0)),"-")</f>
        <v>Active</v>
      </c>
      <c r="I222" s="2" t="str">
        <f t="shared" si="9"/>
        <v>OK</v>
      </c>
      <c r="J222" s="2">
        <f>COUNTIFS($B$2:B222,B222,$A$2:A222,A222,$D$2:D222,D222)</f>
        <v>1</v>
      </c>
      <c r="K222" s="2">
        <f>COUNTIFS($F$2:F222,F222,$A$2:A222,A222,$D$2:D222,D222)</f>
        <v>1</v>
      </c>
      <c r="L222" s="2" t="str">
        <f t="shared" si="10"/>
        <v>Unique</v>
      </c>
      <c r="M222" s="2" t="str">
        <f t="shared" si="11"/>
        <v>No</v>
      </c>
    </row>
    <row r="223" spans="1:13" x14ac:dyDescent="0.35">
      <c r="A223" s="2" t="s">
        <v>2624</v>
      </c>
      <c r="B223" s="2" t="s">
        <v>1070</v>
      </c>
      <c r="C223" s="2" t="s">
        <v>2622</v>
      </c>
      <c r="D223" s="16">
        <v>87000</v>
      </c>
      <c r="E223" s="2" t="s">
        <v>2314</v>
      </c>
      <c r="F223" s="2" t="str">
        <f>IFERROR(INDEX(Vendor_ID_Map!$B$2:$B$229,MATCH(B223,Vendor_ID_Map!$A$2:$A$229,0)),"UNMAPPED")</f>
        <v>V1169</v>
      </c>
      <c r="G223" s="2" t="str">
        <f>IFERROR(INDEX(Vendor_Master_Golden!$B$2:$B$208,MATCH(F223,Vendor_Master_Golden!$A$2:$A$208,0)),"-")</f>
        <v>Quantum Facility Services Private Limited</v>
      </c>
      <c r="H223" s="2" t="str">
        <f>IFERROR(INDEX(Vendor_Master_Golden!$K$2:$K$208,MATCH(F223,Vendor_Master_Golden!$A$2:$A$208,0)),"-")</f>
        <v>Active</v>
      </c>
      <c r="I223" s="2" t="str">
        <f t="shared" si="9"/>
        <v>OK</v>
      </c>
      <c r="J223" s="2">
        <f>COUNTIFS($B$2:B223,B223,$A$2:A223,A223,$D$2:D223,D223)</f>
        <v>1</v>
      </c>
      <c r="K223" s="2">
        <f>COUNTIFS($F$2:F223,F223,$A$2:A223,A223,$D$2:D223,D223)</f>
        <v>1</v>
      </c>
      <c r="L223" s="2" t="str">
        <f t="shared" si="10"/>
        <v>Unique</v>
      </c>
      <c r="M223" s="2" t="str">
        <f t="shared" si="11"/>
        <v>No</v>
      </c>
    </row>
    <row r="224" spans="1:13" x14ac:dyDescent="0.35">
      <c r="A224" s="2" t="s">
        <v>2625</v>
      </c>
      <c r="B224" s="2" t="s">
        <v>1422</v>
      </c>
      <c r="C224" s="2" t="s">
        <v>2626</v>
      </c>
      <c r="D224" s="16">
        <v>31600</v>
      </c>
      <c r="E224" s="2" t="s">
        <v>2314</v>
      </c>
      <c r="F224" s="2" t="str">
        <f>IFERROR(INDEX(Vendor_ID_Map!$B$2:$B$229,MATCH(B224,Vendor_ID_Map!$A$2:$A$229,0)),"UNMAPPED")</f>
        <v>V1093</v>
      </c>
      <c r="G224" s="2" t="str">
        <f>IFERROR(INDEX(Vendor_Master_Golden!$B$2:$B$208,MATCH(F224,Vendor_Master_Golden!$A$2:$A$208,0)),"-")</f>
        <v>Ganga Housekeeping Private Limited</v>
      </c>
      <c r="H224" s="2" t="str">
        <f>IFERROR(INDEX(Vendor_Master_Golden!$K$2:$K$208,MATCH(F224,Vendor_Master_Golden!$A$2:$A$208,0)),"-")</f>
        <v>Active</v>
      </c>
      <c r="I224" s="2" t="str">
        <f t="shared" si="9"/>
        <v>OK</v>
      </c>
      <c r="J224" s="2">
        <f>COUNTIFS($B$2:B224,B224,$A$2:A224,A224,$D$2:D224,D224)</f>
        <v>1</v>
      </c>
      <c r="K224" s="2">
        <f>COUNTIFS($F$2:F224,F224,$A$2:A224,A224,$D$2:D224,D224)</f>
        <v>1</v>
      </c>
      <c r="L224" s="2" t="str">
        <f t="shared" si="10"/>
        <v>Unique</v>
      </c>
      <c r="M224" s="2" t="str">
        <f t="shared" si="11"/>
        <v>No</v>
      </c>
    </row>
    <row r="225" spans="1:13" x14ac:dyDescent="0.35">
      <c r="A225" s="2" t="s">
        <v>2627</v>
      </c>
      <c r="B225" s="2" t="s">
        <v>1332</v>
      </c>
      <c r="C225" s="2" t="s">
        <v>2626</v>
      </c>
      <c r="D225" s="16">
        <v>110300</v>
      </c>
      <c r="E225" s="2" t="s">
        <v>2314</v>
      </c>
      <c r="F225" s="2" t="str">
        <f>IFERROR(INDEX(Vendor_ID_Map!$B$2:$B$229,MATCH(B225,Vendor_ID_Map!$A$2:$A$229,0)),"UNMAPPED")</f>
        <v>V1221</v>
      </c>
      <c r="G225" s="2" t="str">
        <f>IFERROR(INDEX(Vendor_Master_Golden!$B$2:$B$208,MATCH(F225,Vendor_Master_Golden!$A$2:$A$208,0)),"-")</f>
        <v>Pinnacle Security Soln Limited</v>
      </c>
      <c r="H225" s="2" t="str">
        <f>IFERROR(INDEX(Vendor_Master_Golden!$K$2:$K$208,MATCH(F225,Vendor_Master_Golden!$A$2:$A$208,0)),"-")</f>
        <v>Inactive</v>
      </c>
      <c r="I225" s="2" t="str">
        <f t="shared" si="9"/>
        <v>Inactive Vendor</v>
      </c>
      <c r="J225" s="2">
        <f>COUNTIFS($B$2:B225,B225,$A$2:A225,A225,$D$2:D225,D225)</f>
        <v>1</v>
      </c>
      <c r="K225" s="2">
        <f>COUNTIFS($F$2:F225,F225,$A$2:A225,A225,$D$2:D225,D225)</f>
        <v>1</v>
      </c>
      <c r="L225" s="2" t="str">
        <f t="shared" si="10"/>
        <v>Unique</v>
      </c>
      <c r="M225" s="2" t="str">
        <f t="shared" si="11"/>
        <v>No</v>
      </c>
    </row>
    <row r="226" spans="1:13" x14ac:dyDescent="0.35">
      <c r="A226" s="2" t="s">
        <v>2628</v>
      </c>
      <c r="B226" s="2" t="s">
        <v>746</v>
      </c>
      <c r="C226" s="2" t="s">
        <v>2626</v>
      </c>
      <c r="D226" s="16">
        <v>31700</v>
      </c>
      <c r="E226" s="2" t="s">
        <v>2316</v>
      </c>
      <c r="F226" s="2" t="str">
        <f>IFERROR(INDEX(Vendor_ID_Map!$B$2:$B$229,MATCH(B226,Vendor_ID_Map!$A$2:$A$229,0)),"UNMAPPED")</f>
        <v>V1159</v>
      </c>
      <c r="G226" s="2" t="str">
        <f>IFERROR(INDEX(Vendor_Master_Golden!$B$2:$B$208,MATCH(F226,Vendor_Master_Golden!$A$2:$A$208,0)),"-")</f>
        <v>Unity IT Services LLP</v>
      </c>
      <c r="H226" s="2" t="str">
        <f>IFERROR(INDEX(Vendor_Master_Golden!$K$2:$K$208,MATCH(F226,Vendor_Master_Golden!$A$2:$A$208,0)),"-")</f>
        <v>Active</v>
      </c>
      <c r="I226" s="2" t="str">
        <f t="shared" si="9"/>
        <v>OK</v>
      </c>
      <c r="J226" s="2">
        <f>COUNTIFS($B$2:B226,B226,$A$2:A226,A226,$D$2:D226,D226)</f>
        <v>1</v>
      </c>
      <c r="K226" s="2">
        <f>COUNTIFS($F$2:F226,F226,$A$2:A226,A226,$D$2:D226,D226)</f>
        <v>1</v>
      </c>
      <c r="L226" s="2" t="str">
        <f t="shared" si="10"/>
        <v>Unique</v>
      </c>
      <c r="M226" s="2" t="str">
        <f t="shared" si="11"/>
        <v>No</v>
      </c>
    </row>
    <row r="227" spans="1:13" x14ac:dyDescent="0.35">
      <c r="A227" s="2" t="s">
        <v>2629</v>
      </c>
      <c r="B227" s="2" t="s">
        <v>291</v>
      </c>
      <c r="C227" s="2" t="s">
        <v>2630</v>
      </c>
      <c r="D227" s="16">
        <v>157400</v>
      </c>
      <c r="E227" s="2" t="s">
        <v>2316</v>
      </c>
      <c r="F227" s="2" t="str">
        <f>IFERROR(INDEX(Vendor_ID_Map!$B$2:$B$229,MATCH(B227,Vendor_ID_Map!$A$2:$A$229,0)),"UNMAPPED")</f>
        <v>V1104</v>
      </c>
      <c r="G227" s="2" t="str">
        <f>IFERROR(INDEX(Vendor_Master_Golden!$B$2:$B$208,MATCH(F227,Vendor_Master_Golden!$A$2:$A$208,0)),"-")</f>
        <v>Crestline Logistics LLP</v>
      </c>
      <c r="H227" s="2" t="str">
        <f>IFERROR(INDEX(Vendor_Master_Golden!$K$2:$K$208,MATCH(F227,Vendor_Master_Golden!$A$2:$A$208,0)),"-")</f>
        <v>Inactive</v>
      </c>
      <c r="I227" s="2" t="str">
        <f t="shared" si="9"/>
        <v>Inactive Vendor</v>
      </c>
      <c r="J227" s="2">
        <f>COUNTIFS($B$2:B227,B227,$A$2:A227,A227,$D$2:D227,D227)</f>
        <v>1</v>
      </c>
      <c r="K227" s="2">
        <f>COUNTIFS($F$2:F227,F227,$A$2:A227,A227,$D$2:D227,D227)</f>
        <v>1</v>
      </c>
      <c r="L227" s="2" t="str">
        <f t="shared" si="10"/>
        <v>Unique</v>
      </c>
      <c r="M227" s="2" t="str">
        <f t="shared" si="11"/>
        <v>No</v>
      </c>
    </row>
    <row r="228" spans="1:13" x14ac:dyDescent="0.35">
      <c r="A228" s="2" t="s">
        <v>2631</v>
      </c>
      <c r="B228" s="2" t="s">
        <v>2543</v>
      </c>
      <c r="C228" s="2" t="s">
        <v>2632</v>
      </c>
      <c r="D228" s="16">
        <v>73100</v>
      </c>
      <c r="E228" s="2" t="s">
        <v>2316</v>
      </c>
      <c r="F228" s="2" t="str">
        <f>IFERROR(INDEX(Vendor_ID_Map!$B$2:$B$229,MATCH(B228,Vendor_ID_Map!$A$2:$A$229,0)),"UNMAPPED")</f>
        <v>UNMAPPED</v>
      </c>
      <c r="G228" s="2" t="str">
        <f>IFERROR(INDEX(Vendor_Master_Golden!$B$2:$B$208,MATCH(F228,Vendor_Master_Golden!$A$2:$A$208,0)),"-")</f>
        <v>-</v>
      </c>
      <c r="H228" s="2" t="str">
        <f>IFERROR(INDEX(Vendor_Master_Golden!$K$2:$K$208,MATCH(F228,Vendor_Master_Golden!$A$2:$A$208,0)),"-")</f>
        <v>-</v>
      </c>
      <c r="I228" s="2" t="str">
        <f t="shared" si="9"/>
        <v>Orphan Vendor ID</v>
      </c>
      <c r="J228" s="2">
        <f>COUNTIFS($B$2:B228,B228,$A$2:A228,A228,$D$2:D228,D228)</f>
        <v>1</v>
      </c>
      <c r="K228" s="2">
        <f>COUNTIFS($F$2:F228,F228,$A$2:A228,A228,$D$2:D228,D228)</f>
        <v>1</v>
      </c>
      <c r="L228" s="2" t="str">
        <f t="shared" si="10"/>
        <v>Unique</v>
      </c>
      <c r="M228" s="2" t="str">
        <f t="shared" si="11"/>
        <v>No</v>
      </c>
    </row>
    <row r="229" spans="1:13" x14ac:dyDescent="0.35">
      <c r="A229" s="2" t="s">
        <v>2633</v>
      </c>
      <c r="B229" s="2" t="s">
        <v>1395</v>
      </c>
      <c r="C229" s="2" t="s">
        <v>2634</v>
      </c>
      <c r="D229" s="16">
        <v>16500</v>
      </c>
      <c r="E229" s="2" t="s">
        <v>2316</v>
      </c>
      <c r="F229" s="2" t="str">
        <f>IFERROR(INDEX(Vendor_ID_Map!$B$2:$B$229,MATCH(B229,Vendor_ID_Map!$A$2:$A$229,0)),"UNMAPPED")</f>
        <v>V1050</v>
      </c>
      <c r="G229" s="2" t="str">
        <f>IFERROR(INDEX(Vendor_Master_Golden!$B$2:$B$208,MATCH(F229,Vendor_Master_Golden!$A$2:$A$208,0)),"-")</f>
        <v>Metro Power Systems Private Limited</v>
      </c>
      <c r="H229" s="2" t="str">
        <f>IFERROR(INDEX(Vendor_Master_Golden!$K$2:$K$208,MATCH(F229,Vendor_Master_Golden!$A$2:$A$208,0)),"-")</f>
        <v>Active</v>
      </c>
      <c r="I229" s="2" t="str">
        <f t="shared" si="9"/>
        <v>OK</v>
      </c>
      <c r="J229" s="2">
        <f>COUNTIFS($B$2:B229,B229,$A$2:A229,A229,$D$2:D229,D229)</f>
        <v>1</v>
      </c>
      <c r="K229" s="2">
        <f>COUNTIFS($F$2:F229,F229,$A$2:A229,A229,$D$2:D229,D229)</f>
        <v>1</v>
      </c>
      <c r="L229" s="2" t="str">
        <f t="shared" si="10"/>
        <v>Unique</v>
      </c>
      <c r="M229" s="2" t="str">
        <f t="shared" si="11"/>
        <v>No</v>
      </c>
    </row>
    <row r="230" spans="1:13" x14ac:dyDescent="0.35">
      <c r="A230" s="2" t="s">
        <v>2635</v>
      </c>
      <c r="B230" s="2" t="s">
        <v>449</v>
      </c>
      <c r="C230" s="2" t="s">
        <v>2636</v>
      </c>
      <c r="D230" s="16">
        <v>121500</v>
      </c>
      <c r="E230" s="2" t="s">
        <v>2314</v>
      </c>
      <c r="F230" s="2" t="str">
        <f>IFERROR(INDEX(Vendor_ID_Map!$B$2:$B$229,MATCH(B230,Vendor_ID_Map!$A$2:$A$229,0)),"UNMAPPED")</f>
        <v>V1156</v>
      </c>
      <c r="G230" s="2" t="str">
        <f>IFERROR(INDEX(Vendor_Master_Golden!$B$2:$B$208,MATCH(F230,Vendor_Master_Golden!$A$2:$A$208,0)),"-")</f>
        <v>Kaveri Pest Control LLP</v>
      </c>
      <c r="H230" s="2" t="str">
        <f>IFERROR(INDEX(Vendor_Master_Golden!$K$2:$K$208,MATCH(F230,Vendor_Master_Golden!$A$2:$A$208,0)),"-")</f>
        <v>Active</v>
      </c>
      <c r="I230" s="2" t="str">
        <f t="shared" si="9"/>
        <v>OK</v>
      </c>
      <c r="J230" s="2">
        <f>COUNTIFS($B$2:B230,B230,$A$2:A230,A230,$D$2:D230,D230)</f>
        <v>1</v>
      </c>
      <c r="K230" s="2">
        <f>COUNTIFS($F$2:F230,F230,$A$2:A230,A230,$D$2:D230,D230)</f>
        <v>1</v>
      </c>
      <c r="L230" s="2" t="str">
        <f t="shared" si="10"/>
        <v>Unique</v>
      </c>
      <c r="M230" s="2" t="str">
        <f t="shared" si="11"/>
        <v>No</v>
      </c>
    </row>
    <row r="231" spans="1:13" x14ac:dyDescent="0.35">
      <c r="A231" s="2" t="s">
        <v>2637</v>
      </c>
      <c r="B231" s="2" t="s">
        <v>484</v>
      </c>
      <c r="C231" s="2" t="s">
        <v>2638</v>
      </c>
      <c r="D231" s="16">
        <v>106100</v>
      </c>
      <c r="E231" s="2" t="s">
        <v>2314</v>
      </c>
      <c r="F231" s="2" t="str">
        <f>IFERROR(INDEX(Vendor_ID_Map!$B$2:$B$229,MATCH(B231,Vendor_ID_Map!$A$2:$A$229,0)),"UNMAPPED")</f>
        <v>V1096</v>
      </c>
      <c r="G231" s="2" t="str">
        <f>IFERROR(INDEX(Vendor_Master_Golden!$B$2:$B$208,MATCH(F231,Vendor_Master_Golden!$A$2:$A$208,0)),"-")</f>
        <v>Deccan Maintenance Private Limited</v>
      </c>
      <c r="H231" s="2" t="str">
        <f>IFERROR(INDEX(Vendor_Master_Golden!$K$2:$K$208,MATCH(F231,Vendor_Master_Golden!$A$2:$A$208,0)),"-")</f>
        <v>Active</v>
      </c>
      <c r="I231" s="2" t="str">
        <f t="shared" si="9"/>
        <v>OK</v>
      </c>
      <c r="J231" s="2">
        <f>COUNTIFS($B$2:B231,B231,$A$2:A231,A231,$D$2:D231,D231)</f>
        <v>1</v>
      </c>
      <c r="K231" s="2">
        <f>COUNTIFS($F$2:F231,F231,$A$2:A231,A231,$D$2:D231,D231)</f>
        <v>1</v>
      </c>
      <c r="L231" s="2" t="str">
        <f t="shared" si="10"/>
        <v>Unique</v>
      </c>
      <c r="M231" s="2" t="str">
        <f t="shared" si="11"/>
        <v>No</v>
      </c>
    </row>
    <row r="232" spans="1:13" x14ac:dyDescent="0.35">
      <c r="A232" s="2" t="s">
        <v>2639</v>
      </c>
      <c r="B232" s="2" t="s">
        <v>396</v>
      </c>
      <c r="C232" s="2" t="s">
        <v>2638</v>
      </c>
      <c r="D232" s="16">
        <v>125400</v>
      </c>
      <c r="E232" s="2" t="s">
        <v>2314</v>
      </c>
      <c r="F232" s="2" t="str">
        <f>IFERROR(INDEX(Vendor_ID_Map!$B$2:$B$229,MATCH(B232,Vendor_ID_Map!$A$2:$A$229,0)),"UNMAPPED")</f>
        <v>V1015</v>
      </c>
      <c r="G232" s="2" t="str">
        <f>IFERROR(INDEX(Vendor_Master_Golden!$B$2:$B$208,MATCH(F232,Vendor_Master_Golden!$A$2:$A$208,0)),"-")</f>
        <v>Vertex Power Systems Pvt Ltd</v>
      </c>
      <c r="H232" s="2" t="str">
        <f>IFERROR(INDEX(Vendor_Master_Golden!$K$2:$K$208,MATCH(F232,Vendor_Master_Golden!$A$2:$A$208,0)),"-")</f>
        <v>Active</v>
      </c>
      <c r="I232" s="2" t="str">
        <f t="shared" si="9"/>
        <v>OK</v>
      </c>
      <c r="J232" s="2">
        <f>COUNTIFS($B$2:B232,B232,$A$2:A232,A232,$D$2:D232,D232)</f>
        <v>1</v>
      </c>
      <c r="K232" s="2">
        <f>COUNTIFS($F$2:F232,F232,$A$2:A232,A232,$D$2:D232,D232)</f>
        <v>1</v>
      </c>
      <c r="L232" s="2" t="str">
        <f t="shared" si="10"/>
        <v>Unique</v>
      </c>
      <c r="M232" s="2" t="str">
        <f t="shared" si="11"/>
        <v>No</v>
      </c>
    </row>
    <row r="233" spans="1:13" x14ac:dyDescent="0.35">
      <c r="A233" s="2" t="s">
        <v>2640</v>
      </c>
      <c r="B233" s="2" t="s">
        <v>1688</v>
      </c>
      <c r="C233" s="2" t="s">
        <v>2638</v>
      </c>
      <c r="D233" s="16">
        <v>38000</v>
      </c>
      <c r="E233" s="2" t="s">
        <v>2314</v>
      </c>
      <c r="F233" s="2" t="str">
        <f>IFERROR(INDEX(Vendor_ID_Map!$B$2:$B$229,MATCH(B233,Vendor_ID_Map!$A$2:$A$229,0)),"UNMAPPED")</f>
        <v>V1116</v>
      </c>
      <c r="G233" s="2" t="str">
        <f>IFERROR(INDEX(Vendor_Master_Golden!$B$2:$B$208,MATCH(F233,Vendor_Master_Golden!$A$2:$A$208,0)),"-")</f>
        <v>Eastern Housekeeping Private Limited</v>
      </c>
      <c r="H233" s="2" t="str">
        <f>IFERROR(INDEX(Vendor_Master_Golden!$K$2:$K$208,MATCH(F233,Vendor_Master_Golden!$A$2:$A$208,0)),"-")</f>
        <v>Active</v>
      </c>
      <c r="I233" s="2" t="str">
        <f t="shared" si="9"/>
        <v>OK</v>
      </c>
      <c r="J233" s="2">
        <f>COUNTIFS($B$2:B233,B233,$A$2:A233,A233,$D$2:D233,D233)</f>
        <v>1</v>
      </c>
      <c r="K233" s="2">
        <f>COUNTIFS($F$2:F233,F233,$A$2:A233,A233,$D$2:D233,D233)</f>
        <v>1</v>
      </c>
      <c r="L233" s="2" t="str">
        <f t="shared" si="10"/>
        <v>Unique</v>
      </c>
      <c r="M233" s="2" t="str">
        <f t="shared" si="11"/>
        <v>No</v>
      </c>
    </row>
    <row r="234" spans="1:13" x14ac:dyDescent="0.35">
      <c r="A234" s="2" t="s">
        <v>2641</v>
      </c>
      <c r="B234" s="2" t="s">
        <v>233</v>
      </c>
      <c r="C234" s="2" t="s">
        <v>2638</v>
      </c>
      <c r="D234" s="16">
        <v>119900</v>
      </c>
      <c r="E234" s="2" t="s">
        <v>2314</v>
      </c>
      <c r="F234" s="2" t="str">
        <f>IFERROR(INDEX(Vendor_ID_Map!$B$2:$B$229,MATCH(B234,Vendor_ID_Map!$A$2:$A$229,0)),"UNMAPPED")</f>
        <v>V1203</v>
      </c>
      <c r="G234" s="2" t="str">
        <f>IFERROR(INDEX(Vendor_Master_Golden!$B$2:$B$208,MATCH(F234,Vendor_Master_Golden!$A$2:$A$208,0)),"-")</f>
        <v>Western Electricals Pvt Ltd</v>
      </c>
      <c r="H234" s="2" t="str">
        <f>IFERROR(INDEX(Vendor_Master_Golden!$K$2:$K$208,MATCH(F234,Vendor_Master_Golden!$A$2:$A$208,0)),"-")</f>
        <v>Inactive</v>
      </c>
      <c r="I234" s="2" t="str">
        <f t="shared" si="9"/>
        <v>Inactive Vendor</v>
      </c>
      <c r="J234" s="2">
        <f>COUNTIFS($B$2:B234,B234,$A$2:A234,A234,$D$2:D234,D234)</f>
        <v>1</v>
      </c>
      <c r="K234" s="2">
        <f>COUNTIFS($F$2:F234,F234,$A$2:A234,A234,$D$2:D234,D234)</f>
        <v>1</v>
      </c>
      <c r="L234" s="2" t="str">
        <f t="shared" si="10"/>
        <v>Unique</v>
      </c>
      <c r="M234" s="2" t="str">
        <f t="shared" si="11"/>
        <v>No</v>
      </c>
    </row>
    <row r="235" spans="1:13" x14ac:dyDescent="0.35">
      <c r="A235" s="2" t="s">
        <v>2642</v>
      </c>
      <c r="B235" s="2" t="s">
        <v>1280</v>
      </c>
      <c r="C235" s="2" t="s">
        <v>2638</v>
      </c>
      <c r="D235" s="16">
        <v>143900</v>
      </c>
      <c r="E235" s="2" t="s">
        <v>2314</v>
      </c>
      <c r="F235" s="2" t="str">
        <f>IFERROR(INDEX(Vendor_ID_Map!$B$2:$B$229,MATCH(B235,Vendor_ID_Map!$A$2:$A$229,0)),"UNMAPPED")</f>
        <v>V1080</v>
      </c>
      <c r="G235" s="2" t="str">
        <f>IFERROR(INDEX(Vendor_Master_Golden!$B$2:$B$208,MATCH(F235,Vendor_Master_Golden!$A$2:$A$208,0)),"-")</f>
        <v>Nova Water Solutions Limited</v>
      </c>
      <c r="H235" s="2" t="str">
        <f>IFERROR(INDEX(Vendor_Master_Golden!$K$2:$K$208,MATCH(F235,Vendor_Master_Golden!$A$2:$A$208,0)),"-")</f>
        <v>Active</v>
      </c>
      <c r="I235" s="2" t="str">
        <f t="shared" si="9"/>
        <v>OK</v>
      </c>
      <c r="J235" s="2">
        <f>COUNTIFS($B$2:B235,B235,$A$2:A235,A235,$D$2:D235,D235)</f>
        <v>1</v>
      </c>
      <c r="K235" s="2">
        <f>COUNTIFS($F$2:F235,F235,$A$2:A235,A235,$D$2:D235,D235)</f>
        <v>1</v>
      </c>
      <c r="L235" s="2" t="str">
        <f t="shared" si="10"/>
        <v>Unique</v>
      </c>
      <c r="M235" s="2" t="str">
        <f t="shared" si="11"/>
        <v>No</v>
      </c>
    </row>
    <row r="236" spans="1:13" x14ac:dyDescent="0.35">
      <c r="A236" s="2" t="s">
        <v>2643</v>
      </c>
      <c r="B236" s="2" t="s">
        <v>1931</v>
      </c>
      <c r="C236" s="2" t="s">
        <v>2638</v>
      </c>
      <c r="D236" s="16">
        <v>39800</v>
      </c>
      <c r="E236" s="2" t="s">
        <v>2314</v>
      </c>
      <c r="F236" s="2" t="str">
        <f>IFERROR(INDEX(Vendor_ID_Map!$B$2:$B$229,MATCH(B236,Vendor_ID_Map!$A$2:$A$229,0)),"UNMAPPED")</f>
        <v>V1202</v>
      </c>
      <c r="G236" s="2" t="str">
        <f>IFERROR(INDEX(Vendor_Master_Golden!$B$2:$B$208,MATCH(F236,Vendor_Master_Golden!$A$2:$A$208,0)),"-")</f>
        <v>Eastern It Services Limited</v>
      </c>
      <c r="H236" s="2" t="str">
        <f>IFERROR(INDEX(Vendor_Master_Golden!$K$2:$K$208,MATCH(F236,Vendor_Master_Golden!$A$2:$A$208,0)),"-")</f>
        <v>Active</v>
      </c>
      <c r="I236" s="2" t="str">
        <f t="shared" si="9"/>
        <v>OK</v>
      </c>
      <c r="J236" s="2">
        <f>COUNTIFS($B$2:B236,B236,$A$2:A236,A236,$D$2:D236,D236)</f>
        <v>1</v>
      </c>
      <c r="K236" s="2">
        <f>COUNTIFS($F$2:F236,F236,$A$2:A236,A236,$D$2:D236,D236)</f>
        <v>1</v>
      </c>
      <c r="L236" s="2" t="str">
        <f t="shared" si="10"/>
        <v>Unique</v>
      </c>
      <c r="M236" s="2" t="str">
        <f t="shared" si="11"/>
        <v>No</v>
      </c>
    </row>
    <row r="237" spans="1:13" x14ac:dyDescent="0.35">
      <c r="A237" s="2" t="s">
        <v>2644</v>
      </c>
      <c r="B237" s="2" t="s">
        <v>291</v>
      </c>
      <c r="C237" s="2" t="s">
        <v>2645</v>
      </c>
      <c r="D237" s="16">
        <v>77800</v>
      </c>
      <c r="E237" s="2" t="s">
        <v>2314</v>
      </c>
      <c r="F237" s="2" t="str">
        <f>IFERROR(INDEX(Vendor_ID_Map!$B$2:$B$229,MATCH(B237,Vendor_ID_Map!$A$2:$A$229,0)),"UNMAPPED")</f>
        <v>V1104</v>
      </c>
      <c r="G237" s="2" t="str">
        <f>IFERROR(INDEX(Vendor_Master_Golden!$B$2:$B$208,MATCH(F237,Vendor_Master_Golden!$A$2:$A$208,0)),"-")</f>
        <v>Crestline Logistics LLP</v>
      </c>
      <c r="H237" s="2" t="str">
        <f>IFERROR(INDEX(Vendor_Master_Golden!$K$2:$K$208,MATCH(F237,Vendor_Master_Golden!$A$2:$A$208,0)),"-")</f>
        <v>Inactive</v>
      </c>
      <c r="I237" s="2" t="str">
        <f t="shared" si="9"/>
        <v>Inactive Vendor</v>
      </c>
      <c r="J237" s="2">
        <f>COUNTIFS($B$2:B237,B237,$A$2:A237,A237,$D$2:D237,D237)</f>
        <v>1</v>
      </c>
      <c r="K237" s="2">
        <f>COUNTIFS($F$2:F237,F237,$A$2:A237,A237,$D$2:D237,D237)</f>
        <v>1</v>
      </c>
      <c r="L237" s="2" t="str">
        <f t="shared" si="10"/>
        <v>Unique</v>
      </c>
      <c r="M237" s="2" t="str">
        <f t="shared" si="11"/>
        <v>No</v>
      </c>
    </row>
    <row r="238" spans="1:13" x14ac:dyDescent="0.35">
      <c r="A238" s="2" t="s">
        <v>2646</v>
      </c>
      <c r="B238" s="2" t="s">
        <v>1158</v>
      </c>
      <c r="C238" s="2" t="s">
        <v>2645</v>
      </c>
      <c r="D238" s="16">
        <v>107400</v>
      </c>
      <c r="E238" s="2" t="s">
        <v>2316</v>
      </c>
      <c r="F238" s="2" t="str">
        <f>IFERROR(INDEX(Vendor_ID_Map!$B$2:$B$229,MATCH(B238,Vendor_ID_Map!$A$2:$A$229,0)),"UNMAPPED")</f>
        <v>V1060</v>
      </c>
      <c r="G238" s="2" t="str">
        <f>IFERROR(INDEX(Vendor_Master_Golden!$B$2:$B$208,MATCH(F238,Vendor_Master_Golden!$A$2:$A$208,0)),"-")</f>
        <v>Kaveri Maintenance Limited</v>
      </c>
      <c r="H238" s="2" t="str">
        <f>IFERROR(INDEX(Vendor_Master_Golden!$K$2:$K$208,MATCH(F238,Vendor_Master_Golden!$A$2:$A$208,0)),"-")</f>
        <v>Active</v>
      </c>
      <c r="I238" s="2" t="str">
        <f t="shared" si="9"/>
        <v>OK</v>
      </c>
      <c r="J238" s="2">
        <f>COUNTIFS($B$2:B238,B238,$A$2:A238,A238,$D$2:D238,D238)</f>
        <v>1</v>
      </c>
      <c r="K238" s="2">
        <f>COUNTIFS($F$2:F238,F238,$A$2:A238,A238,$D$2:D238,D238)</f>
        <v>1</v>
      </c>
      <c r="L238" s="2" t="str">
        <f t="shared" si="10"/>
        <v>Unique</v>
      </c>
      <c r="M238" s="2" t="str">
        <f t="shared" si="11"/>
        <v>No</v>
      </c>
    </row>
    <row r="239" spans="1:13" x14ac:dyDescent="0.35">
      <c r="A239" s="2" t="s">
        <v>2647</v>
      </c>
      <c r="B239" s="2" t="s">
        <v>1289</v>
      </c>
      <c r="C239" s="2" t="s">
        <v>2645</v>
      </c>
      <c r="D239" s="16">
        <v>38400</v>
      </c>
      <c r="E239" s="2" t="s">
        <v>2314</v>
      </c>
      <c r="F239" s="2" t="str">
        <f>IFERROR(INDEX(Vendor_ID_Map!$B$2:$B$229,MATCH(B239,Vendor_ID_Map!$A$2:$A$229,0)),"UNMAPPED")</f>
        <v>V1151</v>
      </c>
      <c r="G239" s="2" t="str">
        <f>IFERROR(INDEX(Vendor_Master_Golden!$B$2:$B$208,MATCH(F239,Vendor_Master_Golden!$A$2:$A$208,0)),"-")</f>
        <v>Eastern Landscaping LLP</v>
      </c>
      <c r="H239" s="2" t="str">
        <f>IFERROR(INDEX(Vendor_Master_Golden!$K$2:$K$208,MATCH(F239,Vendor_Master_Golden!$A$2:$A$208,0)),"-")</f>
        <v>Active</v>
      </c>
      <c r="I239" s="2" t="str">
        <f t="shared" si="9"/>
        <v>OK</v>
      </c>
      <c r="J239" s="2">
        <f>COUNTIFS($B$2:B239,B239,$A$2:A239,A239,$D$2:D239,D239)</f>
        <v>1</v>
      </c>
      <c r="K239" s="2">
        <f>COUNTIFS($F$2:F239,F239,$A$2:A239,A239,$D$2:D239,D239)</f>
        <v>1</v>
      </c>
      <c r="L239" s="2" t="str">
        <f t="shared" si="10"/>
        <v>Unique</v>
      </c>
      <c r="M239" s="2" t="str">
        <f t="shared" si="11"/>
        <v>No</v>
      </c>
    </row>
    <row r="240" spans="1:13" x14ac:dyDescent="0.35">
      <c r="A240" s="2" t="s">
        <v>2648</v>
      </c>
      <c r="B240" s="2" t="s">
        <v>1643</v>
      </c>
      <c r="C240" s="2" t="s">
        <v>2649</v>
      </c>
      <c r="D240" s="16">
        <v>154900</v>
      </c>
      <c r="E240" s="2" t="s">
        <v>2314</v>
      </c>
      <c r="F240" s="2" t="str">
        <f>IFERROR(INDEX(Vendor_ID_Map!$B$2:$B$229,MATCH(B240,Vendor_ID_Map!$A$2:$A$229,0)),"UNMAPPED")</f>
        <v>V1125</v>
      </c>
      <c r="G240" s="2" t="str">
        <f>IFERROR(INDEX(Vendor_Master_Golden!$B$2:$B$208,MATCH(F240,Vendor_Master_Golden!$A$2:$A$208,0)),"-")</f>
        <v>Falcon Facility Services Pvt Ltd</v>
      </c>
      <c r="H240" s="2" t="str">
        <f>IFERROR(INDEX(Vendor_Master_Golden!$K$2:$K$208,MATCH(F240,Vendor_Master_Golden!$A$2:$A$208,0)),"-")</f>
        <v>Active</v>
      </c>
      <c r="I240" s="2" t="str">
        <f t="shared" si="9"/>
        <v>OK</v>
      </c>
      <c r="J240" s="2">
        <f>COUNTIFS($B$2:B240,B240,$A$2:A240,A240,$D$2:D240,D240)</f>
        <v>1</v>
      </c>
      <c r="K240" s="2">
        <f>COUNTIFS($F$2:F240,F240,$A$2:A240,A240,$D$2:D240,D240)</f>
        <v>1</v>
      </c>
      <c r="L240" s="2" t="str">
        <f t="shared" si="10"/>
        <v>Unique</v>
      </c>
      <c r="M240" s="2" t="str">
        <f t="shared" si="11"/>
        <v>No</v>
      </c>
    </row>
    <row r="241" spans="1:13" x14ac:dyDescent="0.35">
      <c r="A241" s="2" t="s">
        <v>2650</v>
      </c>
      <c r="B241" s="2" t="s">
        <v>1732</v>
      </c>
      <c r="C241" s="2" t="s">
        <v>2651</v>
      </c>
      <c r="D241" s="16">
        <v>29800</v>
      </c>
      <c r="E241" s="2" t="s">
        <v>2314</v>
      </c>
      <c r="F241" s="2" t="str">
        <f>IFERROR(INDEX(Vendor_ID_Map!$B$2:$B$229,MATCH(B241,Vendor_ID_Map!$A$2:$A$229,0)),"UNMAPPED")</f>
        <v>V1038</v>
      </c>
      <c r="G241" s="2" t="str">
        <f>IFERROR(INDEX(Vendor_Master_Golden!$B$2:$B$208,MATCH(F241,Vendor_Master_Golden!$A$2:$A$208,0)),"-")</f>
        <v>Bharat Water Solutions Private Limited</v>
      </c>
      <c r="H241" s="2" t="str">
        <f>IFERROR(INDEX(Vendor_Master_Golden!$K$2:$K$208,MATCH(F241,Vendor_Master_Golden!$A$2:$A$208,0)),"-")</f>
        <v>Active</v>
      </c>
      <c r="I241" s="2" t="str">
        <f t="shared" si="9"/>
        <v>OK</v>
      </c>
      <c r="J241" s="2">
        <f>COUNTIFS($B$2:B241,B241,$A$2:A241,A241,$D$2:D241,D241)</f>
        <v>1</v>
      </c>
      <c r="K241" s="2">
        <f>COUNTIFS($F$2:F241,F241,$A$2:A241,A241,$D$2:D241,D241)</f>
        <v>1</v>
      </c>
      <c r="L241" s="2" t="str">
        <f t="shared" si="10"/>
        <v>Unique</v>
      </c>
      <c r="M241" s="2" t="str">
        <f t="shared" si="11"/>
        <v>No</v>
      </c>
    </row>
    <row r="242" spans="1:13" x14ac:dyDescent="0.35">
      <c r="A242" s="2" t="s">
        <v>2652</v>
      </c>
      <c r="B242" s="2" t="s">
        <v>1815</v>
      </c>
      <c r="C242" s="2" t="s">
        <v>2651</v>
      </c>
      <c r="D242" s="16">
        <v>78300</v>
      </c>
      <c r="E242" s="2" t="s">
        <v>2314</v>
      </c>
      <c r="F242" s="2" t="str">
        <f>IFERROR(INDEX(Vendor_ID_Map!$B$2:$B$229,MATCH(B242,Vendor_ID_Map!$A$2:$A$229,0)),"UNMAPPED")</f>
        <v>V1012</v>
      </c>
      <c r="G242" s="2" t="str">
        <f>IFERROR(INDEX(Vendor_Master_Golden!$B$2:$B$208,MATCH(F242,Vendor_Master_Golden!$A$2:$A$208,0)),"-")</f>
        <v>Ganga Maintenance Private Limited</v>
      </c>
      <c r="H242" s="2" t="str">
        <f>IFERROR(INDEX(Vendor_Master_Golden!$K$2:$K$208,MATCH(F242,Vendor_Master_Golden!$A$2:$A$208,0)),"-")</f>
        <v>Active</v>
      </c>
      <c r="I242" s="2" t="str">
        <f t="shared" si="9"/>
        <v>OK</v>
      </c>
      <c r="J242" s="2">
        <f>COUNTIFS($B$2:B242,B242,$A$2:A242,A242,$D$2:D242,D242)</f>
        <v>1</v>
      </c>
      <c r="K242" s="2">
        <f>COUNTIFS($F$2:F242,F242,$A$2:A242,A242,$D$2:D242,D242)</f>
        <v>1</v>
      </c>
      <c r="L242" s="2" t="str">
        <f t="shared" si="10"/>
        <v>Unique</v>
      </c>
      <c r="M242" s="2" t="str">
        <f t="shared" si="11"/>
        <v>No</v>
      </c>
    </row>
    <row r="243" spans="1:13" x14ac:dyDescent="0.35">
      <c r="A243" s="2" t="s">
        <v>2653</v>
      </c>
      <c r="B243" s="2" t="s">
        <v>960</v>
      </c>
      <c r="C243" s="2" t="s">
        <v>2654</v>
      </c>
      <c r="D243" s="16">
        <v>186000</v>
      </c>
      <c r="E243" s="2" t="s">
        <v>2316</v>
      </c>
      <c r="F243" s="2" t="str">
        <f>IFERROR(INDEX(Vendor_ID_Map!$B$2:$B$229,MATCH(B243,Vendor_ID_Map!$A$2:$A$229,0)),"UNMAPPED")</f>
        <v>V1040</v>
      </c>
      <c r="G243" s="2" t="str">
        <f>IFERROR(INDEX(Vendor_Master_Golden!$B$2:$B$208,MATCH(F243,Vendor_Master_Golden!$A$2:$A$208,0)),"-")</f>
        <v>Metro Printing Limited</v>
      </c>
      <c r="H243" s="2" t="str">
        <f>IFERROR(INDEX(Vendor_Master_Golden!$K$2:$K$208,MATCH(F243,Vendor_Master_Golden!$A$2:$A$208,0)),"-")</f>
        <v>Active</v>
      </c>
      <c r="I243" s="2" t="str">
        <f t="shared" si="9"/>
        <v>OK</v>
      </c>
      <c r="J243" s="2">
        <f>COUNTIFS($B$2:B243,B243,$A$2:A243,A243,$D$2:D243,D243)</f>
        <v>1</v>
      </c>
      <c r="K243" s="2">
        <f>COUNTIFS($F$2:F243,F243,$A$2:A243,A243,$D$2:D243,D243)</f>
        <v>1</v>
      </c>
      <c r="L243" s="2" t="str">
        <f t="shared" si="10"/>
        <v>Unique</v>
      </c>
      <c r="M243" s="2" t="str">
        <f t="shared" si="11"/>
        <v>No</v>
      </c>
    </row>
    <row r="244" spans="1:13" x14ac:dyDescent="0.35">
      <c r="A244" s="2" t="s">
        <v>2655</v>
      </c>
      <c r="B244" s="2" t="s">
        <v>582</v>
      </c>
      <c r="C244" s="2" t="s">
        <v>2654</v>
      </c>
      <c r="D244" s="16">
        <v>30900</v>
      </c>
      <c r="E244" s="2" t="s">
        <v>2314</v>
      </c>
      <c r="F244" s="2" t="str">
        <f>IFERROR(INDEX(Vendor_ID_Map!$B$2:$B$229,MATCH(B244,Vendor_ID_Map!$A$2:$A$229,0)),"UNMAPPED")</f>
        <v>V1027</v>
      </c>
      <c r="G244" s="2" t="str">
        <f>IFERROR(INDEX(Vendor_Master_Golden!$B$2:$B$208,MATCH(F244,Vendor_Master_Golden!$A$2:$A$208,0)),"-")</f>
        <v>Chola Security Solutions LLP</v>
      </c>
      <c r="H244" s="2" t="str">
        <f>IFERROR(INDEX(Vendor_Master_Golden!$K$2:$K$208,MATCH(F244,Vendor_Master_Golden!$A$2:$A$208,0)),"-")</f>
        <v>Active</v>
      </c>
      <c r="I244" s="2" t="str">
        <f t="shared" si="9"/>
        <v>OK</v>
      </c>
      <c r="J244" s="2">
        <f>COUNTIFS($B$2:B244,B244,$A$2:A244,A244,$D$2:D244,D244)</f>
        <v>1</v>
      </c>
      <c r="K244" s="2">
        <f>COUNTIFS($F$2:F244,F244,$A$2:A244,A244,$D$2:D244,D244)</f>
        <v>1</v>
      </c>
      <c r="L244" s="2" t="str">
        <f t="shared" si="10"/>
        <v>Unique</v>
      </c>
      <c r="M244" s="2" t="str">
        <f t="shared" si="11"/>
        <v>No</v>
      </c>
    </row>
    <row r="245" spans="1:13" x14ac:dyDescent="0.35">
      <c r="A245" s="2" t="s">
        <v>2641</v>
      </c>
      <c r="B245" s="2" t="s">
        <v>224</v>
      </c>
      <c r="C245" s="2" t="s">
        <v>2656</v>
      </c>
      <c r="D245" s="16">
        <v>119900</v>
      </c>
      <c r="E245" s="2" t="s">
        <v>2316</v>
      </c>
      <c r="F245" s="2" t="str">
        <f>IFERROR(INDEX(Vendor_ID_Map!$B$2:$B$229,MATCH(B245,Vendor_ID_Map!$A$2:$A$229,0)),"UNMAPPED")</f>
        <v>V1203</v>
      </c>
      <c r="G245" s="2" t="str">
        <f>IFERROR(INDEX(Vendor_Master_Golden!$B$2:$B$208,MATCH(F245,Vendor_Master_Golden!$A$2:$A$208,0)),"-")</f>
        <v>Western Electricals Pvt Ltd</v>
      </c>
      <c r="H245" s="2" t="str">
        <f>IFERROR(INDEX(Vendor_Master_Golden!$K$2:$K$208,MATCH(F245,Vendor_Master_Golden!$A$2:$A$208,0)),"-")</f>
        <v>Inactive</v>
      </c>
      <c r="I245" s="2" t="str">
        <f t="shared" si="9"/>
        <v>Inactive Vendor</v>
      </c>
      <c r="J245" s="2">
        <f>COUNTIFS($B$2:B245,B245,$A$2:A245,A245,$D$2:D245,D245)</f>
        <v>1</v>
      </c>
      <c r="K245" s="2">
        <f>COUNTIFS($F$2:F245,F245,$A$2:A245,A245,$D$2:D245,D245)</f>
        <v>2</v>
      </c>
      <c r="L245" s="2" t="str">
        <f t="shared" si="10"/>
        <v>Duplicate</v>
      </c>
      <c r="M245" s="2" t="str">
        <f t="shared" si="11"/>
        <v>Yes</v>
      </c>
    </row>
    <row r="246" spans="1:13" x14ac:dyDescent="0.35">
      <c r="A246" s="2" t="s">
        <v>2657</v>
      </c>
      <c r="B246" s="2" t="s">
        <v>1652</v>
      </c>
      <c r="C246" s="2" t="s">
        <v>2658</v>
      </c>
      <c r="D246" s="16">
        <v>33800</v>
      </c>
      <c r="E246" s="2" t="s">
        <v>2316</v>
      </c>
      <c r="F246" s="2" t="str">
        <f>IFERROR(INDEX(Vendor_ID_Map!$B$2:$B$229,MATCH(B246,Vendor_ID_Map!$A$2:$A$229,0)),"UNMAPPED")</f>
        <v>V1221</v>
      </c>
      <c r="G246" s="2" t="str">
        <f>IFERROR(INDEX(Vendor_Master_Golden!$B$2:$B$208,MATCH(F246,Vendor_Master_Golden!$A$2:$A$208,0)),"-")</f>
        <v>Pinnacle Security Soln Limited</v>
      </c>
      <c r="H246" s="2" t="str">
        <f>IFERROR(INDEX(Vendor_Master_Golden!$K$2:$K$208,MATCH(F246,Vendor_Master_Golden!$A$2:$A$208,0)),"-")</f>
        <v>Inactive</v>
      </c>
      <c r="I246" s="2" t="str">
        <f t="shared" si="9"/>
        <v>Inactive Vendor</v>
      </c>
      <c r="J246" s="2">
        <f>COUNTIFS($B$2:B246,B246,$A$2:A246,A246,$D$2:D246,D246)</f>
        <v>1</v>
      </c>
      <c r="K246" s="2">
        <f>COUNTIFS($F$2:F246,F246,$A$2:A246,A246,$D$2:D246,D246)</f>
        <v>1</v>
      </c>
      <c r="L246" s="2" t="str">
        <f t="shared" si="10"/>
        <v>Unique</v>
      </c>
      <c r="M246" s="2" t="str">
        <f t="shared" si="11"/>
        <v>No</v>
      </c>
    </row>
    <row r="247" spans="1:13" x14ac:dyDescent="0.35">
      <c r="A247" s="2" t="s">
        <v>2659</v>
      </c>
      <c r="B247" s="2" t="s">
        <v>1806</v>
      </c>
      <c r="C247" s="2" t="s">
        <v>2660</v>
      </c>
      <c r="D247" s="16">
        <v>69200</v>
      </c>
      <c r="E247" s="2" t="s">
        <v>2316</v>
      </c>
      <c r="F247" s="2" t="str">
        <f>IFERROR(INDEX(Vendor_ID_Map!$B$2:$B$229,MATCH(B247,Vendor_ID_Map!$A$2:$A$229,0)),"UNMAPPED")</f>
        <v>V1005</v>
      </c>
      <c r="G247" s="2" t="str">
        <f>IFERROR(INDEX(Vendor_Master_Golden!$B$2:$B$208,MATCH(F247,Vendor_Master_Golden!$A$2:$A$208,0)),"-")</f>
        <v>Kaveri Facility Services LLP</v>
      </c>
      <c r="H247" s="2" t="str">
        <f>IFERROR(INDEX(Vendor_Master_Golden!$K$2:$K$208,MATCH(F247,Vendor_Master_Golden!$A$2:$A$208,0)),"-")</f>
        <v>Active</v>
      </c>
      <c r="I247" s="2" t="str">
        <f t="shared" si="9"/>
        <v>OK</v>
      </c>
      <c r="J247" s="2">
        <f>COUNTIFS($B$2:B247,B247,$A$2:A247,A247,$D$2:D247,D247)</f>
        <v>1</v>
      </c>
      <c r="K247" s="2">
        <f>COUNTIFS($F$2:F247,F247,$A$2:A247,A247,$D$2:D247,D247)</f>
        <v>1</v>
      </c>
      <c r="L247" s="2" t="str">
        <f t="shared" si="10"/>
        <v>Unique</v>
      </c>
      <c r="M247" s="2" t="str">
        <f t="shared" si="11"/>
        <v>No</v>
      </c>
    </row>
    <row r="248" spans="1:13" x14ac:dyDescent="0.35">
      <c r="A248" s="2" t="s">
        <v>2661</v>
      </c>
      <c r="B248" s="2" t="s">
        <v>684</v>
      </c>
      <c r="C248" s="2" t="s">
        <v>2660</v>
      </c>
      <c r="D248" s="16">
        <v>39200</v>
      </c>
      <c r="E248" s="2" t="s">
        <v>2314</v>
      </c>
      <c r="F248" s="2" t="str">
        <f>IFERROR(INDEX(Vendor_ID_Map!$B$2:$B$229,MATCH(B248,Vendor_ID_Map!$A$2:$A$229,0)),"UNMAPPED")</f>
        <v>V1155</v>
      </c>
      <c r="G248" s="2" t="str">
        <f>IFERROR(INDEX(Vendor_Master_Golden!$B$2:$B$208,MATCH(F248,Vendor_Master_Golden!$A$2:$A$208,0)),"-")</f>
        <v>Delta Pest Control Limited</v>
      </c>
      <c r="H248" s="2" t="str">
        <f>IFERROR(INDEX(Vendor_Master_Golden!$K$2:$K$208,MATCH(F248,Vendor_Master_Golden!$A$2:$A$208,0)),"-")</f>
        <v>Active</v>
      </c>
      <c r="I248" s="2" t="str">
        <f t="shared" si="9"/>
        <v>OK</v>
      </c>
      <c r="J248" s="2">
        <f>COUNTIFS($B$2:B248,B248,$A$2:A248,A248,$D$2:D248,D248)</f>
        <v>1</v>
      </c>
      <c r="K248" s="2">
        <f>COUNTIFS($F$2:F248,F248,$A$2:A248,A248,$D$2:D248,D248)</f>
        <v>1</v>
      </c>
      <c r="L248" s="2" t="str">
        <f t="shared" si="10"/>
        <v>Unique</v>
      </c>
      <c r="M248" s="2" t="str">
        <f t="shared" si="11"/>
        <v>No</v>
      </c>
    </row>
    <row r="249" spans="1:13" x14ac:dyDescent="0.35">
      <c r="A249" s="2" t="s">
        <v>2662</v>
      </c>
      <c r="B249" s="2" t="s">
        <v>1211</v>
      </c>
      <c r="C249" s="2" t="s">
        <v>2660</v>
      </c>
      <c r="D249" s="16">
        <v>44900</v>
      </c>
      <c r="E249" s="2" t="s">
        <v>2316</v>
      </c>
      <c r="F249" s="2" t="str">
        <f>IFERROR(INDEX(Vendor_ID_Map!$B$2:$B$229,MATCH(B249,Vendor_ID_Map!$A$2:$A$229,0)),"UNMAPPED")</f>
        <v>V1074</v>
      </c>
      <c r="G249" s="2" t="str">
        <f>IFERROR(INDEX(Vendor_Master_Golden!$B$2:$B$208,MATCH(F249,Vendor_Master_Golden!$A$2:$A$208,0)),"-")</f>
        <v>Chola IT Services Pvt Ltd</v>
      </c>
      <c r="H249" s="2" t="str">
        <f>IFERROR(INDEX(Vendor_Master_Golden!$K$2:$K$208,MATCH(F249,Vendor_Master_Golden!$A$2:$A$208,0)),"-")</f>
        <v>Active</v>
      </c>
      <c r="I249" s="2" t="str">
        <f t="shared" si="9"/>
        <v>OK</v>
      </c>
      <c r="J249" s="2">
        <f>COUNTIFS($B$2:B249,B249,$A$2:A249,A249,$D$2:D249,D249)</f>
        <v>1</v>
      </c>
      <c r="K249" s="2">
        <f>COUNTIFS($F$2:F249,F249,$A$2:A249,A249,$D$2:D249,D249)</f>
        <v>1</v>
      </c>
      <c r="L249" s="2" t="str">
        <f t="shared" si="10"/>
        <v>Unique</v>
      </c>
      <c r="M249" s="2" t="str">
        <f t="shared" si="11"/>
        <v>No</v>
      </c>
    </row>
    <row r="250" spans="1:13" x14ac:dyDescent="0.35">
      <c r="A250" s="2" t="s">
        <v>2663</v>
      </c>
      <c r="B250" s="2" t="s">
        <v>414</v>
      </c>
      <c r="C250" s="2" t="s">
        <v>2660</v>
      </c>
      <c r="D250" s="16">
        <v>112400</v>
      </c>
      <c r="E250" s="2" t="s">
        <v>2316</v>
      </c>
      <c r="F250" s="2" t="str">
        <f>IFERROR(INDEX(Vendor_ID_Map!$B$2:$B$229,MATCH(B250,Vendor_ID_Map!$A$2:$A$229,0)),"UNMAPPED")</f>
        <v>V1157</v>
      </c>
      <c r="G250" s="2" t="str">
        <f>IFERROR(INDEX(Vendor_Master_Golden!$B$2:$B$208,MATCH(F250,Vendor_Master_Golden!$A$2:$A$208,0)),"-")</f>
        <v>Titan Facility Services LLP</v>
      </c>
      <c r="H250" s="2" t="str">
        <f>IFERROR(INDEX(Vendor_Master_Golden!$K$2:$K$208,MATCH(F250,Vendor_Master_Golden!$A$2:$A$208,0)),"-")</f>
        <v>Active</v>
      </c>
      <c r="I250" s="2" t="str">
        <f t="shared" si="9"/>
        <v>OK</v>
      </c>
      <c r="J250" s="2">
        <f>COUNTIFS($B$2:B250,B250,$A$2:A250,A250,$D$2:D250,D250)</f>
        <v>1</v>
      </c>
      <c r="K250" s="2">
        <f>COUNTIFS($F$2:F250,F250,$A$2:A250,A250,$D$2:D250,D250)</f>
        <v>1</v>
      </c>
      <c r="L250" s="2" t="str">
        <f t="shared" si="10"/>
        <v>Unique</v>
      </c>
      <c r="M250" s="2" t="str">
        <f t="shared" si="11"/>
        <v>No</v>
      </c>
    </row>
    <row r="251" spans="1:13" x14ac:dyDescent="0.35">
      <c r="A251" s="2" t="s">
        <v>2664</v>
      </c>
      <c r="B251" s="2" t="s">
        <v>1413</v>
      </c>
      <c r="C251" s="2" t="s">
        <v>2660</v>
      </c>
      <c r="D251" s="16">
        <v>278500</v>
      </c>
      <c r="E251" s="2" t="s">
        <v>2314</v>
      </c>
      <c r="F251" s="2" t="str">
        <f>IFERROR(INDEX(Vendor_ID_Map!$B$2:$B$229,MATCH(B251,Vendor_ID_Map!$A$2:$A$229,0)),"UNMAPPED")</f>
        <v>V1053</v>
      </c>
      <c r="G251" s="2" t="str">
        <f>IFERROR(INDEX(Vendor_Master_Golden!$B$2:$B$208,MATCH(F251,Vendor_Master_Golden!$A$2:$A$208,0)),"-")</f>
        <v>Bluewave Power Systems LLP</v>
      </c>
      <c r="H251" s="2" t="str">
        <f>IFERROR(INDEX(Vendor_Master_Golden!$K$2:$K$208,MATCH(F251,Vendor_Master_Golden!$A$2:$A$208,0)),"-")</f>
        <v>Active</v>
      </c>
      <c r="I251" s="2" t="str">
        <f t="shared" si="9"/>
        <v>OK</v>
      </c>
      <c r="J251" s="2">
        <f>COUNTIFS($B$2:B251,B251,$A$2:A251,A251,$D$2:D251,D251)</f>
        <v>1</v>
      </c>
      <c r="K251" s="2">
        <f>COUNTIFS($F$2:F251,F251,$A$2:A251,A251,$D$2:D251,D251)</f>
        <v>1</v>
      </c>
      <c r="L251" s="2" t="str">
        <f t="shared" si="10"/>
        <v>Unique</v>
      </c>
      <c r="M251" s="2" t="str">
        <f t="shared" si="11"/>
        <v>No</v>
      </c>
    </row>
    <row r="252" spans="1:13" x14ac:dyDescent="0.35">
      <c r="A252" s="2" t="s">
        <v>2665</v>
      </c>
      <c r="B252" s="2" t="s">
        <v>1918</v>
      </c>
      <c r="C252" s="2" t="s">
        <v>2666</v>
      </c>
      <c r="D252" s="16">
        <v>338800</v>
      </c>
      <c r="E252" s="2" t="s">
        <v>2314</v>
      </c>
      <c r="F252" s="2" t="str">
        <f>IFERROR(INDEX(Vendor_ID_Map!$B$2:$B$229,MATCH(B252,Vendor_ID_Map!$A$2:$A$229,0)),"UNMAPPED")</f>
        <v>V1020</v>
      </c>
      <c r="G252" s="2" t="str">
        <f>IFERROR(INDEX(Vendor_Master_Golden!$B$2:$B$208,MATCH(F252,Vendor_Master_Golden!$A$2:$A$208,0)),"-")</f>
        <v>Horizon Landscaping Limited</v>
      </c>
      <c r="H252" s="2" t="str">
        <f>IFERROR(INDEX(Vendor_Master_Golden!$K$2:$K$208,MATCH(F252,Vendor_Master_Golden!$A$2:$A$208,0)),"-")</f>
        <v>Active</v>
      </c>
      <c r="I252" s="2" t="str">
        <f t="shared" si="9"/>
        <v>OK</v>
      </c>
      <c r="J252" s="2">
        <f>COUNTIFS($B$2:B252,B252,$A$2:A252,A252,$D$2:D252,D252)</f>
        <v>1</v>
      </c>
      <c r="K252" s="2">
        <f>COUNTIFS($F$2:F252,F252,$A$2:A252,A252,$D$2:D252,D252)</f>
        <v>1</v>
      </c>
      <c r="L252" s="2" t="str">
        <f t="shared" si="10"/>
        <v>Unique</v>
      </c>
      <c r="M252" s="2" t="str">
        <f t="shared" si="11"/>
        <v>No</v>
      </c>
    </row>
    <row r="253" spans="1:13" x14ac:dyDescent="0.35">
      <c r="A253" s="2" t="s">
        <v>2667</v>
      </c>
      <c r="B253" s="2" t="s">
        <v>589</v>
      </c>
      <c r="C253" s="2" t="s">
        <v>2666</v>
      </c>
      <c r="D253" s="16">
        <v>211700</v>
      </c>
      <c r="E253" s="2" t="s">
        <v>2314</v>
      </c>
      <c r="F253" s="2" t="str">
        <f>IFERROR(INDEX(Vendor_ID_Map!$B$2:$B$229,MATCH(B253,Vendor_ID_Map!$A$2:$A$229,0)),"UNMAPPED")</f>
        <v>V1058</v>
      </c>
      <c r="G253" s="2" t="str">
        <f>IFERROR(INDEX(Vendor_Master_Golden!$B$2:$B$208,MATCH(F253,Vendor_Master_Golden!$A$2:$A$208,0)),"-")</f>
        <v>Crestline Pest Control Limited</v>
      </c>
      <c r="H253" s="2" t="str">
        <f>IFERROR(INDEX(Vendor_Master_Golden!$K$2:$K$208,MATCH(F253,Vendor_Master_Golden!$A$2:$A$208,0)),"-")</f>
        <v>Active</v>
      </c>
      <c r="I253" s="2" t="str">
        <f t="shared" si="9"/>
        <v>OK</v>
      </c>
      <c r="J253" s="2">
        <f>COUNTIFS($B$2:B253,B253,$A$2:A253,A253,$D$2:D253,D253)</f>
        <v>1</v>
      </c>
      <c r="K253" s="2">
        <f>COUNTIFS($F$2:F253,F253,$A$2:A253,A253,$D$2:D253,D253)</f>
        <v>1</v>
      </c>
      <c r="L253" s="2" t="str">
        <f t="shared" si="10"/>
        <v>Unique</v>
      </c>
      <c r="M253" s="2" t="str">
        <f t="shared" si="11"/>
        <v>No</v>
      </c>
    </row>
    <row r="254" spans="1:13" x14ac:dyDescent="0.35">
      <c r="A254" s="2" t="s">
        <v>2668</v>
      </c>
      <c r="B254" s="2" t="s">
        <v>1054</v>
      </c>
      <c r="C254" s="2" t="s">
        <v>2666</v>
      </c>
      <c r="D254" s="16">
        <v>35500</v>
      </c>
      <c r="E254" s="2" t="s">
        <v>2316</v>
      </c>
      <c r="F254" s="2" t="str">
        <f>IFERROR(INDEX(Vendor_ID_Map!$B$2:$B$229,MATCH(B254,Vendor_ID_Map!$A$2:$A$229,0)),"UNMAPPED")</f>
        <v>V1103</v>
      </c>
      <c r="G254" s="2" t="str">
        <f>IFERROR(INDEX(Vendor_Master_Golden!$B$2:$B$208,MATCH(F254,Vendor_Master_Golden!$A$2:$A$208,0)),"-")</f>
        <v>Jupiter Stationers Pvt Ltd</v>
      </c>
      <c r="H254" s="2" t="str">
        <f>IFERROR(INDEX(Vendor_Master_Golden!$K$2:$K$208,MATCH(F254,Vendor_Master_Golden!$A$2:$A$208,0)),"-")</f>
        <v>Active</v>
      </c>
      <c r="I254" s="2" t="str">
        <f t="shared" si="9"/>
        <v>OK</v>
      </c>
      <c r="J254" s="2">
        <f>COUNTIFS($B$2:B254,B254,$A$2:A254,A254,$D$2:D254,D254)</f>
        <v>1</v>
      </c>
      <c r="K254" s="2">
        <f>COUNTIFS($F$2:F254,F254,$A$2:A254,A254,$D$2:D254,D254)</f>
        <v>1</v>
      </c>
      <c r="L254" s="2" t="str">
        <f t="shared" si="10"/>
        <v>Unique</v>
      </c>
      <c r="M254" s="2" t="str">
        <f t="shared" si="11"/>
        <v>No</v>
      </c>
    </row>
    <row r="255" spans="1:13" x14ac:dyDescent="0.35">
      <c r="A255" s="2" t="s">
        <v>2669</v>
      </c>
      <c r="B255" s="2" t="s">
        <v>755</v>
      </c>
      <c r="C255" s="2" t="s">
        <v>2670</v>
      </c>
      <c r="D255" s="16">
        <v>52000</v>
      </c>
      <c r="E255" s="2" t="s">
        <v>2314</v>
      </c>
      <c r="F255" s="2" t="str">
        <f>IFERROR(INDEX(Vendor_ID_Map!$B$2:$B$229,MATCH(B255,Vendor_ID_Map!$A$2:$A$229,0)),"UNMAPPED")</f>
        <v>V1062</v>
      </c>
      <c r="G255" s="2" t="str">
        <f>IFERROR(INDEX(Vendor_Master_Golden!$B$2:$B$208,MATCH(F255,Vendor_Master_Golden!$A$2:$A$208,0)),"-")</f>
        <v>Western Power Systems Pvt Ltd</v>
      </c>
      <c r="H255" s="2" t="str">
        <f>IFERROR(INDEX(Vendor_Master_Golden!$K$2:$K$208,MATCH(F255,Vendor_Master_Golden!$A$2:$A$208,0)),"-")</f>
        <v>Active</v>
      </c>
      <c r="I255" s="2" t="str">
        <f t="shared" si="9"/>
        <v>OK</v>
      </c>
      <c r="J255" s="2">
        <f>COUNTIFS($B$2:B255,B255,$A$2:A255,A255,$D$2:D255,D255)</f>
        <v>1</v>
      </c>
      <c r="K255" s="2">
        <f>COUNTIFS($F$2:F255,F255,$A$2:A255,A255,$D$2:D255,D255)</f>
        <v>1</v>
      </c>
      <c r="L255" s="2" t="str">
        <f t="shared" si="10"/>
        <v>Unique</v>
      </c>
      <c r="M255" s="2" t="str">
        <f t="shared" si="11"/>
        <v>No</v>
      </c>
    </row>
    <row r="256" spans="1:13" x14ac:dyDescent="0.35">
      <c r="A256" s="2" t="s">
        <v>2671</v>
      </c>
      <c r="B256" s="2" t="s">
        <v>405</v>
      </c>
      <c r="C256" s="2" t="s">
        <v>2672</v>
      </c>
      <c r="D256" s="16">
        <v>50500</v>
      </c>
      <c r="E256" s="2" t="s">
        <v>2316</v>
      </c>
      <c r="F256" s="2" t="str">
        <f>IFERROR(INDEX(Vendor_ID_Map!$B$2:$B$229,MATCH(B256,Vendor_ID_Map!$A$2:$A$229,0)),"UNMAPPED")</f>
        <v>V1132</v>
      </c>
      <c r="G256" s="2" t="str">
        <f>IFERROR(INDEX(Vendor_Master_Golden!$B$2:$B$208,MATCH(F256,Vendor_Master_Golden!$A$2:$A$208,0)),"-")</f>
        <v>Deccan Logistics Limited</v>
      </c>
      <c r="H256" s="2" t="str">
        <f>IFERROR(INDEX(Vendor_Master_Golden!$K$2:$K$208,MATCH(F256,Vendor_Master_Golden!$A$2:$A$208,0)),"-")</f>
        <v>Active</v>
      </c>
      <c r="I256" s="2" t="str">
        <f t="shared" si="9"/>
        <v>OK</v>
      </c>
      <c r="J256" s="2">
        <f>COUNTIFS($B$2:B256,B256,$A$2:A256,A256,$D$2:D256,D256)</f>
        <v>1</v>
      </c>
      <c r="K256" s="2">
        <f>COUNTIFS($F$2:F256,F256,$A$2:A256,A256,$D$2:D256,D256)</f>
        <v>1</v>
      </c>
      <c r="L256" s="2" t="str">
        <f t="shared" si="10"/>
        <v>Unique</v>
      </c>
      <c r="M256" s="2" t="str">
        <f t="shared" si="11"/>
        <v>No</v>
      </c>
    </row>
    <row r="257" spans="1:13" x14ac:dyDescent="0.35">
      <c r="A257" s="2" t="s">
        <v>2673</v>
      </c>
      <c r="B257" s="2" t="s">
        <v>1182</v>
      </c>
      <c r="C257" s="2" t="s">
        <v>2674</v>
      </c>
      <c r="D257" s="16">
        <v>53700</v>
      </c>
      <c r="E257" s="2" t="s">
        <v>2314</v>
      </c>
      <c r="F257" s="2" t="str">
        <f>IFERROR(INDEX(Vendor_ID_Map!$B$2:$B$229,MATCH(B257,Vendor_ID_Map!$A$2:$A$229,0)),"UNMAPPED")</f>
        <v>V1119</v>
      </c>
      <c r="G257" s="2" t="str">
        <f>IFERROR(INDEX(Vendor_Master_Golden!$B$2:$B$208,MATCH(F257,Vendor_Master_Golden!$A$2:$A$208,0)),"-")</f>
        <v>Vertex Logistics Private Limited</v>
      </c>
      <c r="H257" s="2" t="str">
        <f>IFERROR(INDEX(Vendor_Master_Golden!$K$2:$K$208,MATCH(F257,Vendor_Master_Golden!$A$2:$A$208,0)),"-")</f>
        <v>Active</v>
      </c>
      <c r="I257" s="2" t="str">
        <f t="shared" si="9"/>
        <v>OK</v>
      </c>
      <c r="J257" s="2">
        <f>COUNTIFS($B$2:B257,B257,$A$2:A257,A257,$D$2:D257,D257)</f>
        <v>1</v>
      </c>
      <c r="K257" s="2">
        <f>COUNTIFS($F$2:F257,F257,$A$2:A257,A257,$D$2:D257,D257)</f>
        <v>1</v>
      </c>
      <c r="L257" s="2" t="str">
        <f t="shared" si="10"/>
        <v>Unique</v>
      </c>
      <c r="M257" s="2" t="str">
        <f t="shared" si="11"/>
        <v>No</v>
      </c>
    </row>
    <row r="258" spans="1:13" x14ac:dyDescent="0.35">
      <c r="A258" s="2" t="s">
        <v>2675</v>
      </c>
      <c r="B258" s="2" t="s">
        <v>1824</v>
      </c>
      <c r="C258" s="2" t="s">
        <v>2674</v>
      </c>
      <c r="D258" s="16">
        <v>48900</v>
      </c>
      <c r="E258" s="2" t="s">
        <v>2314</v>
      </c>
      <c r="F258" s="2" t="str">
        <f>IFERROR(INDEX(Vendor_ID_Map!$B$2:$B$229,MATCH(B258,Vendor_ID_Map!$A$2:$A$229,0)),"UNMAPPED")</f>
        <v>V1213</v>
      </c>
      <c r="G258" s="2" t="str">
        <f>IFERROR(INDEX(Vendor_Master_Golden!$B$2:$B$208,MATCH(F258,Vendor_Master_Golden!$A$2:$A$208,0)),"-")</f>
        <v>Bharat It Services Pvt Ltd</v>
      </c>
      <c r="H258" s="2" t="str">
        <f>IFERROR(INDEX(Vendor_Master_Golden!$K$2:$K$208,MATCH(F258,Vendor_Master_Golden!$A$2:$A$208,0)),"-")</f>
        <v>Active</v>
      </c>
      <c r="I258" s="2" t="str">
        <f t="shared" ref="I258:I321" si="12">IF(F258="UNMAPPED","Orphan Vendor ID",IF(H258="Inactive","Inactive Vendor","OK"))</f>
        <v>OK</v>
      </c>
      <c r="J258" s="2">
        <f>COUNTIFS($B$2:B258,B258,$A$2:A258,A258,$D$2:D258,D258)</f>
        <v>1</v>
      </c>
      <c r="K258" s="2">
        <f>COUNTIFS($F$2:F258,F258,$A$2:A258,A258,$D$2:D258,D258)</f>
        <v>1</v>
      </c>
      <c r="L258" s="2" t="str">
        <f t="shared" ref="L258:L321" si="13">IF(K258&gt;1,"Duplicate","Unique")</f>
        <v>Unique</v>
      </c>
      <c r="M258" s="2" t="str">
        <f t="shared" ref="M258:M321" si="14">IF(AND(K258&gt;1,J258=1),"Yes","No")</f>
        <v>No</v>
      </c>
    </row>
    <row r="259" spans="1:13" x14ac:dyDescent="0.35">
      <c r="A259" s="2" t="s">
        <v>2676</v>
      </c>
      <c r="B259" s="2" t="s">
        <v>1891</v>
      </c>
      <c r="C259" s="2" t="s">
        <v>2677</v>
      </c>
      <c r="D259" s="16">
        <v>46100</v>
      </c>
      <c r="E259" s="2" t="s">
        <v>2314</v>
      </c>
      <c r="F259" s="2" t="str">
        <f>IFERROR(INDEX(Vendor_ID_Map!$B$2:$B$229,MATCH(B259,Vendor_ID_Map!$A$2:$A$229,0)),"UNMAPPED")</f>
        <v>V1003</v>
      </c>
      <c r="G259" s="2" t="str">
        <f>IFERROR(INDEX(Vendor_Master_Golden!$B$2:$B$208,MATCH(F259,Vendor_Master_Golden!$A$2:$A$208,0)),"-")</f>
        <v>Apex Pest Control Private Limited</v>
      </c>
      <c r="H259" s="2" t="str">
        <f>IFERROR(INDEX(Vendor_Master_Golden!$K$2:$K$208,MATCH(F259,Vendor_Master_Golden!$A$2:$A$208,0)),"-")</f>
        <v>Active</v>
      </c>
      <c r="I259" s="2" t="str">
        <f t="shared" si="12"/>
        <v>OK</v>
      </c>
      <c r="J259" s="2">
        <f>COUNTIFS($B$2:B259,B259,$A$2:A259,A259,$D$2:D259,D259)</f>
        <v>1</v>
      </c>
      <c r="K259" s="2">
        <f>COUNTIFS($F$2:F259,F259,$A$2:A259,A259,$D$2:D259,D259)</f>
        <v>1</v>
      </c>
      <c r="L259" s="2" t="str">
        <f t="shared" si="13"/>
        <v>Unique</v>
      </c>
      <c r="M259" s="2" t="str">
        <f t="shared" si="14"/>
        <v>No</v>
      </c>
    </row>
    <row r="260" spans="1:13" x14ac:dyDescent="0.35">
      <c r="A260" s="2" t="s">
        <v>2678</v>
      </c>
      <c r="B260" s="2" t="s">
        <v>281</v>
      </c>
      <c r="C260" s="2" t="s">
        <v>2677</v>
      </c>
      <c r="D260" s="16">
        <v>114000</v>
      </c>
      <c r="E260" s="2" t="s">
        <v>2316</v>
      </c>
      <c r="F260" s="2" t="str">
        <f>IFERROR(INDEX(Vendor_ID_Map!$B$2:$B$229,MATCH(B260,Vendor_ID_Map!$A$2:$A$229,0)),"UNMAPPED")</f>
        <v>V1010</v>
      </c>
      <c r="G260" s="2" t="str">
        <f>IFERROR(INDEX(Vendor_Master_Golden!$B$2:$B$208,MATCH(F260,Vendor_Master_Golden!$A$2:$A$208,0)),"-")</f>
        <v>Delta Maintenance Limited</v>
      </c>
      <c r="H260" s="2" t="str">
        <f>IFERROR(INDEX(Vendor_Master_Golden!$K$2:$K$208,MATCH(F260,Vendor_Master_Golden!$A$2:$A$208,0)),"-")</f>
        <v>Active</v>
      </c>
      <c r="I260" s="2" t="str">
        <f t="shared" si="12"/>
        <v>OK</v>
      </c>
      <c r="J260" s="2">
        <f>COUNTIFS($B$2:B260,B260,$A$2:A260,A260,$D$2:D260,D260)</f>
        <v>1</v>
      </c>
      <c r="K260" s="2">
        <f>COUNTIFS($F$2:F260,F260,$A$2:A260,A260,$D$2:D260,D260)</f>
        <v>1</v>
      </c>
      <c r="L260" s="2" t="str">
        <f t="shared" si="13"/>
        <v>Unique</v>
      </c>
      <c r="M260" s="2" t="str">
        <f t="shared" si="14"/>
        <v>No</v>
      </c>
    </row>
    <row r="261" spans="1:13" x14ac:dyDescent="0.35">
      <c r="A261" s="2" t="s">
        <v>2679</v>
      </c>
      <c r="B261" s="2" t="s">
        <v>994</v>
      </c>
      <c r="C261" s="2" t="s">
        <v>2680</v>
      </c>
      <c r="D261" s="16">
        <v>53500</v>
      </c>
      <c r="E261" s="2" t="s">
        <v>2314</v>
      </c>
      <c r="F261" s="2" t="str">
        <f>IFERROR(INDEX(Vendor_ID_Map!$B$2:$B$229,MATCH(B261,Vendor_ID_Map!$A$2:$A$229,0)),"UNMAPPED")</f>
        <v>V1076</v>
      </c>
      <c r="G261" s="2" t="str">
        <f>IFERROR(INDEX(Vendor_Master_Golden!$B$2:$B$208,MATCH(F261,Vendor_Master_Golden!$A$2:$A$208,0)),"-")</f>
        <v>Quantum Power Systems Private Limited</v>
      </c>
      <c r="H261" s="2" t="str">
        <f>IFERROR(INDEX(Vendor_Master_Golden!$K$2:$K$208,MATCH(F261,Vendor_Master_Golden!$A$2:$A$208,0)),"-")</f>
        <v>Active</v>
      </c>
      <c r="I261" s="2" t="str">
        <f t="shared" si="12"/>
        <v>OK</v>
      </c>
      <c r="J261" s="2">
        <f>COUNTIFS($B$2:B261,B261,$A$2:A261,A261,$D$2:D261,D261)</f>
        <v>1</v>
      </c>
      <c r="K261" s="2">
        <f>COUNTIFS($F$2:F261,F261,$A$2:A261,A261,$D$2:D261,D261)</f>
        <v>1</v>
      </c>
      <c r="L261" s="2" t="str">
        <f t="shared" si="13"/>
        <v>Unique</v>
      </c>
      <c r="M261" s="2" t="str">
        <f t="shared" si="14"/>
        <v>No</v>
      </c>
    </row>
    <row r="262" spans="1:13" x14ac:dyDescent="0.35">
      <c r="A262" s="2" t="s">
        <v>2681</v>
      </c>
      <c r="B262" s="2" t="s">
        <v>655</v>
      </c>
      <c r="C262" s="2" t="s">
        <v>2682</v>
      </c>
      <c r="D262" s="16">
        <v>149100</v>
      </c>
      <c r="E262" s="2" t="s">
        <v>2316</v>
      </c>
      <c r="F262" s="2" t="str">
        <f>IFERROR(INDEX(Vendor_ID_Map!$B$2:$B$229,MATCH(B262,Vendor_ID_Map!$A$2:$A$229,0)),"UNMAPPED")</f>
        <v>V1149</v>
      </c>
      <c r="G262" s="2" t="str">
        <f>IFERROR(INDEX(Vendor_Master_Golden!$B$2:$B$208,MATCH(F262,Vendor_Master_Golden!$A$2:$A$208,0)),"-")</f>
        <v>Aaryan Power Systems LLP</v>
      </c>
      <c r="H262" s="2" t="str">
        <f>IFERROR(INDEX(Vendor_Master_Golden!$K$2:$K$208,MATCH(F262,Vendor_Master_Golden!$A$2:$A$208,0)),"-")</f>
        <v>Active</v>
      </c>
      <c r="I262" s="2" t="str">
        <f t="shared" si="12"/>
        <v>OK</v>
      </c>
      <c r="J262" s="2">
        <f>COUNTIFS($B$2:B262,B262,$A$2:A262,A262,$D$2:D262,D262)</f>
        <v>1</v>
      </c>
      <c r="K262" s="2">
        <f>COUNTIFS($F$2:F262,F262,$A$2:A262,A262,$D$2:D262,D262)</f>
        <v>1</v>
      </c>
      <c r="L262" s="2" t="str">
        <f t="shared" si="13"/>
        <v>Unique</v>
      </c>
      <c r="M262" s="2" t="str">
        <f t="shared" si="14"/>
        <v>No</v>
      </c>
    </row>
    <row r="263" spans="1:13" x14ac:dyDescent="0.35">
      <c r="A263" s="2" t="s">
        <v>2683</v>
      </c>
      <c r="B263" s="2" t="s">
        <v>1845</v>
      </c>
      <c r="C263" s="2" t="s">
        <v>2682</v>
      </c>
      <c r="D263" s="16">
        <v>45100</v>
      </c>
      <c r="E263" s="2" t="s">
        <v>2314</v>
      </c>
      <c r="F263" s="2" t="str">
        <f>IFERROR(INDEX(Vendor_ID_Map!$B$2:$B$229,MATCH(B263,Vendor_ID_Map!$A$2:$A$229,0)),"UNMAPPED")</f>
        <v>V1126</v>
      </c>
      <c r="G263" s="2" t="str">
        <f>IFERROR(INDEX(Vendor_Master_Golden!$B$2:$B$208,MATCH(F263,Vendor_Master_Golden!$A$2:$A$208,0)),"-")</f>
        <v>Sunrise Power Systems Pvt Ltd</v>
      </c>
      <c r="H263" s="2" t="str">
        <f>IFERROR(INDEX(Vendor_Master_Golden!$K$2:$K$208,MATCH(F263,Vendor_Master_Golden!$A$2:$A$208,0)),"-")</f>
        <v>Active</v>
      </c>
      <c r="I263" s="2" t="str">
        <f t="shared" si="12"/>
        <v>OK</v>
      </c>
      <c r="J263" s="2">
        <f>COUNTIFS($B$2:B263,B263,$A$2:A263,A263,$D$2:D263,D263)</f>
        <v>1</v>
      </c>
      <c r="K263" s="2">
        <f>COUNTIFS($F$2:F263,F263,$A$2:A263,A263,$D$2:D263,D263)</f>
        <v>1</v>
      </c>
      <c r="L263" s="2" t="str">
        <f t="shared" si="13"/>
        <v>Unique</v>
      </c>
      <c r="M263" s="2" t="str">
        <f t="shared" si="14"/>
        <v>No</v>
      </c>
    </row>
    <row r="264" spans="1:13" x14ac:dyDescent="0.35">
      <c r="A264" s="2" t="s">
        <v>2684</v>
      </c>
      <c r="B264" s="2" t="s">
        <v>1078</v>
      </c>
      <c r="C264" s="2" t="s">
        <v>2685</v>
      </c>
      <c r="D264" s="16">
        <v>205200</v>
      </c>
      <c r="E264" s="2" t="s">
        <v>2314</v>
      </c>
      <c r="F264" s="2" t="str">
        <f>IFERROR(INDEX(Vendor_ID_Map!$B$2:$B$229,MATCH(B264,Vendor_ID_Map!$A$2:$A$229,0)),"UNMAPPED")</f>
        <v>V1160</v>
      </c>
      <c r="G264" s="2" t="str">
        <f>IFERROR(INDEX(Vendor_Master_Golden!$B$2:$B$208,MATCH(F264,Vendor_Master_Golden!$A$2:$A$208,0)),"-")</f>
        <v>Nova IT Services LLP</v>
      </c>
      <c r="H264" s="2" t="str">
        <f>IFERROR(INDEX(Vendor_Master_Golden!$K$2:$K$208,MATCH(F264,Vendor_Master_Golden!$A$2:$A$208,0)),"-")</f>
        <v>Active</v>
      </c>
      <c r="I264" s="2" t="str">
        <f t="shared" si="12"/>
        <v>OK</v>
      </c>
      <c r="J264" s="2">
        <f>COUNTIFS($B$2:B264,B264,$A$2:A264,A264,$D$2:D264,D264)</f>
        <v>1</v>
      </c>
      <c r="K264" s="2">
        <f>COUNTIFS($F$2:F264,F264,$A$2:A264,A264,$D$2:D264,D264)</f>
        <v>1</v>
      </c>
      <c r="L264" s="2" t="str">
        <f t="shared" si="13"/>
        <v>Unique</v>
      </c>
      <c r="M264" s="2" t="str">
        <f t="shared" si="14"/>
        <v>No</v>
      </c>
    </row>
    <row r="265" spans="1:13" x14ac:dyDescent="0.35">
      <c r="A265" s="2" t="s">
        <v>2686</v>
      </c>
      <c r="B265" s="2" t="s">
        <v>1211</v>
      </c>
      <c r="C265" s="2" t="s">
        <v>2685</v>
      </c>
      <c r="D265" s="16">
        <v>51300</v>
      </c>
      <c r="E265" s="2" t="s">
        <v>2316</v>
      </c>
      <c r="F265" s="2" t="str">
        <f>IFERROR(INDEX(Vendor_ID_Map!$B$2:$B$229,MATCH(B265,Vendor_ID_Map!$A$2:$A$229,0)),"UNMAPPED")</f>
        <v>V1074</v>
      </c>
      <c r="G265" s="2" t="str">
        <f>IFERROR(INDEX(Vendor_Master_Golden!$B$2:$B$208,MATCH(F265,Vendor_Master_Golden!$A$2:$A$208,0)),"-")</f>
        <v>Chola IT Services Pvt Ltd</v>
      </c>
      <c r="H265" s="2" t="str">
        <f>IFERROR(INDEX(Vendor_Master_Golden!$K$2:$K$208,MATCH(F265,Vendor_Master_Golden!$A$2:$A$208,0)),"-")</f>
        <v>Active</v>
      </c>
      <c r="I265" s="2" t="str">
        <f t="shared" si="12"/>
        <v>OK</v>
      </c>
      <c r="J265" s="2">
        <f>COUNTIFS($B$2:B265,B265,$A$2:A265,A265,$D$2:D265,D265)</f>
        <v>1</v>
      </c>
      <c r="K265" s="2">
        <f>COUNTIFS($F$2:F265,F265,$A$2:A265,A265,$D$2:D265,D265)</f>
        <v>1</v>
      </c>
      <c r="L265" s="2" t="str">
        <f t="shared" si="13"/>
        <v>Unique</v>
      </c>
      <c r="M265" s="2" t="str">
        <f t="shared" si="14"/>
        <v>No</v>
      </c>
    </row>
    <row r="266" spans="1:13" x14ac:dyDescent="0.35">
      <c r="A266" s="2" t="s">
        <v>2687</v>
      </c>
      <c r="B266" s="2" t="s">
        <v>1070</v>
      </c>
      <c r="C266" s="2" t="s">
        <v>2685</v>
      </c>
      <c r="D266" s="16">
        <v>46200</v>
      </c>
      <c r="E266" s="2" t="s">
        <v>2316</v>
      </c>
      <c r="F266" s="2" t="str">
        <f>IFERROR(INDEX(Vendor_ID_Map!$B$2:$B$229,MATCH(B266,Vendor_ID_Map!$A$2:$A$229,0)),"UNMAPPED")</f>
        <v>V1169</v>
      </c>
      <c r="G266" s="2" t="str">
        <f>IFERROR(INDEX(Vendor_Master_Golden!$B$2:$B$208,MATCH(F266,Vendor_Master_Golden!$A$2:$A$208,0)),"-")</f>
        <v>Quantum Facility Services Private Limited</v>
      </c>
      <c r="H266" s="2" t="str">
        <f>IFERROR(INDEX(Vendor_Master_Golden!$K$2:$K$208,MATCH(F266,Vendor_Master_Golden!$A$2:$A$208,0)),"-")</f>
        <v>Active</v>
      </c>
      <c r="I266" s="2" t="str">
        <f t="shared" si="12"/>
        <v>OK</v>
      </c>
      <c r="J266" s="2">
        <f>COUNTIFS($B$2:B266,B266,$A$2:A266,A266,$D$2:D266,D266)</f>
        <v>1</v>
      </c>
      <c r="K266" s="2">
        <f>COUNTIFS($F$2:F266,F266,$A$2:A266,A266,$D$2:D266,D266)</f>
        <v>1</v>
      </c>
      <c r="L266" s="2" t="str">
        <f t="shared" si="13"/>
        <v>Unique</v>
      </c>
      <c r="M266" s="2" t="str">
        <f t="shared" si="14"/>
        <v>No</v>
      </c>
    </row>
    <row r="267" spans="1:13" x14ac:dyDescent="0.35">
      <c r="A267" s="2" t="s">
        <v>2688</v>
      </c>
      <c r="B267" s="2" t="s">
        <v>1488</v>
      </c>
      <c r="C267" s="2" t="s">
        <v>2689</v>
      </c>
      <c r="D267" s="16">
        <v>130700</v>
      </c>
      <c r="E267" s="2" t="s">
        <v>2314</v>
      </c>
      <c r="F267" s="2" t="str">
        <f>IFERROR(INDEX(Vendor_ID_Map!$B$2:$B$229,MATCH(B267,Vendor_ID_Map!$A$2:$A$229,0)),"UNMAPPED")</f>
        <v>V1057</v>
      </c>
      <c r="G267" s="2" t="str">
        <f>IFERROR(INDEX(Vendor_Master_Golden!$B$2:$B$208,MATCH(F267,Vendor_Master_Golden!$A$2:$A$208,0)),"-")</f>
        <v>Nova Stationers Limited</v>
      </c>
      <c r="H267" s="2" t="str">
        <f>IFERROR(INDEX(Vendor_Master_Golden!$K$2:$K$208,MATCH(F267,Vendor_Master_Golden!$A$2:$A$208,0)),"-")</f>
        <v>Active</v>
      </c>
      <c r="I267" s="2" t="str">
        <f t="shared" si="12"/>
        <v>OK</v>
      </c>
      <c r="J267" s="2">
        <f>COUNTIFS($B$2:B267,B267,$A$2:A267,A267,$D$2:D267,D267)</f>
        <v>1</v>
      </c>
      <c r="K267" s="2">
        <f>COUNTIFS($F$2:F267,F267,$A$2:A267,A267,$D$2:D267,D267)</f>
        <v>1</v>
      </c>
      <c r="L267" s="2" t="str">
        <f t="shared" si="13"/>
        <v>Unique</v>
      </c>
      <c r="M267" s="2" t="str">
        <f t="shared" si="14"/>
        <v>No</v>
      </c>
    </row>
    <row r="268" spans="1:13" x14ac:dyDescent="0.35">
      <c r="A268" s="2" t="s">
        <v>2690</v>
      </c>
      <c r="B268" s="2" t="s">
        <v>1574</v>
      </c>
      <c r="C268" s="2" t="s">
        <v>2689</v>
      </c>
      <c r="D268" s="16">
        <v>32300</v>
      </c>
      <c r="E268" s="2" t="s">
        <v>2316</v>
      </c>
      <c r="F268" s="2" t="str">
        <f>IFERROR(INDEX(Vendor_ID_Map!$B$2:$B$229,MATCH(B268,Vendor_ID_Map!$A$2:$A$229,0)),"UNMAPPED")</f>
        <v>V1185</v>
      </c>
      <c r="G268" s="2" t="str">
        <f>IFERROR(INDEX(Vendor_Master_Golden!$B$2:$B$208,MATCH(F268,Vendor_Master_Golden!$A$2:$A$208,0)),"-")</f>
        <v>Ganga Landscaping Private Limited</v>
      </c>
      <c r="H268" s="2" t="str">
        <f>IFERROR(INDEX(Vendor_Master_Golden!$K$2:$K$208,MATCH(F268,Vendor_Master_Golden!$A$2:$A$208,0)),"-")</f>
        <v>Active</v>
      </c>
      <c r="I268" s="2" t="str">
        <f t="shared" si="12"/>
        <v>OK</v>
      </c>
      <c r="J268" s="2">
        <f>COUNTIFS($B$2:B268,B268,$A$2:A268,A268,$D$2:D268,D268)</f>
        <v>1</v>
      </c>
      <c r="K268" s="2">
        <f>COUNTIFS($F$2:F268,F268,$A$2:A268,A268,$D$2:D268,D268)</f>
        <v>1</v>
      </c>
      <c r="L268" s="2" t="str">
        <f t="shared" si="13"/>
        <v>Unique</v>
      </c>
      <c r="M268" s="2" t="str">
        <f t="shared" si="14"/>
        <v>No</v>
      </c>
    </row>
    <row r="269" spans="1:13" x14ac:dyDescent="0.35">
      <c r="A269" s="2" t="s">
        <v>2691</v>
      </c>
      <c r="B269" s="2" t="s">
        <v>1506</v>
      </c>
      <c r="C269" s="2" t="s">
        <v>2689</v>
      </c>
      <c r="D269" s="16">
        <v>131400</v>
      </c>
      <c r="E269" s="2" t="s">
        <v>2314</v>
      </c>
      <c r="F269" s="2" t="str">
        <f>IFERROR(INDEX(Vendor_ID_Map!$B$2:$B$229,MATCH(B269,Vendor_ID_Map!$A$2:$A$229,0)),"UNMAPPED")</f>
        <v>V1196</v>
      </c>
      <c r="G269" s="2" t="str">
        <f>IFERROR(INDEX(Vendor_Master_Golden!$B$2:$B$208,MATCH(F269,Vendor_Master_Golden!$A$2:$A$208,0)),"-")</f>
        <v>Pinnacle Landscaping LLP</v>
      </c>
      <c r="H269" s="2" t="str">
        <f>IFERROR(INDEX(Vendor_Master_Golden!$K$2:$K$208,MATCH(F269,Vendor_Master_Golden!$A$2:$A$208,0)),"-")</f>
        <v>Active</v>
      </c>
      <c r="I269" s="2" t="str">
        <f t="shared" si="12"/>
        <v>OK</v>
      </c>
      <c r="J269" s="2">
        <f>COUNTIFS($B$2:B269,B269,$A$2:A269,A269,$D$2:D269,D269)</f>
        <v>1</v>
      </c>
      <c r="K269" s="2">
        <f>COUNTIFS($F$2:F269,F269,$A$2:A269,A269,$D$2:D269,D269)</f>
        <v>1</v>
      </c>
      <c r="L269" s="2" t="str">
        <f t="shared" si="13"/>
        <v>Unique</v>
      </c>
      <c r="M269" s="2" t="str">
        <f t="shared" si="14"/>
        <v>No</v>
      </c>
    </row>
    <row r="270" spans="1:13" x14ac:dyDescent="0.35">
      <c r="A270" s="2" t="s">
        <v>2692</v>
      </c>
      <c r="B270" s="2" t="s">
        <v>255</v>
      </c>
      <c r="C270" s="2" t="s">
        <v>2689</v>
      </c>
      <c r="D270" s="16">
        <v>34900</v>
      </c>
      <c r="E270" s="2" t="s">
        <v>2314</v>
      </c>
      <c r="F270" s="2" t="str">
        <f>IFERROR(INDEX(Vendor_ID_Map!$B$2:$B$229,MATCH(B270,Vendor_ID_Map!$A$2:$A$229,0)),"UNMAPPED")</f>
        <v>V1131</v>
      </c>
      <c r="G270" s="2" t="str">
        <f>IFERROR(INDEX(Vendor_Master_Golden!$B$2:$B$208,MATCH(F270,Vendor_Master_Golden!$A$2:$A$208,0)),"-")</f>
        <v>Falcon Power Systems Private Limited</v>
      </c>
      <c r="H270" s="2" t="str">
        <f>IFERROR(INDEX(Vendor_Master_Golden!$K$2:$K$208,MATCH(F270,Vendor_Master_Golden!$A$2:$A$208,0)),"-")</f>
        <v>Inactive</v>
      </c>
      <c r="I270" s="2" t="str">
        <f t="shared" si="12"/>
        <v>Inactive Vendor</v>
      </c>
      <c r="J270" s="2">
        <f>COUNTIFS($B$2:B270,B270,$A$2:A270,A270,$D$2:D270,D270)</f>
        <v>1</v>
      </c>
      <c r="K270" s="2">
        <f>COUNTIFS($F$2:F270,F270,$A$2:A270,A270,$D$2:D270,D270)</f>
        <v>1</v>
      </c>
      <c r="L270" s="2" t="str">
        <f t="shared" si="13"/>
        <v>Unique</v>
      </c>
      <c r="M270" s="2" t="str">
        <f t="shared" si="14"/>
        <v>No</v>
      </c>
    </row>
    <row r="271" spans="1:13" x14ac:dyDescent="0.35">
      <c r="A271" s="2" t="s">
        <v>2693</v>
      </c>
      <c r="B271" s="2" t="s">
        <v>123</v>
      </c>
      <c r="C271" s="2" t="s">
        <v>2689</v>
      </c>
      <c r="D271" s="16">
        <v>96900</v>
      </c>
      <c r="E271" s="2" t="s">
        <v>2316</v>
      </c>
      <c r="F271" s="2" t="str">
        <f>IFERROR(INDEX(Vendor_ID_Map!$B$2:$B$229,MATCH(B271,Vendor_ID_Map!$A$2:$A$229,0)),"UNMAPPED")</f>
        <v>V1109</v>
      </c>
      <c r="G271" s="2" t="str">
        <f>IFERROR(INDEX(Vendor_Master_Golden!$B$2:$B$208,MATCH(F271,Vendor_Master_Golden!$A$2:$A$208,0)),"-")</f>
        <v>Sunrise Housekeeping LLP</v>
      </c>
      <c r="H271" s="2" t="str">
        <f>IFERROR(INDEX(Vendor_Master_Golden!$K$2:$K$208,MATCH(F271,Vendor_Master_Golden!$A$2:$A$208,0)),"-")</f>
        <v>Active</v>
      </c>
      <c r="I271" s="2" t="str">
        <f t="shared" si="12"/>
        <v>OK</v>
      </c>
      <c r="J271" s="2">
        <f>COUNTIFS($B$2:B271,B271,$A$2:A271,A271,$D$2:D271,D271)</f>
        <v>1</v>
      </c>
      <c r="K271" s="2">
        <f>COUNTIFS($F$2:F271,F271,$A$2:A271,A271,$D$2:D271,D271)</f>
        <v>1</v>
      </c>
      <c r="L271" s="2" t="str">
        <f t="shared" si="13"/>
        <v>Unique</v>
      </c>
      <c r="M271" s="2" t="str">
        <f t="shared" si="14"/>
        <v>No</v>
      </c>
    </row>
    <row r="272" spans="1:13" x14ac:dyDescent="0.35">
      <c r="A272" s="2" t="s">
        <v>2694</v>
      </c>
      <c r="B272" s="2" t="s">
        <v>166</v>
      </c>
      <c r="C272" s="2" t="s">
        <v>2689</v>
      </c>
      <c r="D272" s="16">
        <v>50600</v>
      </c>
      <c r="E272" s="2" t="s">
        <v>2316</v>
      </c>
      <c r="F272" s="2" t="str">
        <f>IFERROR(INDEX(Vendor_ID_Map!$B$2:$B$229,MATCH(B272,Vendor_ID_Map!$A$2:$A$229,0)),"UNMAPPED")</f>
        <v>V1047</v>
      </c>
      <c r="G272" s="2" t="str">
        <f>IFERROR(INDEX(Vendor_Master_Golden!$B$2:$B$208,MATCH(F272,Vendor_Master_Golden!$A$2:$A$208,0)),"-")</f>
        <v>Nova Pest Control Private Limited</v>
      </c>
      <c r="H272" s="2" t="str">
        <f>IFERROR(INDEX(Vendor_Master_Golden!$K$2:$K$208,MATCH(F272,Vendor_Master_Golden!$A$2:$A$208,0)),"-")</f>
        <v>Active</v>
      </c>
      <c r="I272" s="2" t="str">
        <f t="shared" si="12"/>
        <v>OK</v>
      </c>
      <c r="J272" s="2">
        <f>COUNTIFS($B$2:B272,B272,$A$2:A272,A272,$D$2:D272,D272)</f>
        <v>1</v>
      </c>
      <c r="K272" s="2">
        <f>COUNTIFS($F$2:F272,F272,$A$2:A272,A272,$D$2:D272,D272)</f>
        <v>1</v>
      </c>
      <c r="L272" s="2" t="str">
        <f t="shared" si="13"/>
        <v>Unique</v>
      </c>
      <c r="M272" s="2" t="str">
        <f t="shared" si="14"/>
        <v>No</v>
      </c>
    </row>
    <row r="273" spans="1:13" x14ac:dyDescent="0.35">
      <c r="A273" s="2" t="s">
        <v>2695</v>
      </c>
      <c r="B273" s="2" t="s">
        <v>1440</v>
      </c>
      <c r="C273" s="2" t="s">
        <v>2696</v>
      </c>
      <c r="D273" s="16">
        <v>48700</v>
      </c>
      <c r="E273" s="2" t="s">
        <v>2314</v>
      </c>
      <c r="F273" s="2" t="str">
        <f>IFERROR(INDEX(Vendor_ID_Map!$B$2:$B$229,MATCH(B273,Vendor_ID_Map!$A$2:$A$229,0)),"UNMAPPED")</f>
        <v>V1148</v>
      </c>
      <c r="G273" s="2" t="str">
        <f>IFERROR(INDEX(Vendor_Master_Golden!$B$2:$B$208,MATCH(F273,Vendor_Master_Golden!$A$2:$A$208,0)),"-")</f>
        <v>Falcon Maintenance Limited</v>
      </c>
      <c r="H273" s="2" t="str">
        <f>IFERROR(INDEX(Vendor_Master_Golden!$K$2:$K$208,MATCH(F273,Vendor_Master_Golden!$A$2:$A$208,0)),"-")</f>
        <v>Inactive</v>
      </c>
      <c r="I273" s="2" t="str">
        <f t="shared" si="12"/>
        <v>Inactive Vendor</v>
      </c>
      <c r="J273" s="2">
        <f>COUNTIFS($B$2:B273,B273,$A$2:A273,A273,$D$2:D273,D273)</f>
        <v>1</v>
      </c>
      <c r="K273" s="2">
        <f>COUNTIFS($F$2:F273,F273,$A$2:A273,A273,$D$2:D273,D273)</f>
        <v>1</v>
      </c>
      <c r="L273" s="2" t="str">
        <f t="shared" si="13"/>
        <v>Unique</v>
      </c>
      <c r="M273" s="2" t="str">
        <f t="shared" si="14"/>
        <v>No</v>
      </c>
    </row>
    <row r="274" spans="1:13" x14ac:dyDescent="0.35">
      <c r="A274" s="2" t="s">
        <v>2697</v>
      </c>
      <c r="B274" s="2" t="s">
        <v>760</v>
      </c>
      <c r="C274" s="2" t="s">
        <v>2696</v>
      </c>
      <c r="D274" s="16">
        <v>63500</v>
      </c>
      <c r="E274" s="2" t="s">
        <v>2316</v>
      </c>
      <c r="F274" s="2" t="str">
        <f>IFERROR(INDEX(Vendor_ID_Map!$B$2:$B$229,MATCH(B274,Vendor_ID_Map!$A$2:$A$229,0)),"UNMAPPED")</f>
        <v>V1061</v>
      </c>
      <c r="G274" s="2" t="str">
        <f>IFERROR(INDEX(Vendor_Master_Golden!$B$2:$B$208,MATCH(F274,Vendor_Master_Golden!$A$2:$A$208,0)),"-")</f>
        <v>Western Landscaping LLP</v>
      </c>
      <c r="H274" s="2" t="str">
        <f>IFERROR(INDEX(Vendor_Master_Golden!$K$2:$K$208,MATCH(F274,Vendor_Master_Golden!$A$2:$A$208,0)),"-")</f>
        <v>Active</v>
      </c>
      <c r="I274" s="2" t="str">
        <f t="shared" si="12"/>
        <v>OK</v>
      </c>
      <c r="J274" s="2">
        <f>COUNTIFS($B$2:B274,B274,$A$2:A274,A274,$D$2:D274,D274)</f>
        <v>1</v>
      </c>
      <c r="K274" s="2">
        <f>COUNTIFS($F$2:F274,F274,$A$2:A274,A274,$D$2:D274,D274)</f>
        <v>1</v>
      </c>
      <c r="L274" s="2" t="str">
        <f t="shared" si="13"/>
        <v>Unique</v>
      </c>
      <c r="M274" s="2" t="str">
        <f t="shared" si="14"/>
        <v>No</v>
      </c>
    </row>
    <row r="275" spans="1:13" x14ac:dyDescent="0.35">
      <c r="A275" s="2" t="s">
        <v>2698</v>
      </c>
      <c r="B275" s="2" t="s">
        <v>308</v>
      </c>
      <c r="C275" s="2" t="s">
        <v>2699</v>
      </c>
      <c r="D275" s="16">
        <v>39900</v>
      </c>
      <c r="E275" s="2" t="s">
        <v>2314</v>
      </c>
      <c r="F275" s="2" t="str">
        <f>IFERROR(INDEX(Vendor_ID_Map!$B$2:$B$229,MATCH(B275,Vendor_ID_Map!$A$2:$A$229,0)),"UNMAPPED")</f>
        <v>V1082</v>
      </c>
      <c r="G275" s="2" t="str">
        <f>IFERROR(INDEX(Vendor_Master_Golden!$B$2:$B$208,MATCH(F275,Vendor_Master_Golden!$A$2:$A$208,0)),"-")</f>
        <v>Horizon IT Services LLP</v>
      </c>
      <c r="H275" s="2" t="str">
        <f>IFERROR(INDEX(Vendor_Master_Golden!$K$2:$K$208,MATCH(F275,Vendor_Master_Golden!$A$2:$A$208,0)),"-")</f>
        <v>Active</v>
      </c>
      <c r="I275" s="2" t="str">
        <f t="shared" si="12"/>
        <v>OK</v>
      </c>
      <c r="J275" s="2">
        <f>COUNTIFS($B$2:B275,B275,$A$2:A275,A275,$D$2:D275,D275)</f>
        <v>1</v>
      </c>
      <c r="K275" s="2">
        <f>COUNTIFS($F$2:F275,F275,$A$2:A275,A275,$D$2:D275,D275)</f>
        <v>1</v>
      </c>
      <c r="L275" s="2" t="str">
        <f t="shared" si="13"/>
        <v>Unique</v>
      </c>
      <c r="M275" s="2" t="str">
        <f t="shared" si="14"/>
        <v>No</v>
      </c>
    </row>
    <row r="276" spans="1:13" x14ac:dyDescent="0.35">
      <c r="A276" s="2" t="s">
        <v>2700</v>
      </c>
      <c r="B276" s="2" t="s">
        <v>449</v>
      </c>
      <c r="C276" s="2" t="s">
        <v>2699</v>
      </c>
      <c r="D276" s="16">
        <v>108600</v>
      </c>
      <c r="E276" s="2" t="s">
        <v>2316</v>
      </c>
      <c r="F276" s="2" t="str">
        <f>IFERROR(INDEX(Vendor_ID_Map!$B$2:$B$229,MATCH(B276,Vendor_ID_Map!$A$2:$A$229,0)),"UNMAPPED")</f>
        <v>V1156</v>
      </c>
      <c r="G276" s="2" t="str">
        <f>IFERROR(INDEX(Vendor_Master_Golden!$B$2:$B$208,MATCH(F276,Vendor_Master_Golden!$A$2:$A$208,0)),"-")</f>
        <v>Kaveri Pest Control LLP</v>
      </c>
      <c r="H276" s="2" t="str">
        <f>IFERROR(INDEX(Vendor_Master_Golden!$K$2:$K$208,MATCH(F276,Vendor_Master_Golden!$A$2:$A$208,0)),"-")</f>
        <v>Active</v>
      </c>
      <c r="I276" s="2" t="str">
        <f t="shared" si="12"/>
        <v>OK</v>
      </c>
      <c r="J276" s="2">
        <f>COUNTIFS($B$2:B276,B276,$A$2:A276,A276,$D$2:D276,D276)</f>
        <v>1</v>
      </c>
      <c r="K276" s="2">
        <f>COUNTIFS($F$2:F276,F276,$A$2:A276,A276,$D$2:D276,D276)</f>
        <v>1</v>
      </c>
      <c r="L276" s="2" t="str">
        <f t="shared" si="13"/>
        <v>Unique</v>
      </c>
      <c r="M276" s="2" t="str">
        <f t="shared" si="14"/>
        <v>No</v>
      </c>
    </row>
    <row r="277" spans="1:13" x14ac:dyDescent="0.35">
      <c r="A277" s="2" t="s">
        <v>2701</v>
      </c>
      <c r="B277" s="2" t="s">
        <v>994</v>
      </c>
      <c r="C277" s="2" t="s">
        <v>2699</v>
      </c>
      <c r="D277" s="16">
        <v>37600</v>
      </c>
      <c r="E277" s="2" t="s">
        <v>2314</v>
      </c>
      <c r="F277" s="2" t="str">
        <f>IFERROR(INDEX(Vendor_ID_Map!$B$2:$B$229,MATCH(B277,Vendor_ID_Map!$A$2:$A$229,0)),"UNMAPPED")</f>
        <v>V1076</v>
      </c>
      <c r="G277" s="2" t="str">
        <f>IFERROR(INDEX(Vendor_Master_Golden!$B$2:$B$208,MATCH(F277,Vendor_Master_Golden!$A$2:$A$208,0)),"-")</f>
        <v>Quantum Power Systems Private Limited</v>
      </c>
      <c r="H277" s="2" t="str">
        <f>IFERROR(INDEX(Vendor_Master_Golden!$K$2:$K$208,MATCH(F277,Vendor_Master_Golden!$A$2:$A$208,0)),"-")</f>
        <v>Active</v>
      </c>
      <c r="I277" s="2" t="str">
        <f t="shared" si="12"/>
        <v>OK</v>
      </c>
      <c r="J277" s="2">
        <f>COUNTIFS($B$2:B277,B277,$A$2:A277,A277,$D$2:D277,D277)</f>
        <v>1</v>
      </c>
      <c r="K277" s="2">
        <f>COUNTIFS($F$2:F277,F277,$A$2:A277,A277,$D$2:D277,D277)</f>
        <v>1</v>
      </c>
      <c r="L277" s="2" t="str">
        <f t="shared" si="13"/>
        <v>Unique</v>
      </c>
      <c r="M277" s="2" t="str">
        <f t="shared" si="14"/>
        <v>No</v>
      </c>
    </row>
    <row r="278" spans="1:13" x14ac:dyDescent="0.35">
      <c r="A278" s="2" t="s">
        <v>2702</v>
      </c>
      <c r="B278" s="2" t="s">
        <v>291</v>
      </c>
      <c r="C278" s="2" t="s">
        <v>2703</v>
      </c>
      <c r="D278" s="16">
        <v>66500</v>
      </c>
      <c r="E278" s="2" t="s">
        <v>2314</v>
      </c>
      <c r="F278" s="2" t="str">
        <f>IFERROR(INDEX(Vendor_ID_Map!$B$2:$B$229,MATCH(B278,Vendor_ID_Map!$A$2:$A$229,0)),"UNMAPPED")</f>
        <v>V1104</v>
      </c>
      <c r="G278" s="2" t="str">
        <f>IFERROR(INDEX(Vendor_Master_Golden!$B$2:$B$208,MATCH(F278,Vendor_Master_Golden!$A$2:$A$208,0)),"-")</f>
        <v>Crestline Logistics LLP</v>
      </c>
      <c r="H278" s="2" t="str">
        <f>IFERROR(INDEX(Vendor_Master_Golden!$K$2:$K$208,MATCH(F278,Vendor_Master_Golden!$A$2:$A$208,0)),"-")</f>
        <v>Inactive</v>
      </c>
      <c r="I278" s="2" t="str">
        <f t="shared" si="12"/>
        <v>Inactive Vendor</v>
      </c>
      <c r="J278" s="2">
        <f>COUNTIFS($B$2:B278,B278,$A$2:A278,A278,$D$2:D278,D278)</f>
        <v>1</v>
      </c>
      <c r="K278" s="2">
        <f>COUNTIFS($F$2:F278,F278,$A$2:A278,A278,$D$2:D278,D278)</f>
        <v>1</v>
      </c>
      <c r="L278" s="2" t="str">
        <f t="shared" si="13"/>
        <v>Unique</v>
      </c>
      <c r="M278" s="2" t="str">
        <f t="shared" si="14"/>
        <v>No</v>
      </c>
    </row>
    <row r="279" spans="1:13" x14ac:dyDescent="0.35">
      <c r="A279" s="2" t="s">
        <v>2704</v>
      </c>
      <c r="B279" s="2" t="s">
        <v>774</v>
      </c>
      <c r="C279" s="2" t="s">
        <v>2705</v>
      </c>
      <c r="D279" s="16">
        <v>40000</v>
      </c>
      <c r="E279" s="2" t="s">
        <v>2314</v>
      </c>
      <c r="F279" s="2" t="str">
        <f>IFERROR(INDEX(Vendor_ID_Map!$B$2:$B$229,MATCH(B279,Vendor_ID_Map!$A$2:$A$229,0)),"UNMAPPED")</f>
        <v>V1130</v>
      </c>
      <c r="G279" s="2" t="str">
        <f>IFERROR(INDEX(Vendor_Master_Golden!$B$2:$B$208,MATCH(F279,Vendor_Master_Golden!$A$2:$A$208,0)),"-")</f>
        <v>Evergreen Facility Services Pvt Ltd</v>
      </c>
      <c r="H279" s="2" t="str">
        <f>IFERROR(INDEX(Vendor_Master_Golden!$K$2:$K$208,MATCH(F279,Vendor_Master_Golden!$A$2:$A$208,0)),"-")</f>
        <v>Active</v>
      </c>
      <c r="I279" s="2" t="str">
        <f t="shared" si="12"/>
        <v>OK</v>
      </c>
      <c r="J279" s="2">
        <f>COUNTIFS($B$2:B279,B279,$A$2:A279,A279,$D$2:D279,D279)</f>
        <v>1</v>
      </c>
      <c r="K279" s="2">
        <f>COUNTIFS($F$2:F279,F279,$A$2:A279,A279,$D$2:D279,D279)</f>
        <v>1</v>
      </c>
      <c r="L279" s="2" t="str">
        <f t="shared" si="13"/>
        <v>Unique</v>
      </c>
      <c r="M279" s="2" t="str">
        <f t="shared" si="14"/>
        <v>No</v>
      </c>
    </row>
    <row r="280" spans="1:13" x14ac:dyDescent="0.35">
      <c r="A280" s="2" t="s">
        <v>2706</v>
      </c>
      <c r="B280" s="2" t="s">
        <v>1974</v>
      </c>
      <c r="C280" s="2" t="s">
        <v>2705</v>
      </c>
      <c r="D280" s="16">
        <v>45600</v>
      </c>
      <c r="E280" s="2" t="s">
        <v>2316</v>
      </c>
      <c r="F280" s="2" t="str">
        <f>IFERROR(INDEX(Vendor_ID_Map!$B$2:$B$229,MATCH(B280,Vendor_ID_Map!$A$2:$A$229,0)),"UNMAPPED")</f>
        <v>V1004</v>
      </c>
      <c r="G280" s="2" t="str">
        <f>IFERROR(INDEX(Vendor_Master_Golden!$B$2:$B$208,MATCH(F280,Vendor_Master_Golden!$A$2:$A$208,0)),"-")</f>
        <v>Deccan Electricals Private Limited</v>
      </c>
      <c r="H280" s="2" t="str">
        <f>IFERROR(INDEX(Vendor_Master_Golden!$K$2:$K$208,MATCH(F280,Vendor_Master_Golden!$A$2:$A$208,0)),"-")</f>
        <v>Active</v>
      </c>
      <c r="I280" s="2" t="str">
        <f t="shared" si="12"/>
        <v>OK</v>
      </c>
      <c r="J280" s="2">
        <f>COUNTIFS($B$2:B280,B280,$A$2:A280,A280,$D$2:D280,D280)</f>
        <v>1</v>
      </c>
      <c r="K280" s="2">
        <f>COUNTIFS($F$2:F280,F280,$A$2:A280,A280,$D$2:D280,D280)</f>
        <v>1</v>
      </c>
      <c r="L280" s="2" t="str">
        <f t="shared" si="13"/>
        <v>Unique</v>
      </c>
      <c r="M280" s="2" t="str">
        <f t="shared" si="14"/>
        <v>No</v>
      </c>
    </row>
    <row r="281" spans="1:13" x14ac:dyDescent="0.35">
      <c r="A281" s="2" t="s">
        <v>2707</v>
      </c>
      <c r="B281" s="2" t="s">
        <v>655</v>
      </c>
      <c r="C281" s="2" t="s">
        <v>2705</v>
      </c>
      <c r="D281" s="16">
        <v>51600</v>
      </c>
      <c r="E281" s="2" t="s">
        <v>2314</v>
      </c>
      <c r="F281" s="2" t="str">
        <f>IFERROR(INDEX(Vendor_ID_Map!$B$2:$B$229,MATCH(B281,Vendor_ID_Map!$A$2:$A$229,0)),"UNMAPPED")</f>
        <v>V1149</v>
      </c>
      <c r="G281" s="2" t="str">
        <f>IFERROR(INDEX(Vendor_Master_Golden!$B$2:$B$208,MATCH(F281,Vendor_Master_Golden!$A$2:$A$208,0)),"-")</f>
        <v>Aaryan Power Systems LLP</v>
      </c>
      <c r="H281" s="2" t="str">
        <f>IFERROR(INDEX(Vendor_Master_Golden!$K$2:$K$208,MATCH(F281,Vendor_Master_Golden!$A$2:$A$208,0)),"-")</f>
        <v>Active</v>
      </c>
      <c r="I281" s="2" t="str">
        <f t="shared" si="12"/>
        <v>OK</v>
      </c>
      <c r="J281" s="2">
        <f>COUNTIFS($B$2:B281,B281,$A$2:A281,A281,$D$2:D281,D281)</f>
        <v>1</v>
      </c>
      <c r="K281" s="2">
        <f>COUNTIFS($F$2:F281,F281,$A$2:A281,A281,$D$2:D281,D281)</f>
        <v>1</v>
      </c>
      <c r="L281" s="2" t="str">
        <f t="shared" si="13"/>
        <v>Unique</v>
      </c>
      <c r="M281" s="2" t="str">
        <f t="shared" si="14"/>
        <v>No</v>
      </c>
    </row>
    <row r="282" spans="1:13" x14ac:dyDescent="0.35">
      <c r="A282" s="2" t="s">
        <v>2708</v>
      </c>
      <c r="B282" s="2" t="s">
        <v>2535</v>
      </c>
      <c r="C282" s="2" t="s">
        <v>1573</v>
      </c>
      <c r="D282" s="16">
        <v>125600</v>
      </c>
      <c r="E282" s="2" t="s">
        <v>2314</v>
      </c>
      <c r="F282" s="2" t="str">
        <f>IFERROR(INDEX(Vendor_ID_Map!$B$2:$B$229,MATCH(B282,Vendor_ID_Map!$A$2:$A$229,0)),"UNMAPPED")</f>
        <v>UNMAPPED</v>
      </c>
      <c r="G282" s="2" t="str">
        <f>IFERROR(INDEX(Vendor_Master_Golden!$B$2:$B$208,MATCH(F282,Vendor_Master_Golden!$A$2:$A$208,0)),"-")</f>
        <v>-</v>
      </c>
      <c r="H282" s="2" t="str">
        <f>IFERROR(INDEX(Vendor_Master_Golden!$K$2:$K$208,MATCH(F282,Vendor_Master_Golden!$A$2:$A$208,0)),"-")</f>
        <v>-</v>
      </c>
      <c r="I282" s="2" t="str">
        <f t="shared" si="12"/>
        <v>Orphan Vendor ID</v>
      </c>
      <c r="J282" s="2">
        <f>COUNTIFS($B$2:B282,B282,$A$2:A282,A282,$D$2:D282,D282)</f>
        <v>1</v>
      </c>
      <c r="K282" s="2">
        <f>COUNTIFS($F$2:F282,F282,$A$2:A282,A282,$D$2:D282,D282)</f>
        <v>1</v>
      </c>
      <c r="L282" s="2" t="str">
        <f t="shared" si="13"/>
        <v>Unique</v>
      </c>
      <c r="M282" s="2" t="str">
        <f t="shared" si="14"/>
        <v>No</v>
      </c>
    </row>
    <row r="283" spans="1:13" x14ac:dyDescent="0.35">
      <c r="A283" s="2" t="s">
        <v>2709</v>
      </c>
      <c r="B283" s="2" t="s">
        <v>1666</v>
      </c>
      <c r="C283" s="2" t="s">
        <v>1573</v>
      </c>
      <c r="D283" s="16">
        <v>69400</v>
      </c>
      <c r="E283" s="2" t="s">
        <v>2314</v>
      </c>
      <c r="F283" s="2" t="str">
        <f>IFERROR(INDEX(Vendor_ID_Map!$B$2:$B$229,MATCH(B283,Vendor_ID_Map!$A$2:$A$229,0)),"UNMAPPED")</f>
        <v>V1140</v>
      </c>
      <c r="G283" s="2" t="str">
        <f>IFERROR(INDEX(Vendor_Master_Golden!$B$2:$B$208,MATCH(F283,Vendor_Master_Golden!$A$2:$A$208,0)),"-")</f>
        <v>Apex Logistics LLP</v>
      </c>
      <c r="H283" s="2" t="str">
        <f>IFERROR(INDEX(Vendor_Master_Golden!$K$2:$K$208,MATCH(F283,Vendor_Master_Golden!$A$2:$A$208,0)),"-")</f>
        <v>Active</v>
      </c>
      <c r="I283" s="2" t="str">
        <f t="shared" si="12"/>
        <v>OK</v>
      </c>
      <c r="J283" s="2">
        <f>COUNTIFS($B$2:B283,B283,$A$2:A283,A283,$D$2:D283,D283)</f>
        <v>1</v>
      </c>
      <c r="K283" s="2">
        <f>COUNTIFS($F$2:F283,F283,$A$2:A283,A283,$D$2:D283,D283)</f>
        <v>1</v>
      </c>
      <c r="L283" s="2" t="str">
        <f t="shared" si="13"/>
        <v>Unique</v>
      </c>
      <c r="M283" s="2" t="str">
        <f t="shared" si="14"/>
        <v>No</v>
      </c>
    </row>
    <row r="284" spans="1:13" x14ac:dyDescent="0.35">
      <c r="A284" s="2" t="s">
        <v>2710</v>
      </c>
      <c r="B284" s="2" t="s">
        <v>133</v>
      </c>
      <c r="C284" s="2" t="s">
        <v>1573</v>
      </c>
      <c r="D284" s="16">
        <v>36900</v>
      </c>
      <c r="E284" s="2" t="s">
        <v>2314</v>
      </c>
      <c r="F284" s="2" t="str">
        <f>IFERROR(INDEX(Vendor_ID_Map!$B$2:$B$229,MATCH(B284,Vendor_ID_Map!$A$2:$A$229,0)),"UNMAPPED")</f>
        <v>V1054</v>
      </c>
      <c r="G284" s="2" t="str">
        <f>IFERROR(INDEX(Vendor_Master_Golden!$B$2:$B$208,MATCH(F284,Vendor_Master_Golden!$A$2:$A$208,0)),"-")</f>
        <v>Quantum Stationers Pvt Ltd</v>
      </c>
      <c r="H284" s="2" t="str">
        <f>IFERROR(INDEX(Vendor_Master_Golden!$K$2:$K$208,MATCH(F284,Vendor_Master_Golden!$A$2:$A$208,0)),"-")</f>
        <v>Inactive</v>
      </c>
      <c r="I284" s="2" t="str">
        <f t="shared" si="12"/>
        <v>Inactive Vendor</v>
      </c>
      <c r="J284" s="2">
        <f>COUNTIFS($B$2:B284,B284,$A$2:A284,A284,$D$2:D284,D284)</f>
        <v>1</v>
      </c>
      <c r="K284" s="2">
        <f>COUNTIFS($F$2:F284,F284,$A$2:A284,A284,$D$2:D284,D284)</f>
        <v>1</v>
      </c>
      <c r="L284" s="2" t="str">
        <f t="shared" si="13"/>
        <v>Unique</v>
      </c>
      <c r="M284" s="2" t="str">
        <f t="shared" si="14"/>
        <v>No</v>
      </c>
    </row>
    <row r="285" spans="1:13" x14ac:dyDescent="0.35">
      <c r="A285" s="2" t="s">
        <v>2711</v>
      </c>
      <c r="B285" s="2" t="s">
        <v>396</v>
      </c>
      <c r="C285" s="2" t="s">
        <v>2712</v>
      </c>
      <c r="D285" s="16">
        <v>73400</v>
      </c>
      <c r="E285" s="2" t="s">
        <v>2316</v>
      </c>
      <c r="F285" s="2" t="str">
        <f>IFERROR(INDEX(Vendor_ID_Map!$B$2:$B$229,MATCH(B285,Vendor_ID_Map!$A$2:$A$229,0)),"UNMAPPED")</f>
        <v>V1015</v>
      </c>
      <c r="G285" s="2" t="str">
        <f>IFERROR(INDEX(Vendor_Master_Golden!$B$2:$B$208,MATCH(F285,Vendor_Master_Golden!$A$2:$A$208,0)),"-")</f>
        <v>Vertex Power Systems Pvt Ltd</v>
      </c>
      <c r="H285" s="2" t="str">
        <f>IFERROR(INDEX(Vendor_Master_Golden!$K$2:$K$208,MATCH(F285,Vendor_Master_Golden!$A$2:$A$208,0)),"-")</f>
        <v>Active</v>
      </c>
      <c r="I285" s="2" t="str">
        <f t="shared" si="12"/>
        <v>OK</v>
      </c>
      <c r="J285" s="2">
        <f>COUNTIFS($B$2:B285,B285,$A$2:A285,A285,$D$2:D285,D285)</f>
        <v>1</v>
      </c>
      <c r="K285" s="2">
        <f>COUNTIFS($F$2:F285,F285,$A$2:A285,A285,$D$2:D285,D285)</f>
        <v>1</v>
      </c>
      <c r="L285" s="2" t="str">
        <f t="shared" si="13"/>
        <v>Unique</v>
      </c>
      <c r="M285" s="2" t="str">
        <f t="shared" si="14"/>
        <v>No</v>
      </c>
    </row>
    <row r="286" spans="1:13" x14ac:dyDescent="0.35">
      <c r="A286" s="2" t="s">
        <v>2713</v>
      </c>
      <c r="B286" s="2" t="s">
        <v>1158</v>
      </c>
      <c r="C286" s="2" t="s">
        <v>2712</v>
      </c>
      <c r="D286" s="16">
        <v>226900</v>
      </c>
      <c r="E286" s="2" t="s">
        <v>2314</v>
      </c>
      <c r="F286" s="2" t="str">
        <f>IFERROR(INDEX(Vendor_ID_Map!$B$2:$B$229,MATCH(B286,Vendor_ID_Map!$A$2:$A$229,0)),"UNMAPPED")</f>
        <v>V1060</v>
      </c>
      <c r="G286" s="2" t="str">
        <f>IFERROR(INDEX(Vendor_Master_Golden!$B$2:$B$208,MATCH(F286,Vendor_Master_Golden!$A$2:$A$208,0)),"-")</f>
        <v>Kaveri Maintenance Limited</v>
      </c>
      <c r="H286" s="2" t="str">
        <f>IFERROR(INDEX(Vendor_Master_Golden!$K$2:$K$208,MATCH(F286,Vendor_Master_Golden!$A$2:$A$208,0)),"-")</f>
        <v>Active</v>
      </c>
      <c r="I286" s="2" t="str">
        <f t="shared" si="12"/>
        <v>OK</v>
      </c>
      <c r="J286" s="2">
        <f>COUNTIFS($B$2:B286,B286,$A$2:A286,A286,$D$2:D286,D286)</f>
        <v>1</v>
      </c>
      <c r="K286" s="2">
        <f>COUNTIFS($F$2:F286,F286,$A$2:A286,A286,$D$2:D286,D286)</f>
        <v>1</v>
      </c>
      <c r="L286" s="2" t="str">
        <f t="shared" si="13"/>
        <v>Unique</v>
      </c>
      <c r="M286" s="2" t="str">
        <f t="shared" si="14"/>
        <v>No</v>
      </c>
    </row>
    <row r="287" spans="1:13" x14ac:dyDescent="0.35">
      <c r="A287" s="2" t="s">
        <v>2714</v>
      </c>
      <c r="B287" s="2" t="s">
        <v>1297</v>
      </c>
      <c r="C287" s="2" t="s">
        <v>2712</v>
      </c>
      <c r="D287" s="16">
        <v>64400</v>
      </c>
      <c r="E287" s="2" t="s">
        <v>2314</v>
      </c>
      <c r="F287" s="2" t="str">
        <f>IFERROR(INDEX(Vendor_ID_Map!$B$2:$B$229,MATCH(B287,Vendor_ID_Map!$A$2:$A$229,0)),"UNMAPPED")</f>
        <v>V1107</v>
      </c>
      <c r="G287" s="2" t="str">
        <f>IFERROR(INDEX(Vendor_Master_Golden!$B$2:$B$208,MATCH(F287,Vendor_Master_Golden!$A$2:$A$208,0)),"-")</f>
        <v>Western Stationers LLP</v>
      </c>
      <c r="H287" s="2" t="str">
        <f>IFERROR(INDEX(Vendor_Master_Golden!$K$2:$K$208,MATCH(F287,Vendor_Master_Golden!$A$2:$A$208,0)),"-")</f>
        <v>Active</v>
      </c>
      <c r="I287" s="2" t="str">
        <f t="shared" si="12"/>
        <v>OK</v>
      </c>
      <c r="J287" s="2">
        <f>COUNTIFS($B$2:B287,B287,$A$2:A287,A287,$D$2:D287,D287)</f>
        <v>1</v>
      </c>
      <c r="K287" s="2">
        <f>COUNTIFS($F$2:F287,F287,$A$2:A287,A287,$D$2:D287,D287)</f>
        <v>1</v>
      </c>
      <c r="L287" s="2" t="str">
        <f t="shared" si="13"/>
        <v>Unique</v>
      </c>
      <c r="M287" s="2" t="str">
        <f t="shared" si="14"/>
        <v>No</v>
      </c>
    </row>
    <row r="288" spans="1:13" x14ac:dyDescent="0.35">
      <c r="A288" s="2" t="s">
        <v>2715</v>
      </c>
      <c r="B288" s="2" t="s">
        <v>1515</v>
      </c>
      <c r="C288" s="2" t="s">
        <v>2716</v>
      </c>
      <c r="D288" s="16">
        <v>199600</v>
      </c>
      <c r="E288" s="2" t="s">
        <v>2314</v>
      </c>
      <c r="F288" s="2" t="str">
        <f>IFERROR(INDEX(Vendor_ID_Map!$B$2:$B$229,MATCH(B288,Vendor_ID_Map!$A$2:$A$229,0)),"UNMAPPED")</f>
        <v>V1223</v>
      </c>
      <c r="G288" s="2" t="str">
        <f>IFERROR(INDEX(Vendor_Master_Golden!$B$2:$B$208,MATCH(F288,Vendor_Master_Golden!$A$2:$A$208,0)),"-")</f>
        <v>Orchid Elec. Limited</v>
      </c>
      <c r="H288" s="2" t="str">
        <f>IFERROR(INDEX(Vendor_Master_Golden!$K$2:$K$208,MATCH(F288,Vendor_Master_Golden!$A$2:$A$208,0)),"-")</f>
        <v>Active</v>
      </c>
      <c r="I288" s="2" t="str">
        <f t="shared" si="12"/>
        <v>OK</v>
      </c>
      <c r="J288" s="2">
        <f>COUNTIFS($B$2:B288,B288,$A$2:A288,A288,$D$2:D288,D288)</f>
        <v>1</v>
      </c>
      <c r="K288" s="2">
        <f>COUNTIFS($F$2:F288,F288,$A$2:A288,A288,$D$2:D288,D288)</f>
        <v>1</v>
      </c>
      <c r="L288" s="2" t="str">
        <f t="shared" si="13"/>
        <v>Unique</v>
      </c>
      <c r="M288" s="2" t="str">
        <f t="shared" si="14"/>
        <v>No</v>
      </c>
    </row>
    <row r="289" spans="1:13" x14ac:dyDescent="0.35">
      <c r="A289" s="2" t="s">
        <v>2717</v>
      </c>
      <c r="B289" s="2" t="s">
        <v>1145</v>
      </c>
      <c r="C289" s="2" t="s">
        <v>2716</v>
      </c>
      <c r="D289" s="16">
        <v>48300</v>
      </c>
      <c r="E289" s="2" t="s">
        <v>2316</v>
      </c>
      <c r="F289" s="2" t="str">
        <f>IFERROR(INDEX(Vendor_ID_Map!$B$2:$B$229,MATCH(B289,Vendor_ID_Map!$A$2:$A$229,0)),"UNMAPPED")</f>
        <v>V1096</v>
      </c>
      <c r="G289" s="2" t="str">
        <f>IFERROR(INDEX(Vendor_Master_Golden!$B$2:$B$208,MATCH(F289,Vendor_Master_Golden!$A$2:$A$208,0)),"-")</f>
        <v>Deccan Maintenance Private Limited</v>
      </c>
      <c r="H289" s="2" t="str">
        <f>IFERROR(INDEX(Vendor_Master_Golden!$K$2:$K$208,MATCH(F289,Vendor_Master_Golden!$A$2:$A$208,0)),"-")</f>
        <v>Active</v>
      </c>
      <c r="I289" s="2" t="str">
        <f t="shared" si="12"/>
        <v>OK</v>
      </c>
      <c r="J289" s="2">
        <f>COUNTIFS($B$2:B289,B289,$A$2:A289,A289,$D$2:D289,D289)</f>
        <v>1</v>
      </c>
      <c r="K289" s="2">
        <f>COUNTIFS($F$2:F289,F289,$A$2:A289,A289,$D$2:D289,D289)</f>
        <v>1</v>
      </c>
      <c r="L289" s="2" t="str">
        <f t="shared" si="13"/>
        <v>Unique</v>
      </c>
      <c r="M289" s="2" t="str">
        <f t="shared" si="14"/>
        <v>No</v>
      </c>
    </row>
    <row r="290" spans="1:13" x14ac:dyDescent="0.35">
      <c r="A290" s="2" t="s">
        <v>2718</v>
      </c>
      <c r="B290" s="2" t="s">
        <v>1054</v>
      </c>
      <c r="C290" s="2" t="s">
        <v>2716</v>
      </c>
      <c r="D290" s="16">
        <v>98600</v>
      </c>
      <c r="E290" s="2" t="s">
        <v>2316</v>
      </c>
      <c r="F290" s="2" t="str">
        <f>IFERROR(INDEX(Vendor_ID_Map!$B$2:$B$229,MATCH(B290,Vendor_ID_Map!$A$2:$A$229,0)),"UNMAPPED")</f>
        <v>V1103</v>
      </c>
      <c r="G290" s="2" t="str">
        <f>IFERROR(INDEX(Vendor_Master_Golden!$B$2:$B$208,MATCH(F290,Vendor_Master_Golden!$A$2:$A$208,0)),"-")</f>
        <v>Jupiter Stationers Pvt Ltd</v>
      </c>
      <c r="H290" s="2" t="str">
        <f>IFERROR(INDEX(Vendor_Master_Golden!$K$2:$K$208,MATCH(F290,Vendor_Master_Golden!$A$2:$A$208,0)),"-")</f>
        <v>Active</v>
      </c>
      <c r="I290" s="2" t="str">
        <f t="shared" si="12"/>
        <v>OK</v>
      </c>
      <c r="J290" s="2">
        <f>COUNTIFS($B$2:B290,B290,$A$2:A290,A290,$D$2:D290,D290)</f>
        <v>1</v>
      </c>
      <c r="K290" s="2">
        <f>COUNTIFS($F$2:F290,F290,$A$2:A290,A290,$D$2:D290,D290)</f>
        <v>1</v>
      </c>
      <c r="L290" s="2" t="str">
        <f t="shared" si="13"/>
        <v>Unique</v>
      </c>
      <c r="M290" s="2" t="str">
        <f t="shared" si="14"/>
        <v>No</v>
      </c>
    </row>
    <row r="291" spans="1:13" x14ac:dyDescent="0.35">
      <c r="A291" s="2" t="s">
        <v>2719</v>
      </c>
      <c r="B291" s="2" t="s">
        <v>783</v>
      </c>
      <c r="C291" s="2" t="s">
        <v>2720</v>
      </c>
      <c r="D291" s="16">
        <v>48100</v>
      </c>
      <c r="E291" s="2" t="s">
        <v>2314</v>
      </c>
      <c r="F291" s="2" t="str">
        <f>IFERROR(INDEX(Vendor_ID_Map!$B$2:$B$229,MATCH(B291,Vendor_ID_Map!$A$2:$A$229,0)),"UNMAPPED")</f>
        <v>V1225</v>
      </c>
      <c r="G291" s="2" t="str">
        <f>IFERROR(INDEX(Vendor_Master_Golden!$B$2:$B$208,MATCH(F291,Vendor_Master_Golden!$A$2:$A$208,0)),"-")</f>
        <v>Falcon Houekeeping Limited</v>
      </c>
      <c r="H291" s="2" t="str">
        <f>IFERROR(INDEX(Vendor_Master_Golden!$K$2:$K$208,MATCH(F291,Vendor_Master_Golden!$A$2:$A$208,0)),"-")</f>
        <v>Active</v>
      </c>
      <c r="I291" s="2" t="str">
        <f t="shared" si="12"/>
        <v>OK</v>
      </c>
      <c r="J291" s="2">
        <f>COUNTIFS($B$2:B291,B291,$A$2:A291,A291,$D$2:D291,D291)</f>
        <v>1</v>
      </c>
      <c r="K291" s="2">
        <f>COUNTIFS($F$2:F291,F291,$A$2:A291,A291,$D$2:D291,D291)</f>
        <v>1</v>
      </c>
      <c r="L291" s="2" t="str">
        <f t="shared" si="13"/>
        <v>Unique</v>
      </c>
      <c r="M291" s="2" t="str">
        <f t="shared" si="14"/>
        <v>No</v>
      </c>
    </row>
    <row r="292" spans="1:13" x14ac:dyDescent="0.35">
      <c r="A292" s="2" t="s">
        <v>2721</v>
      </c>
      <c r="B292" s="2" t="s">
        <v>1948</v>
      </c>
      <c r="C292" s="2" t="s">
        <v>2720</v>
      </c>
      <c r="D292" s="16">
        <v>55000</v>
      </c>
      <c r="E292" s="2" t="s">
        <v>2314</v>
      </c>
      <c r="F292" s="2" t="str">
        <f>IFERROR(INDEX(Vendor_ID_Map!$B$2:$B$229,MATCH(B292,Vendor_ID_Map!$A$2:$A$229,0)),"UNMAPPED")</f>
        <v>V1110</v>
      </c>
      <c r="G292" s="2" t="str">
        <f>IFERROR(INDEX(Vendor_Master_Golden!$B$2:$B$208,MATCH(F292,Vendor_Master_Golden!$A$2:$A$208,0)),"-")</f>
        <v>Orchid Printing Pvt Ltd</v>
      </c>
      <c r="H292" s="2" t="str">
        <f>IFERROR(INDEX(Vendor_Master_Golden!$K$2:$K$208,MATCH(F292,Vendor_Master_Golden!$A$2:$A$208,0)),"-")</f>
        <v>Active</v>
      </c>
      <c r="I292" s="2" t="str">
        <f t="shared" si="12"/>
        <v>OK</v>
      </c>
      <c r="J292" s="2">
        <f>COUNTIFS($B$2:B292,B292,$A$2:A292,A292,$D$2:D292,D292)</f>
        <v>1</v>
      </c>
      <c r="K292" s="2">
        <f>COUNTIFS($F$2:F292,F292,$A$2:A292,A292,$D$2:D292,D292)</f>
        <v>1</v>
      </c>
      <c r="L292" s="2" t="str">
        <f t="shared" si="13"/>
        <v>Unique</v>
      </c>
      <c r="M292" s="2" t="str">
        <f t="shared" si="14"/>
        <v>No</v>
      </c>
    </row>
    <row r="293" spans="1:13" x14ac:dyDescent="0.35">
      <c r="A293" s="2" t="s">
        <v>2722</v>
      </c>
      <c r="B293" s="2" t="s">
        <v>546</v>
      </c>
      <c r="C293" s="2" t="s">
        <v>2723</v>
      </c>
      <c r="D293" s="16">
        <v>37300</v>
      </c>
      <c r="E293" s="2" t="s">
        <v>2314</v>
      </c>
      <c r="F293" s="2" t="str">
        <f>IFERROR(INDEX(Vendor_ID_Map!$B$2:$B$229,MATCH(B293,Vendor_ID_Map!$A$2:$A$229,0)),"UNMAPPED")</f>
        <v>V1139</v>
      </c>
      <c r="G293" s="2" t="str">
        <f>IFERROR(INDEX(Vendor_Master_Golden!$B$2:$B$208,MATCH(F293,Vendor_Master_Golden!$A$2:$A$208,0)),"-")</f>
        <v>Jupiter Security Solutions Private Limited</v>
      </c>
      <c r="H293" s="2" t="str">
        <f>IFERROR(INDEX(Vendor_Master_Golden!$K$2:$K$208,MATCH(F293,Vendor_Master_Golden!$A$2:$A$208,0)),"-")</f>
        <v>Active</v>
      </c>
      <c r="I293" s="2" t="str">
        <f t="shared" si="12"/>
        <v>OK</v>
      </c>
      <c r="J293" s="2">
        <f>COUNTIFS($B$2:B293,B293,$A$2:A293,A293,$D$2:D293,D293)</f>
        <v>1</v>
      </c>
      <c r="K293" s="2">
        <f>COUNTIFS($F$2:F293,F293,$A$2:A293,A293,$D$2:D293,D293)</f>
        <v>1</v>
      </c>
      <c r="L293" s="2" t="str">
        <f t="shared" si="13"/>
        <v>Unique</v>
      </c>
      <c r="M293" s="2" t="str">
        <f t="shared" si="14"/>
        <v>No</v>
      </c>
    </row>
    <row r="294" spans="1:13" x14ac:dyDescent="0.35">
      <c r="A294" s="2" t="s">
        <v>2724</v>
      </c>
      <c r="B294" s="2" t="s">
        <v>1918</v>
      </c>
      <c r="C294" s="2" t="s">
        <v>2723</v>
      </c>
      <c r="D294" s="16">
        <v>25300</v>
      </c>
      <c r="E294" s="2" t="s">
        <v>2314</v>
      </c>
      <c r="F294" s="2" t="str">
        <f>IFERROR(INDEX(Vendor_ID_Map!$B$2:$B$229,MATCH(B294,Vendor_ID_Map!$A$2:$A$229,0)),"UNMAPPED")</f>
        <v>V1020</v>
      </c>
      <c r="G294" s="2" t="str">
        <f>IFERROR(INDEX(Vendor_Master_Golden!$B$2:$B$208,MATCH(F294,Vendor_Master_Golden!$A$2:$A$208,0)),"-")</f>
        <v>Horizon Landscaping Limited</v>
      </c>
      <c r="H294" s="2" t="str">
        <f>IFERROR(INDEX(Vendor_Master_Golden!$K$2:$K$208,MATCH(F294,Vendor_Master_Golden!$A$2:$A$208,0)),"-")</f>
        <v>Active</v>
      </c>
      <c r="I294" s="2" t="str">
        <f t="shared" si="12"/>
        <v>OK</v>
      </c>
      <c r="J294" s="2">
        <f>COUNTIFS($B$2:B294,B294,$A$2:A294,A294,$D$2:D294,D294)</f>
        <v>1</v>
      </c>
      <c r="K294" s="2">
        <f>COUNTIFS($F$2:F294,F294,$A$2:A294,A294,$D$2:D294,D294)</f>
        <v>1</v>
      </c>
      <c r="L294" s="2" t="str">
        <f t="shared" si="13"/>
        <v>Unique</v>
      </c>
      <c r="M294" s="2" t="str">
        <f t="shared" si="14"/>
        <v>No</v>
      </c>
    </row>
    <row r="295" spans="1:13" x14ac:dyDescent="0.35">
      <c r="A295" s="2" t="s">
        <v>2725</v>
      </c>
      <c r="B295" s="2" t="s">
        <v>166</v>
      </c>
      <c r="C295" s="2" t="s">
        <v>2726</v>
      </c>
      <c r="D295" s="16">
        <v>65800</v>
      </c>
      <c r="E295" s="2" t="s">
        <v>2316</v>
      </c>
      <c r="F295" s="2" t="str">
        <f>IFERROR(INDEX(Vendor_ID_Map!$B$2:$B$229,MATCH(B295,Vendor_ID_Map!$A$2:$A$229,0)),"UNMAPPED")</f>
        <v>V1047</v>
      </c>
      <c r="G295" s="2" t="str">
        <f>IFERROR(INDEX(Vendor_Master_Golden!$B$2:$B$208,MATCH(F295,Vendor_Master_Golden!$A$2:$A$208,0)),"-")</f>
        <v>Nova Pest Control Private Limited</v>
      </c>
      <c r="H295" s="2" t="str">
        <f>IFERROR(INDEX(Vendor_Master_Golden!$K$2:$K$208,MATCH(F295,Vendor_Master_Golden!$A$2:$A$208,0)),"-")</f>
        <v>Active</v>
      </c>
      <c r="I295" s="2" t="str">
        <f t="shared" si="12"/>
        <v>OK</v>
      </c>
      <c r="J295" s="2">
        <f>COUNTIFS($B$2:B295,B295,$A$2:A295,A295,$D$2:D295,D295)</f>
        <v>1</v>
      </c>
      <c r="K295" s="2">
        <f>COUNTIFS($F$2:F295,F295,$A$2:A295,A295,$D$2:D295,D295)</f>
        <v>1</v>
      </c>
      <c r="L295" s="2" t="str">
        <f t="shared" si="13"/>
        <v>Unique</v>
      </c>
      <c r="M295" s="2" t="str">
        <f t="shared" si="14"/>
        <v>No</v>
      </c>
    </row>
    <row r="296" spans="1:13" x14ac:dyDescent="0.35">
      <c r="A296" s="2" t="s">
        <v>2727</v>
      </c>
      <c r="B296" s="2" t="s">
        <v>1797</v>
      </c>
      <c r="C296" s="2" t="s">
        <v>2726</v>
      </c>
      <c r="D296" s="16">
        <v>116500</v>
      </c>
      <c r="E296" s="2" t="s">
        <v>2314</v>
      </c>
      <c r="F296" s="2" t="str">
        <f>IFERROR(INDEX(Vendor_ID_Map!$B$2:$B$229,MATCH(B296,Vendor_ID_Map!$A$2:$A$229,0)),"UNMAPPED")</f>
        <v>V1146</v>
      </c>
      <c r="G296" s="2" t="str">
        <f>IFERROR(INDEX(Vendor_Master_Golden!$B$2:$B$208,MATCH(F296,Vendor_Master_Golden!$A$2:$A$208,0)),"-")</f>
        <v>Bharat Maintenance Private Limited</v>
      </c>
      <c r="H296" s="2" t="str">
        <f>IFERROR(INDEX(Vendor_Master_Golden!$K$2:$K$208,MATCH(F296,Vendor_Master_Golden!$A$2:$A$208,0)),"-")</f>
        <v>Active</v>
      </c>
      <c r="I296" s="2" t="str">
        <f t="shared" si="12"/>
        <v>OK</v>
      </c>
      <c r="J296" s="2">
        <f>COUNTIFS($B$2:B296,B296,$A$2:A296,A296,$D$2:D296,D296)</f>
        <v>1</v>
      </c>
      <c r="K296" s="2">
        <f>COUNTIFS($F$2:F296,F296,$A$2:A296,A296,$D$2:D296,D296)</f>
        <v>1</v>
      </c>
      <c r="L296" s="2" t="str">
        <f t="shared" si="13"/>
        <v>Unique</v>
      </c>
      <c r="M296" s="2" t="str">
        <f t="shared" si="14"/>
        <v>No</v>
      </c>
    </row>
    <row r="297" spans="1:13" x14ac:dyDescent="0.35">
      <c r="A297" s="2" t="s">
        <v>2728</v>
      </c>
      <c r="B297" s="2" t="s">
        <v>1127</v>
      </c>
      <c r="C297" s="2" t="s">
        <v>2729</v>
      </c>
      <c r="D297" s="16">
        <v>65000</v>
      </c>
      <c r="E297" s="2" t="s">
        <v>2314</v>
      </c>
      <c r="F297" s="2" t="str">
        <f>IFERROR(INDEX(Vendor_ID_Map!$B$2:$B$229,MATCH(B297,Vendor_ID_Map!$A$2:$A$229,0)),"UNMAPPED")</f>
        <v>V1167</v>
      </c>
      <c r="G297" s="2" t="str">
        <f>IFERROR(INDEX(Vendor_Master_Golden!$B$2:$B$208,MATCH(F297,Vendor_Master_Golden!$A$2:$A$208,0)),"-")</f>
        <v>Quantum Landscaping LLP</v>
      </c>
      <c r="H297" s="2" t="str">
        <f>IFERROR(INDEX(Vendor_Master_Golden!$K$2:$K$208,MATCH(F297,Vendor_Master_Golden!$A$2:$A$208,0)),"-")</f>
        <v>Active</v>
      </c>
      <c r="I297" s="2" t="str">
        <f t="shared" si="12"/>
        <v>OK</v>
      </c>
      <c r="J297" s="2">
        <f>COUNTIFS($B$2:B297,B297,$A$2:A297,A297,$D$2:D297,D297)</f>
        <v>1</v>
      </c>
      <c r="K297" s="2">
        <f>COUNTIFS($F$2:F297,F297,$A$2:A297,A297,$D$2:D297,D297)</f>
        <v>1</v>
      </c>
      <c r="L297" s="2" t="str">
        <f t="shared" si="13"/>
        <v>Unique</v>
      </c>
      <c r="M297" s="2" t="str">
        <f t="shared" si="14"/>
        <v>No</v>
      </c>
    </row>
    <row r="298" spans="1:13" x14ac:dyDescent="0.35">
      <c r="A298" s="2" t="s">
        <v>2730</v>
      </c>
      <c r="B298" s="2" t="s">
        <v>633</v>
      </c>
      <c r="C298" s="2" t="s">
        <v>2729</v>
      </c>
      <c r="D298" s="16">
        <v>73600</v>
      </c>
      <c r="E298" s="2" t="s">
        <v>2314</v>
      </c>
      <c r="F298" s="2" t="str">
        <f>IFERROR(INDEX(Vendor_ID_Map!$B$2:$B$229,MATCH(B298,Vendor_ID_Map!$A$2:$A$229,0)),"UNMAPPED")</f>
        <v>V1112</v>
      </c>
      <c r="G298" s="2" t="str">
        <f>IFERROR(INDEX(Vendor_Master_Golden!$B$2:$B$208,MATCH(F298,Vendor_Master_Golden!$A$2:$A$208,0)),"-")</f>
        <v>Falcon Housekeeping Limited</v>
      </c>
      <c r="H298" s="2" t="str">
        <f>IFERROR(INDEX(Vendor_Master_Golden!$K$2:$K$208,MATCH(F298,Vendor_Master_Golden!$A$2:$A$208,0)),"-")</f>
        <v>Active</v>
      </c>
      <c r="I298" s="2" t="str">
        <f t="shared" si="12"/>
        <v>OK</v>
      </c>
      <c r="J298" s="2">
        <f>COUNTIFS($B$2:B298,B298,$A$2:A298,A298,$D$2:D298,D298)</f>
        <v>1</v>
      </c>
      <c r="K298" s="2">
        <f>COUNTIFS($F$2:F298,F298,$A$2:A298,A298,$D$2:D298,D298)</f>
        <v>1</v>
      </c>
      <c r="L298" s="2" t="str">
        <f t="shared" si="13"/>
        <v>Unique</v>
      </c>
      <c r="M298" s="2" t="str">
        <f t="shared" si="14"/>
        <v>No</v>
      </c>
    </row>
    <row r="299" spans="1:13" x14ac:dyDescent="0.35">
      <c r="A299" s="2" t="s">
        <v>2731</v>
      </c>
      <c r="B299" s="2" t="s">
        <v>518</v>
      </c>
      <c r="C299" s="2" t="s">
        <v>2729</v>
      </c>
      <c r="D299" s="16">
        <v>39200</v>
      </c>
      <c r="E299" s="2" t="s">
        <v>2314</v>
      </c>
      <c r="F299" s="2" t="str">
        <f>IFERROR(INDEX(Vendor_ID_Map!$B$2:$B$229,MATCH(B299,Vendor_ID_Map!$A$2:$A$229,0)),"UNMAPPED")</f>
        <v>V1145</v>
      </c>
      <c r="G299" s="2" t="str">
        <f>IFERROR(INDEX(Vendor_Master_Golden!$B$2:$B$208,MATCH(F299,Vendor_Master_Golden!$A$2:$A$208,0)),"-")</f>
        <v>Ganga Pest Control Limited</v>
      </c>
      <c r="H299" s="2" t="str">
        <f>IFERROR(INDEX(Vendor_Master_Golden!$K$2:$K$208,MATCH(F299,Vendor_Master_Golden!$A$2:$A$208,0)),"-")</f>
        <v>Active</v>
      </c>
      <c r="I299" s="2" t="str">
        <f t="shared" si="12"/>
        <v>OK</v>
      </c>
      <c r="J299" s="2">
        <f>COUNTIFS($B$2:B299,B299,$A$2:A299,A299,$D$2:D299,D299)</f>
        <v>1</v>
      </c>
      <c r="K299" s="2">
        <f>COUNTIFS($F$2:F299,F299,$A$2:A299,A299,$D$2:D299,D299)</f>
        <v>1</v>
      </c>
      <c r="L299" s="2" t="str">
        <f t="shared" si="13"/>
        <v>Unique</v>
      </c>
      <c r="M299" s="2" t="str">
        <f t="shared" si="14"/>
        <v>No</v>
      </c>
    </row>
    <row r="300" spans="1:13" x14ac:dyDescent="0.35">
      <c r="A300" s="2" t="s">
        <v>2732</v>
      </c>
      <c r="B300" s="2" t="s">
        <v>371</v>
      </c>
      <c r="C300" s="2" t="s">
        <v>2733</v>
      </c>
      <c r="D300" s="16">
        <v>118000</v>
      </c>
      <c r="E300" s="2" t="s">
        <v>2314</v>
      </c>
      <c r="F300" s="2" t="str">
        <f>IFERROR(INDEX(Vendor_ID_Map!$B$2:$B$229,MATCH(B300,Vendor_ID_Map!$A$2:$A$229,0)),"UNMAPPED")</f>
        <v>V1031</v>
      </c>
      <c r="G300" s="2" t="str">
        <f>IFERROR(INDEX(Vendor_Master_Golden!$B$2:$B$208,MATCH(F300,Vendor_Master_Golden!$A$2:$A$208,0)),"-")</f>
        <v>Pinnacle Engineering Works Private Limited</v>
      </c>
      <c r="H300" s="2" t="str">
        <f>IFERROR(INDEX(Vendor_Master_Golden!$K$2:$K$208,MATCH(F300,Vendor_Master_Golden!$A$2:$A$208,0)),"-")</f>
        <v>Active</v>
      </c>
      <c r="I300" s="2" t="str">
        <f t="shared" si="12"/>
        <v>OK</v>
      </c>
      <c r="J300" s="2">
        <f>COUNTIFS($B$2:B300,B300,$A$2:A300,A300,$D$2:D300,D300)</f>
        <v>1</v>
      </c>
      <c r="K300" s="2">
        <f>COUNTIFS($F$2:F300,F300,$A$2:A300,A300,$D$2:D300,D300)</f>
        <v>1</v>
      </c>
      <c r="L300" s="2" t="str">
        <f t="shared" si="13"/>
        <v>Unique</v>
      </c>
      <c r="M300" s="2" t="str">
        <f t="shared" si="14"/>
        <v>No</v>
      </c>
    </row>
    <row r="301" spans="1:13" x14ac:dyDescent="0.35">
      <c r="A301" s="2" t="s">
        <v>2734</v>
      </c>
      <c r="B301" s="2" t="s">
        <v>1045</v>
      </c>
      <c r="C301" s="2" t="s">
        <v>2733</v>
      </c>
      <c r="D301" s="16">
        <v>106500</v>
      </c>
      <c r="E301" s="2" t="s">
        <v>2316</v>
      </c>
      <c r="F301" s="2" t="str">
        <f>IFERROR(INDEX(Vendor_ID_Map!$B$2:$B$229,MATCH(B301,Vendor_ID_Map!$A$2:$A$229,0)),"UNMAPPED")</f>
        <v>V1120</v>
      </c>
      <c r="G301" s="2" t="str">
        <f>IFERROR(INDEX(Vendor_Master_Golden!$B$2:$B$208,MATCH(F301,Vendor_Master_Golden!$A$2:$A$208,0)),"-")</f>
        <v>Pinnacle IT Services Limited</v>
      </c>
      <c r="H301" s="2" t="str">
        <f>IFERROR(INDEX(Vendor_Master_Golden!$K$2:$K$208,MATCH(F301,Vendor_Master_Golden!$A$2:$A$208,0)),"-")</f>
        <v>Active</v>
      </c>
      <c r="I301" s="2" t="str">
        <f t="shared" si="12"/>
        <v>OK</v>
      </c>
      <c r="J301" s="2">
        <f>COUNTIFS($B$2:B301,B301,$A$2:A301,A301,$D$2:D301,D301)</f>
        <v>1</v>
      </c>
      <c r="K301" s="2">
        <f>COUNTIFS($F$2:F301,F301,$A$2:A301,A301,$D$2:D301,D301)</f>
        <v>1</v>
      </c>
      <c r="L301" s="2" t="str">
        <f t="shared" si="13"/>
        <v>Unique</v>
      </c>
      <c r="M301" s="2" t="str">
        <f t="shared" si="14"/>
        <v>No</v>
      </c>
    </row>
    <row r="302" spans="1:13" x14ac:dyDescent="0.35">
      <c r="A302" s="2" t="s">
        <v>2735</v>
      </c>
      <c r="B302" s="2" t="s">
        <v>245</v>
      </c>
      <c r="C302" s="2" t="s">
        <v>2736</v>
      </c>
      <c r="D302" s="16">
        <v>236000</v>
      </c>
      <c r="E302" s="2" t="s">
        <v>2314</v>
      </c>
      <c r="F302" s="2" t="str">
        <f>IFERROR(INDEX(Vendor_ID_Map!$B$2:$B$229,MATCH(B302,Vendor_ID_Map!$A$2:$A$229,0)),"UNMAPPED")</f>
        <v>V1073</v>
      </c>
      <c r="G302" s="2" t="str">
        <f>IFERROR(INDEX(Vendor_Master_Golden!$B$2:$B$208,MATCH(F302,Vendor_Master_Golden!$A$2:$A$208,0)),"-")</f>
        <v>Delta IT Services Limited</v>
      </c>
      <c r="H302" s="2" t="str">
        <f>IFERROR(INDEX(Vendor_Master_Golden!$K$2:$K$208,MATCH(F302,Vendor_Master_Golden!$A$2:$A$208,0)),"-")</f>
        <v>Active</v>
      </c>
      <c r="I302" s="2" t="str">
        <f t="shared" si="12"/>
        <v>OK</v>
      </c>
      <c r="J302" s="2">
        <f>COUNTIFS($B$2:B302,B302,$A$2:A302,A302,$D$2:D302,D302)</f>
        <v>1</v>
      </c>
      <c r="K302" s="2">
        <f>COUNTIFS($F$2:F302,F302,$A$2:A302,A302,$D$2:D302,D302)</f>
        <v>1</v>
      </c>
      <c r="L302" s="2" t="str">
        <f t="shared" si="13"/>
        <v>Unique</v>
      </c>
      <c r="M302" s="2" t="str">
        <f t="shared" si="14"/>
        <v>No</v>
      </c>
    </row>
    <row r="303" spans="1:13" x14ac:dyDescent="0.35">
      <c r="A303" s="2" t="s">
        <v>2737</v>
      </c>
      <c r="B303" s="2" t="s">
        <v>1845</v>
      </c>
      <c r="C303" s="2" t="s">
        <v>2736</v>
      </c>
      <c r="D303" s="16">
        <v>25100</v>
      </c>
      <c r="E303" s="2" t="s">
        <v>2314</v>
      </c>
      <c r="F303" s="2" t="str">
        <f>IFERROR(INDEX(Vendor_ID_Map!$B$2:$B$229,MATCH(B303,Vendor_ID_Map!$A$2:$A$229,0)),"UNMAPPED")</f>
        <v>V1126</v>
      </c>
      <c r="G303" s="2" t="str">
        <f>IFERROR(INDEX(Vendor_Master_Golden!$B$2:$B$208,MATCH(F303,Vendor_Master_Golden!$A$2:$A$208,0)),"-")</f>
        <v>Sunrise Power Systems Pvt Ltd</v>
      </c>
      <c r="H303" s="2" t="str">
        <f>IFERROR(INDEX(Vendor_Master_Golden!$K$2:$K$208,MATCH(F303,Vendor_Master_Golden!$A$2:$A$208,0)),"-")</f>
        <v>Active</v>
      </c>
      <c r="I303" s="2" t="str">
        <f t="shared" si="12"/>
        <v>OK</v>
      </c>
      <c r="J303" s="2">
        <f>COUNTIFS($B$2:B303,B303,$A$2:A303,A303,$D$2:D303,D303)</f>
        <v>1</v>
      </c>
      <c r="K303" s="2">
        <f>COUNTIFS($F$2:F303,F303,$A$2:A303,A303,$D$2:D303,D303)</f>
        <v>1</v>
      </c>
      <c r="L303" s="2" t="str">
        <f t="shared" si="13"/>
        <v>Unique</v>
      </c>
      <c r="M303" s="2" t="str">
        <f t="shared" si="14"/>
        <v>No</v>
      </c>
    </row>
    <row r="304" spans="1:13" x14ac:dyDescent="0.35">
      <c r="A304" s="2" t="s">
        <v>2738</v>
      </c>
      <c r="B304" s="2" t="s">
        <v>255</v>
      </c>
      <c r="C304" s="2" t="s">
        <v>2736</v>
      </c>
      <c r="D304" s="16">
        <v>37900</v>
      </c>
      <c r="E304" s="2" t="s">
        <v>2314</v>
      </c>
      <c r="F304" s="2" t="str">
        <f>IFERROR(INDEX(Vendor_ID_Map!$B$2:$B$229,MATCH(B304,Vendor_ID_Map!$A$2:$A$229,0)),"UNMAPPED")</f>
        <v>V1131</v>
      </c>
      <c r="G304" s="2" t="str">
        <f>IFERROR(INDEX(Vendor_Master_Golden!$B$2:$B$208,MATCH(F304,Vendor_Master_Golden!$A$2:$A$208,0)),"-")</f>
        <v>Falcon Power Systems Private Limited</v>
      </c>
      <c r="H304" s="2" t="str">
        <f>IFERROR(INDEX(Vendor_Master_Golden!$K$2:$K$208,MATCH(F304,Vendor_Master_Golden!$A$2:$A$208,0)),"-")</f>
        <v>Inactive</v>
      </c>
      <c r="I304" s="2" t="str">
        <f t="shared" si="12"/>
        <v>Inactive Vendor</v>
      </c>
      <c r="J304" s="2">
        <f>COUNTIFS($B$2:B304,B304,$A$2:A304,A304,$D$2:D304,D304)</f>
        <v>1</v>
      </c>
      <c r="K304" s="2">
        <f>COUNTIFS($F$2:F304,F304,$A$2:A304,A304,$D$2:D304,D304)</f>
        <v>1</v>
      </c>
      <c r="L304" s="2" t="str">
        <f t="shared" si="13"/>
        <v>Unique</v>
      </c>
      <c r="M304" s="2" t="str">
        <f t="shared" si="14"/>
        <v>No</v>
      </c>
    </row>
    <row r="305" spans="1:13" x14ac:dyDescent="0.35">
      <c r="A305" s="2" t="s">
        <v>2739</v>
      </c>
      <c r="B305" s="2" t="s">
        <v>1608</v>
      </c>
      <c r="C305" s="2" t="s">
        <v>2740</v>
      </c>
      <c r="D305" s="16">
        <v>51500</v>
      </c>
      <c r="E305" s="2" t="s">
        <v>2314</v>
      </c>
      <c r="F305" s="2" t="str">
        <f>IFERROR(INDEX(Vendor_ID_Map!$B$2:$B$229,MATCH(B305,Vendor_ID_Map!$A$2:$A$229,0)),"UNMAPPED")</f>
        <v>V1087</v>
      </c>
      <c r="G305" s="2" t="str">
        <f>IFERROR(INDEX(Vendor_Master_Golden!$B$2:$B$208,MATCH(F305,Vendor_Master_Golden!$A$2:$A$208,0)),"-")</f>
        <v>Aaryan Water Solutions LLP</v>
      </c>
      <c r="H305" s="2" t="str">
        <f>IFERROR(INDEX(Vendor_Master_Golden!$K$2:$K$208,MATCH(F305,Vendor_Master_Golden!$A$2:$A$208,0)),"-")</f>
        <v>Active</v>
      </c>
      <c r="I305" s="2" t="str">
        <f t="shared" si="12"/>
        <v>OK</v>
      </c>
      <c r="J305" s="2">
        <f>COUNTIFS($B$2:B305,B305,$A$2:A305,A305,$D$2:D305,D305)</f>
        <v>1</v>
      </c>
      <c r="K305" s="2">
        <f>COUNTIFS($F$2:F305,F305,$A$2:A305,A305,$D$2:D305,D305)</f>
        <v>1</v>
      </c>
      <c r="L305" s="2" t="str">
        <f t="shared" si="13"/>
        <v>Unique</v>
      </c>
      <c r="M305" s="2" t="str">
        <f t="shared" si="14"/>
        <v>No</v>
      </c>
    </row>
    <row r="306" spans="1:13" x14ac:dyDescent="0.35">
      <c r="A306" s="2" t="s">
        <v>2741</v>
      </c>
      <c r="B306" s="2" t="s">
        <v>1524</v>
      </c>
      <c r="C306" s="2" t="s">
        <v>2742</v>
      </c>
      <c r="D306" s="16">
        <v>43200</v>
      </c>
      <c r="E306" s="2" t="s">
        <v>2314</v>
      </c>
      <c r="F306" s="2" t="str">
        <f>IFERROR(INDEX(Vendor_ID_Map!$B$2:$B$229,MATCH(B306,Vendor_ID_Map!$A$2:$A$229,0)),"UNMAPPED")</f>
        <v>V1164</v>
      </c>
      <c r="G306" s="2" t="str">
        <f>IFERROR(INDEX(Vendor_Master_Golden!$B$2:$B$208,MATCH(F306,Vendor_Master_Golden!$A$2:$A$208,0)),"-")</f>
        <v>Redwood Pest Control Pvt Ltd</v>
      </c>
      <c r="H306" s="2" t="str">
        <f>IFERROR(INDEX(Vendor_Master_Golden!$K$2:$K$208,MATCH(F306,Vendor_Master_Golden!$A$2:$A$208,0)),"-")</f>
        <v>Active</v>
      </c>
      <c r="I306" s="2" t="str">
        <f t="shared" si="12"/>
        <v>OK</v>
      </c>
      <c r="J306" s="2">
        <f>COUNTIFS($B$2:B306,B306,$A$2:A306,A306,$D$2:D306,D306)</f>
        <v>1</v>
      </c>
      <c r="K306" s="2">
        <f>COUNTIFS($F$2:F306,F306,$A$2:A306,A306,$D$2:D306,D306)</f>
        <v>1</v>
      </c>
      <c r="L306" s="2" t="str">
        <f t="shared" si="13"/>
        <v>Unique</v>
      </c>
      <c r="M306" s="2" t="str">
        <f t="shared" si="14"/>
        <v>No</v>
      </c>
    </row>
    <row r="307" spans="1:13" x14ac:dyDescent="0.35">
      <c r="A307" s="2" t="s">
        <v>2743</v>
      </c>
      <c r="B307" s="2" t="s">
        <v>783</v>
      </c>
      <c r="C307" s="2" t="s">
        <v>2744</v>
      </c>
      <c r="D307" s="16">
        <v>56800</v>
      </c>
      <c r="E307" s="2" t="s">
        <v>2316</v>
      </c>
      <c r="F307" s="2" t="str">
        <f>IFERROR(INDEX(Vendor_ID_Map!$B$2:$B$229,MATCH(B307,Vendor_ID_Map!$A$2:$A$229,0)),"UNMAPPED")</f>
        <v>V1225</v>
      </c>
      <c r="G307" s="2" t="str">
        <f>IFERROR(INDEX(Vendor_Master_Golden!$B$2:$B$208,MATCH(F307,Vendor_Master_Golden!$A$2:$A$208,0)),"-")</f>
        <v>Falcon Houekeeping Limited</v>
      </c>
      <c r="H307" s="2" t="str">
        <f>IFERROR(INDEX(Vendor_Master_Golden!$K$2:$K$208,MATCH(F307,Vendor_Master_Golden!$A$2:$A$208,0)),"-")</f>
        <v>Active</v>
      </c>
      <c r="I307" s="2" t="str">
        <f t="shared" si="12"/>
        <v>OK</v>
      </c>
      <c r="J307" s="2">
        <f>COUNTIFS($B$2:B307,B307,$A$2:A307,A307,$D$2:D307,D307)</f>
        <v>1</v>
      </c>
      <c r="K307" s="2">
        <f>COUNTIFS($F$2:F307,F307,$A$2:A307,A307,$D$2:D307,D307)</f>
        <v>1</v>
      </c>
      <c r="L307" s="2" t="str">
        <f t="shared" si="13"/>
        <v>Unique</v>
      </c>
      <c r="M307" s="2" t="str">
        <f t="shared" si="14"/>
        <v>No</v>
      </c>
    </row>
    <row r="308" spans="1:13" x14ac:dyDescent="0.35">
      <c r="A308" s="2" t="s">
        <v>2745</v>
      </c>
      <c r="B308" s="2" t="s">
        <v>1515</v>
      </c>
      <c r="C308" s="2" t="s">
        <v>2744</v>
      </c>
      <c r="D308" s="16">
        <v>92800</v>
      </c>
      <c r="E308" s="2" t="s">
        <v>2314</v>
      </c>
      <c r="F308" s="2" t="str">
        <f>IFERROR(INDEX(Vendor_ID_Map!$B$2:$B$229,MATCH(B308,Vendor_ID_Map!$A$2:$A$229,0)),"UNMAPPED")</f>
        <v>V1223</v>
      </c>
      <c r="G308" s="2" t="str">
        <f>IFERROR(INDEX(Vendor_Master_Golden!$B$2:$B$208,MATCH(F308,Vendor_Master_Golden!$A$2:$A$208,0)),"-")</f>
        <v>Orchid Elec. Limited</v>
      </c>
      <c r="H308" s="2" t="str">
        <f>IFERROR(INDEX(Vendor_Master_Golden!$K$2:$K$208,MATCH(F308,Vendor_Master_Golden!$A$2:$A$208,0)),"-")</f>
        <v>Active</v>
      </c>
      <c r="I308" s="2" t="str">
        <f t="shared" si="12"/>
        <v>OK</v>
      </c>
      <c r="J308" s="2">
        <f>COUNTIFS($B$2:B308,B308,$A$2:A308,A308,$D$2:D308,D308)</f>
        <v>1</v>
      </c>
      <c r="K308" s="2">
        <f>COUNTIFS($F$2:F308,F308,$A$2:A308,A308,$D$2:D308,D308)</f>
        <v>1</v>
      </c>
      <c r="L308" s="2" t="str">
        <f t="shared" si="13"/>
        <v>Unique</v>
      </c>
      <c r="M308" s="2" t="str">
        <f t="shared" si="14"/>
        <v>No</v>
      </c>
    </row>
    <row r="309" spans="1:13" x14ac:dyDescent="0.35">
      <c r="A309" s="2" t="s">
        <v>2746</v>
      </c>
      <c r="B309" s="2" t="s">
        <v>379</v>
      </c>
      <c r="C309" s="2" t="s">
        <v>2744</v>
      </c>
      <c r="D309" s="16">
        <v>81800</v>
      </c>
      <c r="E309" s="2" t="s">
        <v>2314</v>
      </c>
      <c r="F309" s="2" t="str">
        <f>IFERROR(INDEX(Vendor_ID_Map!$B$2:$B$229,MATCH(B309,Vendor_ID_Map!$A$2:$A$229,0)),"UNMAPPED")</f>
        <v>V1014</v>
      </c>
      <c r="G309" s="2" t="str">
        <f>IFERROR(INDEX(Vendor_Master_Golden!$B$2:$B$208,MATCH(F309,Vendor_Master_Golden!$A$2:$A$208,0)),"-")</f>
        <v>Delta Security Solutions Pvt Ltd</v>
      </c>
      <c r="H309" s="2" t="str">
        <f>IFERROR(INDEX(Vendor_Master_Golden!$K$2:$K$208,MATCH(F309,Vendor_Master_Golden!$A$2:$A$208,0)),"-")</f>
        <v>Active</v>
      </c>
      <c r="I309" s="2" t="str">
        <f t="shared" si="12"/>
        <v>OK</v>
      </c>
      <c r="J309" s="2">
        <f>COUNTIFS($B$2:B309,B309,$A$2:A309,A309,$D$2:D309,D309)</f>
        <v>1</v>
      </c>
      <c r="K309" s="2">
        <f>COUNTIFS($F$2:F309,F309,$A$2:A309,A309,$D$2:D309,D309)</f>
        <v>1</v>
      </c>
      <c r="L309" s="2" t="str">
        <f t="shared" si="13"/>
        <v>Unique</v>
      </c>
      <c r="M309" s="2" t="str">
        <f t="shared" si="14"/>
        <v>No</v>
      </c>
    </row>
    <row r="310" spans="1:13" x14ac:dyDescent="0.35">
      <c r="A310" s="2" t="s">
        <v>2747</v>
      </c>
      <c r="B310" s="2" t="s">
        <v>878</v>
      </c>
      <c r="C310" s="2" t="s">
        <v>2744</v>
      </c>
      <c r="D310" s="16">
        <v>27200</v>
      </c>
      <c r="E310" s="2" t="s">
        <v>2314</v>
      </c>
      <c r="F310" s="2" t="str">
        <f>IFERROR(INDEX(Vendor_ID_Map!$B$2:$B$229,MATCH(B310,Vendor_ID_Map!$A$2:$A$229,0)),"UNMAPPED")</f>
        <v>V1105</v>
      </c>
      <c r="G310" s="2" t="str">
        <f>IFERROR(INDEX(Vendor_Master_Golden!$B$2:$B$208,MATCH(F310,Vendor_Master_Golden!$A$2:$A$208,0)),"-")</f>
        <v>Horizon Maintenance Limited</v>
      </c>
      <c r="H310" s="2" t="str">
        <f>IFERROR(INDEX(Vendor_Master_Golden!$K$2:$K$208,MATCH(F310,Vendor_Master_Golden!$A$2:$A$208,0)),"-")</f>
        <v>Active</v>
      </c>
      <c r="I310" s="2" t="str">
        <f t="shared" si="12"/>
        <v>OK</v>
      </c>
      <c r="J310" s="2">
        <f>COUNTIFS($B$2:B310,B310,$A$2:A310,A310,$D$2:D310,D310)</f>
        <v>1</v>
      </c>
      <c r="K310" s="2">
        <f>COUNTIFS($F$2:F310,F310,$A$2:A310,A310,$D$2:D310,D310)</f>
        <v>1</v>
      </c>
      <c r="L310" s="2" t="str">
        <f t="shared" si="13"/>
        <v>Unique</v>
      </c>
      <c r="M310" s="2" t="str">
        <f t="shared" si="14"/>
        <v>No</v>
      </c>
    </row>
    <row r="311" spans="1:13" x14ac:dyDescent="0.35">
      <c r="A311" s="2" t="s">
        <v>2748</v>
      </c>
      <c r="B311" s="2" t="s">
        <v>1323</v>
      </c>
      <c r="C311" s="2" t="s">
        <v>2749</v>
      </c>
      <c r="D311" s="16">
        <v>117000</v>
      </c>
      <c r="E311" s="2" t="s">
        <v>2316</v>
      </c>
      <c r="F311" s="2" t="str">
        <f>IFERROR(INDEX(Vendor_ID_Map!$B$2:$B$229,MATCH(B311,Vendor_ID_Map!$A$2:$A$229,0)),"UNMAPPED")</f>
        <v>V1188</v>
      </c>
      <c r="G311" s="2" t="str">
        <f>IFERROR(INDEX(Vendor_Master_Golden!$B$2:$B$208,MATCH(F311,Vendor_Master_Golden!$A$2:$A$208,0)),"-")</f>
        <v>Unity Printing LLP</v>
      </c>
      <c r="H311" s="2" t="str">
        <f>IFERROR(INDEX(Vendor_Master_Golden!$K$2:$K$208,MATCH(F311,Vendor_Master_Golden!$A$2:$A$208,0)),"-")</f>
        <v>Active</v>
      </c>
      <c r="I311" s="2" t="str">
        <f t="shared" si="12"/>
        <v>OK</v>
      </c>
      <c r="J311" s="2">
        <f>COUNTIFS($B$2:B311,B311,$A$2:A311,A311,$D$2:D311,D311)</f>
        <v>1</v>
      </c>
      <c r="K311" s="2">
        <f>COUNTIFS($F$2:F311,F311,$A$2:A311,A311,$D$2:D311,D311)</f>
        <v>1</v>
      </c>
      <c r="L311" s="2" t="str">
        <f t="shared" si="13"/>
        <v>Unique</v>
      </c>
      <c r="M311" s="2" t="str">
        <f t="shared" si="14"/>
        <v>No</v>
      </c>
    </row>
    <row r="312" spans="1:13" x14ac:dyDescent="0.35">
      <c r="A312" s="2" t="s">
        <v>2750</v>
      </c>
      <c r="B312" s="2" t="s">
        <v>1149</v>
      </c>
      <c r="C312" s="2" t="s">
        <v>2749</v>
      </c>
      <c r="D312" s="16">
        <v>27800</v>
      </c>
      <c r="E312" s="2" t="s">
        <v>2314</v>
      </c>
      <c r="F312" s="2" t="str">
        <f>IFERROR(INDEX(Vendor_ID_Map!$B$2:$B$229,MATCH(B312,Vendor_ID_Map!$A$2:$A$229,0)),"UNMAPPED")</f>
        <v>V1192</v>
      </c>
      <c r="G312" s="2" t="str">
        <f>IFERROR(INDEX(Vendor_Master_Golden!$B$2:$B$208,MATCH(F312,Vendor_Master_Golden!$A$2:$A$208,0)),"-")</f>
        <v>Ganga IT Services LLP</v>
      </c>
      <c r="H312" s="2" t="str">
        <f>IFERROR(INDEX(Vendor_Master_Golden!$K$2:$K$208,MATCH(F312,Vendor_Master_Golden!$A$2:$A$208,0)),"-")</f>
        <v>Active</v>
      </c>
      <c r="I312" s="2" t="str">
        <f t="shared" si="12"/>
        <v>OK</v>
      </c>
      <c r="J312" s="2">
        <f>COUNTIFS($B$2:B312,B312,$A$2:A312,A312,$D$2:D312,D312)</f>
        <v>1</v>
      </c>
      <c r="K312" s="2">
        <f>COUNTIFS($F$2:F312,F312,$A$2:A312,A312,$D$2:D312,D312)</f>
        <v>1</v>
      </c>
      <c r="L312" s="2" t="str">
        <f t="shared" si="13"/>
        <v>Unique</v>
      </c>
      <c r="M312" s="2" t="str">
        <f t="shared" si="14"/>
        <v>No</v>
      </c>
    </row>
    <row r="313" spans="1:13" x14ac:dyDescent="0.35">
      <c r="A313" s="2" t="s">
        <v>2751</v>
      </c>
      <c r="B313" s="2" t="s">
        <v>387</v>
      </c>
      <c r="C313" s="2" t="s">
        <v>2749</v>
      </c>
      <c r="D313" s="16">
        <v>19400</v>
      </c>
      <c r="E313" s="2" t="s">
        <v>2314</v>
      </c>
      <c r="F313" s="2" t="str">
        <f>IFERROR(INDEX(Vendor_ID_Map!$B$2:$B$229,MATCH(B313,Vendor_ID_Map!$A$2:$A$229,0)),"UNMAPPED")</f>
        <v>V1062</v>
      </c>
      <c r="G313" s="2" t="str">
        <f>IFERROR(INDEX(Vendor_Master_Golden!$B$2:$B$208,MATCH(F313,Vendor_Master_Golden!$A$2:$A$208,0)),"-")</f>
        <v>Western Power Systems Pvt Ltd</v>
      </c>
      <c r="H313" s="2" t="str">
        <f>IFERROR(INDEX(Vendor_Master_Golden!$K$2:$K$208,MATCH(F313,Vendor_Master_Golden!$A$2:$A$208,0)),"-")</f>
        <v>Active</v>
      </c>
      <c r="I313" s="2" t="str">
        <f t="shared" si="12"/>
        <v>OK</v>
      </c>
      <c r="J313" s="2">
        <f>COUNTIFS($B$2:B313,B313,$A$2:A313,A313,$D$2:D313,D313)</f>
        <v>1</v>
      </c>
      <c r="K313" s="2">
        <f>COUNTIFS($F$2:F313,F313,$A$2:A313,A313,$D$2:D313,D313)</f>
        <v>1</v>
      </c>
      <c r="L313" s="2" t="str">
        <f t="shared" si="13"/>
        <v>Unique</v>
      </c>
      <c r="M313" s="2" t="str">
        <f t="shared" si="14"/>
        <v>No</v>
      </c>
    </row>
    <row r="314" spans="1:13" x14ac:dyDescent="0.35">
      <c r="A314" s="2" t="s">
        <v>2752</v>
      </c>
      <c r="B314" s="2" t="s">
        <v>1440</v>
      </c>
      <c r="C314" s="2" t="s">
        <v>2749</v>
      </c>
      <c r="D314" s="16">
        <v>74000</v>
      </c>
      <c r="E314" s="2" t="s">
        <v>2316</v>
      </c>
      <c r="F314" s="2" t="str">
        <f>IFERROR(INDEX(Vendor_ID_Map!$B$2:$B$229,MATCH(B314,Vendor_ID_Map!$A$2:$A$229,0)),"UNMAPPED")</f>
        <v>V1148</v>
      </c>
      <c r="G314" s="2" t="str">
        <f>IFERROR(INDEX(Vendor_Master_Golden!$B$2:$B$208,MATCH(F314,Vendor_Master_Golden!$A$2:$A$208,0)),"-")</f>
        <v>Falcon Maintenance Limited</v>
      </c>
      <c r="H314" s="2" t="str">
        <f>IFERROR(INDEX(Vendor_Master_Golden!$K$2:$K$208,MATCH(F314,Vendor_Master_Golden!$A$2:$A$208,0)),"-")</f>
        <v>Inactive</v>
      </c>
      <c r="I314" s="2" t="str">
        <f t="shared" si="12"/>
        <v>Inactive Vendor</v>
      </c>
      <c r="J314" s="2">
        <f>COUNTIFS($B$2:B314,B314,$A$2:A314,A314,$D$2:D314,D314)</f>
        <v>1</v>
      </c>
      <c r="K314" s="2">
        <f>COUNTIFS($F$2:F314,F314,$A$2:A314,A314,$D$2:D314,D314)</f>
        <v>1</v>
      </c>
      <c r="L314" s="2" t="str">
        <f t="shared" si="13"/>
        <v>Unique</v>
      </c>
      <c r="M314" s="2" t="str">
        <f t="shared" si="14"/>
        <v>No</v>
      </c>
    </row>
    <row r="315" spans="1:13" x14ac:dyDescent="0.35">
      <c r="A315" s="2" t="s">
        <v>2753</v>
      </c>
      <c r="B315" s="2" t="s">
        <v>1199</v>
      </c>
      <c r="C315" s="2" t="s">
        <v>2754</v>
      </c>
      <c r="D315" s="16">
        <v>135900</v>
      </c>
      <c r="E315" s="2" t="s">
        <v>2316</v>
      </c>
      <c r="F315" s="2" t="str">
        <f>IFERROR(INDEX(Vendor_ID_Map!$B$2:$B$229,MATCH(B315,Vendor_ID_Map!$A$2:$A$229,0)),"UNMAPPED")</f>
        <v>V1079</v>
      </c>
      <c r="G315" s="2" t="str">
        <f>IFERROR(INDEX(Vendor_Master_Golden!$B$2:$B$208,MATCH(F315,Vendor_Master_Golden!$A$2:$A$208,0)),"-")</f>
        <v>Falcon Landscaping Pvt Ltd</v>
      </c>
      <c r="H315" s="2" t="str">
        <f>IFERROR(INDEX(Vendor_Master_Golden!$K$2:$K$208,MATCH(F315,Vendor_Master_Golden!$A$2:$A$208,0)),"-")</f>
        <v>Active</v>
      </c>
      <c r="I315" s="2" t="str">
        <f t="shared" si="12"/>
        <v>OK</v>
      </c>
      <c r="J315" s="2">
        <f>COUNTIFS($B$2:B315,B315,$A$2:A315,A315,$D$2:D315,D315)</f>
        <v>1</v>
      </c>
      <c r="K315" s="2">
        <f>COUNTIFS($F$2:F315,F315,$A$2:A315,A315,$D$2:D315,D315)</f>
        <v>1</v>
      </c>
      <c r="L315" s="2" t="str">
        <f t="shared" si="13"/>
        <v>Unique</v>
      </c>
      <c r="M315" s="2" t="str">
        <f t="shared" si="14"/>
        <v>No</v>
      </c>
    </row>
    <row r="316" spans="1:13" x14ac:dyDescent="0.35">
      <c r="A316" s="2" t="s">
        <v>2755</v>
      </c>
      <c r="B316" s="2" t="s">
        <v>255</v>
      </c>
      <c r="C316" s="2" t="s">
        <v>2754</v>
      </c>
      <c r="D316" s="16">
        <v>48700</v>
      </c>
      <c r="E316" s="2" t="s">
        <v>2316</v>
      </c>
      <c r="F316" s="2" t="str">
        <f>IFERROR(INDEX(Vendor_ID_Map!$B$2:$B$229,MATCH(B316,Vendor_ID_Map!$A$2:$A$229,0)),"UNMAPPED")</f>
        <v>V1131</v>
      </c>
      <c r="G316" s="2" t="str">
        <f>IFERROR(INDEX(Vendor_Master_Golden!$B$2:$B$208,MATCH(F316,Vendor_Master_Golden!$A$2:$A$208,0)),"-")</f>
        <v>Falcon Power Systems Private Limited</v>
      </c>
      <c r="H316" s="2" t="str">
        <f>IFERROR(INDEX(Vendor_Master_Golden!$K$2:$K$208,MATCH(F316,Vendor_Master_Golden!$A$2:$A$208,0)),"-")</f>
        <v>Inactive</v>
      </c>
      <c r="I316" s="2" t="str">
        <f t="shared" si="12"/>
        <v>Inactive Vendor</v>
      </c>
      <c r="J316" s="2">
        <f>COUNTIFS($B$2:B316,B316,$A$2:A316,A316,$D$2:D316,D316)</f>
        <v>1</v>
      </c>
      <c r="K316" s="2">
        <f>COUNTIFS($F$2:F316,F316,$A$2:A316,A316,$D$2:D316,D316)</f>
        <v>1</v>
      </c>
      <c r="L316" s="2" t="str">
        <f t="shared" si="13"/>
        <v>Unique</v>
      </c>
      <c r="M316" s="2" t="str">
        <f t="shared" si="14"/>
        <v>No</v>
      </c>
    </row>
    <row r="317" spans="1:13" x14ac:dyDescent="0.35">
      <c r="A317" s="2" t="s">
        <v>2756</v>
      </c>
      <c r="B317" s="2" t="s">
        <v>342</v>
      </c>
      <c r="C317" s="2" t="s">
        <v>2754</v>
      </c>
      <c r="D317" s="16">
        <v>24300</v>
      </c>
      <c r="E317" s="2" t="s">
        <v>2314</v>
      </c>
      <c r="F317" s="2" t="str">
        <f>IFERROR(INDEX(Vendor_ID_Map!$B$2:$B$229,MATCH(B317,Vendor_ID_Map!$A$2:$A$229,0)),"UNMAPPED")</f>
        <v>V1197</v>
      </c>
      <c r="G317" s="2" t="str">
        <f>IFERROR(INDEX(Vendor_Master_Golden!$B$2:$B$208,MATCH(F317,Vendor_Master_Golden!$A$2:$A$208,0)),"-")</f>
        <v>Lotus Electricals LLP</v>
      </c>
      <c r="H317" s="2" t="str">
        <f>IFERROR(INDEX(Vendor_Master_Golden!$K$2:$K$208,MATCH(F317,Vendor_Master_Golden!$A$2:$A$208,0)),"-")</f>
        <v>Active</v>
      </c>
      <c r="I317" s="2" t="str">
        <f t="shared" si="12"/>
        <v>OK</v>
      </c>
      <c r="J317" s="2">
        <f>COUNTIFS($B$2:B317,B317,$A$2:A317,A317,$D$2:D317,D317)</f>
        <v>1</v>
      </c>
      <c r="K317" s="2">
        <f>COUNTIFS($F$2:F317,F317,$A$2:A317,A317,$D$2:D317,D317)</f>
        <v>1</v>
      </c>
      <c r="L317" s="2" t="str">
        <f t="shared" si="13"/>
        <v>Unique</v>
      </c>
      <c r="M317" s="2" t="str">
        <f t="shared" si="14"/>
        <v>No</v>
      </c>
    </row>
    <row r="318" spans="1:13" x14ac:dyDescent="0.35">
      <c r="A318" s="2" t="s">
        <v>2757</v>
      </c>
      <c r="B318" s="2" t="s">
        <v>1347</v>
      </c>
      <c r="C318" s="2" t="s">
        <v>2758</v>
      </c>
      <c r="D318" s="16">
        <v>35200</v>
      </c>
      <c r="E318" s="2" t="s">
        <v>2314</v>
      </c>
      <c r="F318" s="2" t="str">
        <f>IFERROR(INDEX(Vendor_ID_Map!$B$2:$B$229,MATCH(B318,Vendor_ID_Map!$A$2:$A$229,0)),"UNMAPPED")</f>
        <v>V1200</v>
      </c>
      <c r="G318" s="2" t="str">
        <f>IFERROR(INDEX(Vendor_Master_Golden!$B$2:$B$208,MATCH(F318,Vendor_Master_Golden!$A$2:$A$208,0)),"-")</f>
        <v>Zenith Engineering Works Pvt Ltd</v>
      </c>
      <c r="H318" s="2" t="str">
        <f>IFERROR(INDEX(Vendor_Master_Golden!$K$2:$K$208,MATCH(F318,Vendor_Master_Golden!$A$2:$A$208,0)),"-")</f>
        <v>Active</v>
      </c>
      <c r="I318" s="2" t="str">
        <f t="shared" si="12"/>
        <v>OK</v>
      </c>
      <c r="J318" s="2">
        <f>COUNTIFS($B$2:B318,B318,$A$2:A318,A318,$D$2:D318,D318)</f>
        <v>1</v>
      </c>
      <c r="K318" s="2">
        <f>COUNTIFS($F$2:F318,F318,$A$2:A318,A318,$D$2:D318,D318)</f>
        <v>1</v>
      </c>
      <c r="L318" s="2" t="str">
        <f t="shared" si="13"/>
        <v>Unique</v>
      </c>
      <c r="M318" s="2" t="str">
        <f t="shared" si="14"/>
        <v>No</v>
      </c>
    </row>
    <row r="319" spans="1:13" x14ac:dyDescent="0.35">
      <c r="A319" s="2" t="s">
        <v>2759</v>
      </c>
      <c r="B319" s="2" t="s">
        <v>1918</v>
      </c>
      <c r="C319" s="2" t="s">
        <v>2760</v>
      </c>
      <c r="D319" s="16">
        <v>35300</v>
      </c>
      <c r="E319" s="2" t="s">
        <v>2316</v>
      </c>
      <c r="F319" s="2" t="str">
        <f>IFERROR(INDEX(Vendor_ID_Map!$B$2:$B$229,MATCH(B319,Vendor_ID_Map!$A$2:$A$229,0)),"UNMAPPED")</f>
        <v>V1020</v>
      </c>
      <c r="G319" s="2" t="str">
        <f>IFERROR(INDEX(Vendor_Master_Golden!$B$2:$B$208,MATCH(F319,Vendor_Master_Golden!$A$2:$A$208,0)),"-")</f>
        <v>Horizon Landscaping Limited</v>
      </c>
      <c r="H319" s="2" t="str">
        <f>IFERROR(INDEX(Vendor_Master_Golden!$K$2:$K$208,MATCH(F319,Vendor_Master_Golden!$A$2:$A$208,0)),"-")</f>
        <v>Active</v>
      </c>
      <c r="I319" s="2" t="str">
        <f t="shared" si="12"/>
        <v>OK</v>
      </c>
      <c r="J319" s="2">
        <f>COUNTIFS($B$2:B319,B319,$A$2:A319,A319,$D$2:D319,D319)</f>
        <v>1</v>
      </c>
      <c r="K319" s="2">
        <f>COUNTIFS($F$2:F319,F319,$A$2:A319,A319,$D$2:D319,D319)</f>
        <v>1</v>
      </c>
      <c r="L319" s="2" t="str">
        <f t="shared" si="13"/>
        <v>Unique</v>
      </c>
      <c r="M319" s="2" t="str">
        <f t="shared" si="14"/>
        <v>No</v>
      </c>
    </row>
    <row r="320" spans="1:13" x14ac:dyDescent="0.35">
      <c r="A320" s="2" t="s">
        <v>2761</v>
      </c>
      <c r="B320" s="2" t="s">
        <v>837</v>
      </c>
      <c r="C320" s="2" t="s">
        <v>2762</v>
      </c>
      <c r="D320" s="16">
        <v>181800</v>
      </c>
      <c r="E320" s="2" t="s">
        <v>2314</v>
      </c>
      <c r="F320" s="2" t="str">
        <f>IFERROR(INDEX(Vendor_ID_Map!$B$2:$B$229,MATCH(B320,Vendor_ID_Map!$A$2:$A$229,0)),"UNMAPPED")</f>
        <v>V1068</v>
      </c>
      <c r="G320" s="2" t="str">
        <f>IFERROR(INDEX(Vendor_Master_Golden!$B$2:$B$208,MATCH(F320,Vendor_Master_Golden!$A$2:$A$208,0)),"-")</f>
        <v>Aaryan Security Solutions Limited</v>
      </c>
      <c r="H320" s="2" t="str">
        <f>IFERROR(INDEX(Vendor_Master_Golden!$K$2:$K$208,MATCH(F320,Vendor_Master_Golden!$A$2:$A$208,0)),"-")</f>
        <v>Active</v>
      </c>
      <c r="I320" s="2" t="str">
        <f t="shared" si="12"/>
        <v>OK</v>
      </c>
      <c r="J320" s="2">
        <f>COUNTIFS($B$2:B320,B320,$A$2:A320,A320,$D$2:D320,D320)</f>
        <v>1</v>
      </c>
      <c r="K320" s="2">
        <f>COUNTIFS($F$2:F320,F320,$A$2:A320,A320,$D$2:D320,D320)</f>
        <v>1</v>
      </c>
      <c r="L320" s="2" t="str">
        <f t="shared" si="13"/>
        <v>Unique</v>
      </c>
      <c r="M320" s="2" t="str">
        <f t="shared" si="14"/>
        <v>No</v>
      </c>
    </row>
    <row r="321" spans="1:13" x14ac:dyDescent="0.35">
      <c r="A321" s="2" t="s">
        <v>2763</v>
      </c>
      <c r="B321" s="2" t="s">
        <v>1364</v>
      </c>
      <c r="C321" s="2" t="s">
        <v>2762</v>
      </c>
      <c r="D321" s="16">
        <v>70600</v>
      </c>
      <c r="E321" s="2" t="s">
        <v>2314</v>
      </c>
      <c r="F321" s="2" t="str">
        <f>IFERROR(INDEX(Vendor_ID_Map!$B$2:$B$229,MATCH(B321,Vendor_ID_Map!$A$2:$A$229,0)),"UNMAPPED")</f>
        <v>V1187</v>
      </c>
      <c r="G321" s="2" t="str">
        <f>IFERROR(INDEX(Vendor_Master_Golden!$B$2:$B$208,MATCH(F321,Vendor_Master_Golden!$A$2:$A$208,0)),"-")</f>
        <v>Orchid Facility Services Limited</v>
      </c>
      <c r="H321" s="2" t="str">
        <f>IFERROR(INDEX(Vendor_Master_Golden!$K$2:$K$208,MATCH(F321,Vendor_Master_Golden!$A$2:$A$208,0)),"-")</f>
        <v>Active</v>
      </c>
      <c r="I321" s="2" t="str">
        <f t="shared" si="12"/>
        <v>OK</v>
      </c>
      <c r="J321" s="2">
        <f>COUNTIFS($B$2:B321,B321,$A$2:A321,A321,$D$2:D321,D321)</f>
        <v>1</v>
      </c>
      <c r="K321" s="2">
        <f>COUNTIFS($F$2:F321,F321,$A$2:A321,A321,$D$2:D321,D321)</f>
        <v>1</v>
      </c>
      <c r="L321" s="2" t="str">
        <f t="shared" si="13"/>
        <v>Unique</v>
      </c>
      <c r="M321" s="2" t="str">
        <f t="shared" si="14"/>
        <v>No</v>
      </c>
    </row>
    <row r="322" spans="1:13" x14ac:dyDescent="0.35">
      <c r="A322" s="2" t="s">
        <v>2764</v>
      </c>
      <c r="B322" s="2" t="s">
        <v>1323</v>
      </c>
      <c r="C322" s="2" t="s">
        <v>2762</v>
      </c>
      <c r="D322" s="16">
        <v>128700</v>
      </c>
      <c r="E322" s="2" t="s">
        <v>2314</v>
      </c>
      <c r="F322" s="2" t="str">
        <f>IFERROR(INDEX(Vendor_ID_Map!$B$2:$B$229,MATCH(B322,Vendor_ID_Map!$A$2:$A$229,0)),"UNMAPPED")</f>
        <v>V1188</v>
      </c>
      <c r="G322" s="2" t="str">
        <f>IFERROR(INDEX(Vendor_Master_Golden!$B$2:$B$208,MATCH(F322,Vendor_Master_Golden!$A$2:$A$208,0)),"-")</f>
        <v>Unity Printing LLP</v>
      </c>
      <c r="H322" s="2" t="str">
        <f>IFERROR(INDEX(Vendor_Master_Golden!$K$2:$K$208,MATCH(F322,Vendor_Master_Golden!$A$2:$A$208,0)),"-")</f>
        <v>Active</v>
      </c>
      <c r="I322" s="2" t="str">
        <f t="shared" ref="I322:I385" si="15">IF(F322="UNMAPPED","Orphan Vendor ID",IF(H322="Inactive","Inactive Vendor","OK"))</f>
        <v>OK</v>
      </c>
      <c r="J322" s="2">
        <f>COUNTIFS($B$2:B322,B322,$A$2:A322,A322,$D$2:D322,D322)</f>
        <v>1</v>
      </c>
      <c r="K322" s="2">
        <f>COUNTIFS($F$2:F322,F322,$A$2:A322,A322,$D$2:D322,D322)</f>
        <v>1</v>
      </c>
      <c r="L322" s="2" t="str">
        <f t="shared" ref="L322:L385" si="16">IF(K322&gt;1,"Duplicate","Unique")</f>
        <v>Unique</v>
      </c>
      <c r="M322" s="2" t="str">
        <f t="shared" ref="M322:M385" si="17">IF(AND(K322&gt;1,J322=1),"Yes","No")</f>
        <v>No</v>
      </c>
    </row>
    <row r="323" spans="1:13" x14ac:dyDescent="0.35">
      <c r="A323" s="2" t="s">
        <v>2765</v>
      </c>
      <c r="B323" s="2" t="s">
        <v>582</v>
      </c>
      <c r="C323" s="2" t="s">
        <v>2766</v>
      </c>
      <c r="D323" s="16">
        <v>86800</v>
      </c>
      <c r="E323" s="2" t="s">
        <v>2316</v>
      </c>
      <c r="F323" s="2" t="str">
        <f>IFERROR(INDEX(Vendor_ID_Map!$B$2:$B$229,MATCH(B323,Vendor_ID_Map!$A$2:$A$229,0)),"UNMAPPED")</f>
        <v>V1027</v>
      </c>
      <c r="G323" s="2" t="str">
        <f>IFERROR(INDEX(Vendor_Master_Golden!$B$2:$B$208,MATCH(F323,Vendor_Master_Golden!$A$2:$A$208,0)),"-")</f>
        <v>Chola Security Solutions LLP</v>
      </c>
      <c r="H323" s="2" t="str">
        <f>IFERROR(INDEX(Vendor_Master_Golden!$K$2:$K$208,MATCH(F323,Vendor_Master_Golden!$A$2:$A$208,0)),"-")</f>
        <v>Active</v>
      </c>
      <c r="I323" s="2" t="str">
        <f t="shared" si="15"/>
        <v>OK</v>
      </c>
      <c r="J323" s="2">
        <f>COUNTIFS($B$2:B323,B323,$A$2:A323,A323,$D$2:D323,D323)</f>
        <v>1</v>
      </c>
      <c r="K323" s="2">
        <f>COUNTIFS($F$2:F323,F323,$A$2:A323,A323,$D$2:D323,D323)</f>
        <v>1</v>
      </c>
      <c r="L323" s="2" t="str">
        <f t="shared" si="16"/>
        <v>Unique</v>
      </c>
      <c r="M323" s="2" t="str">
        <f t="shared" si="17"/>
        <v>No</v>
      </c>
    </row>
    <row r="324" spans="1:13" x14ac:dyDescent="0.35">
      <c r="A324" s="2" t="s">
        <v>2767</v>
      </c>
      <c r="B324" s="2" t="s">
        <v>1095</v>
      </c>
      <c r="C324" s="2" t="s">
        <v>2768</v>
      </c>
      <c r="D324" s="16">
        <v>21600</v>
      </c>
      <c r="E324" s="2" t="s">
        <v>2314</v>
      </c>
      <c r="F324" s="2" t="str">
        <f>IFERROR(INDEX(Vendor_ID_Map!$B$2:$B$229,MATCH(B324,Vendor_ID_Map!$A$2:$A$229,0)),"UNMAPPED")</f>
        <v>V1021</v>
      </c>
      <c r="G324" s="2" t="str">
        <f>IFERROR(INDEX(Vendor_Master_Golden!$B$2:$B$208,MATCH(F324,Vendor_Master_Golden!$A$2:$A$208,0)),"-")</f>
        <v>Ironbridge Water Solutions Pvt Ltd</v>
      </c>
      <c r="H324" s="2" t="str">
        <f>IFERROR(INDEX(Vendor_Master_Golden!$K$2:$K$208,MATCH(F324,Vendor_Master_Golden!$A$2:$A$208,0)),"-")</f>
        <v>Active</v>
      </c>
      <c r="I324" s="2" t="str">
        <f t="shared" si="15"/>
        <v>OK</v>
      </c>
      <c r="J324" s="2">
        <f>COUNTIFS($B$2:B324,B324,$A$2:A324,A324,$D$2:D324,D324)</f>
        <v>1</v>
      </c>
      <c r="K324" s="2">
        <f>COUNTIFS($F$2:F324,F324,$A$2:A324,A324,$D$2:D324,D324)</f>
        <v>1</v>
      </c>
      <c r="L324" s="2" t="str">
        <f t="shared" si="16"/>
        <v>Unique</v>
      </c>
      <c r="M324" s="2" t="str">
        <f t="shared" si="17"/>
        <v>No</v>
      </c>
    </row>
    <row r="325" spans="1:13" x14ac:dyDescent="0.35">
      <c r="A325" s="2" t="s">
        <v>2769</v>
      </c>
      <c r="B325" s="2" t="s">
        <v>1931</v>
      </c>
      <c r="C325" s="2" t="s">
        <v>2768</v>
      </c>
      <c r="D325" s="16">
        <v>149700</v>
      </c>
      <c r="E325" s="2" t="s">
        <v>2316</v>
      </c>
      <c r="F325" s="2" t="str">
        <f>IFERROR(INDEX(Vendor_ID_Map!$B$2:$B$229,MATCH(B325,Vendor_ID_Map!$A$2:$A$229,0)),"UNMAPPED")</f>
        <v>V1202</v>
      </c>
      <c r="G325" s="2" t="str">
        <f>IFERROR(INDEX(Vendor_Master_Golden!$B$2:$B$208,MATCH(F325,Vendor_Master_Golden!$A$2:$A$208,0)),"-")</f>
        <v>Eastern It Services Limited</v>
      </c>
      <c r="H325" s="2" t="str">
        <f>IFERROR(INDEX(Vendor_Master_Golden!$K$2:$K$208,MATCH(F325,Vendor_Master_Golden!$A$2:$A$208,0)),"-")</f>
        <v>Active</v>
      </c>
      <c r="I325" s="2" t="str">
        <f t="shared" si="15"/>
        <v>OK</v>
      </c>
      <c r="J325" s="2">
        <f>COUNTIFS($B$2:B325,B325,$A$2:A325,A325,$D$2:D325,D325)</f>
        <v>1</v>
      </c>
      <c r="K325" s="2">
        <f>COUNTIFS($F$2:F325,F325,$A$2:A325,A325,$D$2:D325,D325)</f>
        <v>1</v>
      </c>
      <c r="L325" s="2" t="str">
        <f t="shared" si="16"/>
        <v>Unique</v>
      </c>
      <c r="M325" s="2" t="str">
        <f t="shared" si="17"/>
        <v>No</v>
      </c>
    </row>
    <row r="326" spans="1:13" x14ac:dyDescent="0.35">
      <c r="A326" s="2" t="s">
        <v>2770</v>
      </c>
      <c r="B326" s="2" t="s">
        <v>387</v>
      </c>
      <c r="C326" s="2" t="s">
        <v>2771</v>
      </c>
      <c r="D326" s="16">
        <v>12600</v>
      </c>
      <c r="E326" s="2" t="s">
        <v>2316</v>
      </c>
      <c r="F326" s="2" t="str">
        <f>IFERROR(INDEX(Vendor_ID_Map!$B$2:$B$229,MATCH(B326,Vendor_ID_Map!$A$2:$A$229,0)),"UNMAPPED")</f>
        <v>V1062</v>
      </c>
      <c r="G326" s="2" t="str">
        <f>IFERROR(INDEX(Vendor_Master_Golden!$B$2:$B$208,MATCH(F326,Vendor_Master_Golden!$A$2:$A$208,0)),"-")</f>
        <v>Western Power Systems Pvt Ltd</v>
      </c>
      <c r="H326" s="2" t="str">
        <f>IFERROR(INDEX(Vendor_Master_Golden!$K$2:$K$208,MATCH(F326,Vendor_Master_Golden!$A$2:$A$208,0)),"-")</f>
        <v>Active</v>
      </c>
      <c r="I326" s="2" t="str">
        <f t="shared" si="15"/>
        <v>OK</v>
      </c>
      <c r="J326" s="2">
        <f>COUNTIFS($B$2:B326,B326,$A$2:A326,A326,$D$2:D326,D326)</f>
        <v>1</v>
      </c>
      <c r="K326" s="2">
        <f>COUNTIFS($F$2:F326,F326,$A$2:A326,A326,$D$2:D326,D326)</f>
        <v>1</v>
      </c>
      <c r="L326" s="2" t="str">
        <f t="shared" si="16"/>
        <v>Unique</v>
      </c>
      <c r="M326" s="2" t="str">
        <f t="shared" si="17"/>
        <v>No</v>
      </c>
    </row>
    <row r="327" spans="1:13" x14ac:dyDescent="0.35">
      <c r="A327" s="2" t="s">
        <v>2772</v>
      </c>
      <c r="B327" s="2" t="s">
        <v>123</v>
      </c>
      <c r="C327" s="2" t="s">
        <v>2771</v>
      </c>
      <c r="D327" s="16">
        <v>171200</v>
      </c>
      <c r="E327" s="2" t="s">
        <v>2316</v>
      </c>
      <c r="F327" s="2" t="str">
        <f>IFERROR(INDEX(Vendor_ID_Map!$B$2:$B$229,MATCH(B327,Vendor_ID_Map!$A$2:$A$229,0)),"UNMAPPED")</f>
        <v>V1109</v>
      </c>
      <c r="G327" s="2" t="str">
        <f>IFERROR(INDEX(Vendor_Master_Golden!$B$2:$B$208,MATCH(F327,Vendor_Master_Golden!$A$2:$A$208,0)),"-")</f>
        <v>Sunrise Housekeeping LLP</v>
      </c>
      <c r="H327" s="2" t="str">
        <f>IFERROR(INDEX(Vendor_Master_Golden!$K$2:$K$208,MATCH(F327,Vendor_Master_Golden!$A$2:$A$208,0)),"-")</f>
        <v>Active</v>
      </c>
      <c r="I327" s="2" t="str">
        <f t="shared" si="15"/>
        <v>OK</v>
      </c>
      <c r="J327" s="2">
        <f>COUNTIFS($B$2:B327,B327,$A$2:A327,A327,$D$2:D327,D327)</f>
        <v>1</v>
      </c>
      <c r="K327" s="2">
        <f>COUNTIFS($F$2:F327,F327,$A$2:A327,A327,$D$2:D327,D327)</f>
        <v>1</v>
      </c>
      <c r="L327" s="2" t="str">
        <f t="shared" si="16"/>
        <v>Unique</v>
      </c>
      <c r="M327" s="2" t="str">
        <f t="shared" si="17"/>
        <v>No</v>
      </c>
    </row>
    <row r="328" spans="1:13" x14ac:dyDescent="0.35">
      <c r="A328" s="2" t="s">
        <v>2773</v>
      </c>
      <c r="B328" s="2" t="s">
        <v>848</v>
      </c>
      <c r="C328" s="2" t="s">
        <v>2774</v>
      </c>
      <c r="D328" s="16">
        <v>89600</v>
      </c>
      <c r="E328" s="2" t="s">
        <v>2314</v>
      </c>
      <c r="F328" s="2" t="str">
        <f>IFERROR(INDEX(Vendor_ID_Map!$B$2:$B$229,MATCH(B328,Vendor_ID_Map!$A$2:$A$229,0)),"UNMAPPED")</f>
        <v>V1213</v>
      </c>
      <c r="G328" s="2" t="str">
        <f>IFERROR(INDEX(Vendor_Master_Golden!$B$2:$B$208,MATCH(F328,Vendor_Master_Golden!$A$2:$A$208,0)),"-")</f>
        <v>Bharat It Services Pvt Ltd</v>
      </c>
      <c r="H328" s="2" t="str">
        <f>IFERROR(INDEX(Vendor_Master_Golden!$K$2:$K$208,MATCH(F328,Vendor_Master_Golden!$A$2:$A$208,0)),"-")</f>
        <v>Active</v>
      </c>
      <c r="I328" s="2" t="str">
        <f t="shared" si="15"/>
        <v>OK</v>
      </c>
      <c r="J328" s="2">
        <f>COUNTIFS($B$2:B328,B328,$A$2:A328,A328,$D$2:D328,D328)</f>
        <v>1</v>
      </c>
      <c r="K328" s="2">
        <f>COUNTIFS($F$2:F328,F328,$A$2:A328,A328,$D$2:D328,D328)</f>
        <v>1</v>
      </c>
      <c r="L328" s="2" t="str">
        <f t="shared" si="16"/>
        <v>Unique</v>
      </c>
      <c r="M328" s="2" t="str">
        <f t="shared" si="17"/>
        <v>No</v>
      </c>
    </row>
    <row r="329" spans="1:13" x14ac:dyDescent="0.35">
      <c r="A329" s="2" t="s">
        <v>2775</v>
      </c>
      <c r="B329" s="2" t="s">
        <v>642</v>
      </c>
      <c r="C329" s="2" t="s">
        <v>2774</v>
      </c>
      <c r="D329" s="16">
        <v>66500</v>
      </c>
      <c r="E329" s="2" t="s">
        <v>2314</v>
      </c>
      <c r="F329" s="2" t="str">
        <f>IFERROR(INDEX(Vendor_ID_Map!$B$2:$B$229,MATCH(B329,Vendor_ID_Map!$A$2:$A$229,0)),"UNMAPPED")</f>
        <v>V1178</v>
      </c>
      <c r="G329" s="2" t="str">
        <f>IFERROR(INDEX(Vendor_Master_Golden!$B$2:$B$208,MATCH(F329,Vendor_Master_Golden!$A$2:$A$208,0)),"-")</f>
        <v>Redwood Engineering Works Pvt Ltd</v>
      </c>
      <c r="H329" s="2" t="str">
        <f>IFERROR(INDEX(Vendor_Master_Golden!$K$2:$K$208,MATCH(F329,Vendor_Master_Golden!$A$2:$A$208,0)),"-")</f>
        <v>Active</v>
      </c>
      <c r="I329" s="2" t="str">
        <f t="shared" si="15"/>
        <v>OK</v>
      </c>
      <c r="J329" s="2">
        <f>COUNTIFS($B$2:B329,B329,$A$2:A329,A329,$D$2:D329,D329)</f>
        <v>1</v>
      </c>
      <c r="K329" s="2">
        <f>COUNTIFS($F$2:F329,F329,$A$2:A329,A329,$D$2:D329,D329)</f>
        <v>1</v>
      </c>
      <c r="L329" s="2" t="str">
        <f t="shared" si="16"/>
        <v>Unique</v>
      </c>
      <c r="M329" s="2" t="str">
        <f t="shared" si="17"/>
        <v>No</v>
      </c>
    </row>
    <row r="330" spans="1:13" x14ac:dyDescent="0.35">
      <c r="A330" s="2" t="s">
        <v>2776</v>
      </c>
      <c r="B330" s="2" t="s">
        <v>947</v>
      </c>
      <c r="C330" s="2" t="s">
        <v>2774</v>
      </c>
      <c r="D330" s="16">
        <v>100300</v>
      </c>
      <c r="E330" s="2" t="s">
        <v>2316</v>
      </c>
      <c r="F330" s="2" t="str">
        <f>IFERROR(INDEX(Vendor_ID_Map!$B$2:$B$229,MATCH(B330,Vendor_ID_Map!$A$2:$A$229,0)),"UNMAPPED")</f>
        <v>V1056</v>
      </c>
      <c r="G330" s="2" t="str">
        <f>IFERROR(INDEX(Vendor_Master_Golden!$B$2:$B$208,MATCH(F330,Vendor_Master_Golden!$A$2:$A$208,0)),"-")</f>
        <v>Evergreen Water Solutions Limited</v>
      </c>
      <c r="H330" s="2" t="str">
        <f>IFERROR(INDEX(Vendor_Master_Golden!$K$2:$K$208,MATCH(F330,Vendor_Master_Golden!$A$2:$A$208,0)),"-")</f>
        <v>Active</v>
      </c>
      <c r="I330" s="2" t="str">
        <f t="shared" si="15"/>
        <v>OK</v>
      </c>
      <c r="J330" s="2">
        <f>COUNTIFS($B$2:B330,B330,$A$2:A330,A330,$D$2:D330,D330)</f>
        <v>1</v>
      </c>
      <c r="K330" s="2">
        <f>COUNTIFS($F$2:F330,F330,$A$2:A330,A330,$D$2:D330,D330)</f>
        <v>1</v>
      </c>
      <c r="L330" s="2" t="str">
        <f t="shared" si="16"/>
        <v>Unique</v>
      </c>
      <c r="M330" s="2" t="str">
        <f t="shared" si="17"/>
        <v>No</v>
      </c>
    </row>
    <row r="331" spans="1:13" x14ac:dyDescent="0.35">
      <c r="A331" s="2" t="s">
        <v>2773</v>
      </c>
      <c r="B331" s="2" t="s">
        <v>1824</v>
      </c>
      <c r="C331" s="2" t="s">
        <v>2777</v>
      </c>
      <c r="D331" s="16">
        <v>89600</v>
      </c>
      <c r="E331" s="2" t="s">
        <v>2314</v>
      </c>
      <c r="F331" s="2" t="str">
        <f>IFERROR(INDEX(Vendor_ID_Map!$B$2:$B$229,MATCH(B331,Vendor_ID_Map!$A$2:$A$229,0)),"UNMAPPED")</f>
        <v>V1213</v>
      </c>
      <c r="G331" s="2" t="str">
        <f>IFERROR(INDEX(Vendor_Master_Golden!$B$2:$B$208,MATCH(F331,Vendor_Master_Golden!$A$2:$A$208,0)),"-")</f>
        <v>Bharat It Services Pvt Ltd</v>
      </c>
      <c r="H331" s="2" t="str">
        <f>IFERROR(INDEX(Vendor_Master_Golden!$K$2:$K$208,MATCH(F331,Vendor_Master_Golden!$A$2:$A$208,0)),"-")</f>
        <v>Active</v>
      </c>
      <c r="I331" s="2" t="str">
        <f t="shared" si="15"/>
        <v>OK</v>
      </c>
      <c r="J331" s="2">
        <f>COUNTIFS($B$2:B331,B331,$A$2:A331,A331,$D$2:D331,D331)</f>
        <v>1</v>
      </c>
      <c r="K331" s="2">
        <f>COUNTIFS($F$2:F331,F331,$A$2:A331,A331,$D$2:D331,D331)</f>
        <v>2</v>
      </c>
      <c r="L331" s="2" t="str">
        <f t="shared" si="16"/>
        <v>Duplicate</v>
      </c>
      <c r="M331" s="2" t="str">
        <f t="shared" si="17"/>
        <v>Yes</v>
      </c>
    </row>
    <row r="332" spans="1:13" x14ac:dyDescent="0.35">
      <c r="A332" s="2" t="s">
        <v>2778</v>
      </c>
      <c r="B332" s="2" t="s">
        <v>633</v>
      </c>
      <c r="C332" s="2" t="s">
        <v>2779</v>
      </c>
      <c r="D332" s="16">
        <v>28200</v>
      </c>
      <c r="E332" s="2" t="s">
        <v>2314</v>
      </c>
      <c r="F332" s="2" t="str">
        <f>IFERROR(INDEX(Vendor_ID_Map!$B$2:$B$229,MATCH(B332,Vendor_ID_Map!$A$2:$A$229,0)),"UNMAPPED")</f>
        <v>V1112</v>
      </c>
      <c r="G332" s="2" t="str">
        <f>IFERROR(INDEX(Vendor_Master_Golden!$B$2:$B$208,MATCH(F332,Vendor_Master_Golden!$A$2:$A$208,0)),"-")</f>
        <v>Falcon Housekeeping Limited</v>
      </c>
      <c r="H332" s="2" t="str">
        <f>IFERROR(INDEX(Vendor_Master_Golden!$K$2:$K$208,MATCH(F332,Vendor_Master_Golden!$A$2:$A$208,0)),"-")</f>
        <v>Active</v>
      </c>
      <c r="I332" s="2" t="str">
        <f t="shared" si="15"/>
        <v>OK</v>
      </c>
      <c r="J332" s="2">
        <f>COUNTIFS($B$2:B332,B332,$A$2:A332,A332,$D$2:D332,D332)</f>
        <v>1</v>
      </c>
      <c r="K332" s="2">
        <f>COUNTIFS($F$2:F332,F332,$A$2:A332,A332,$D$2:D332,D332)</f>
        <v>1</v>
      </c>
      <c r="L332" s="2" t="str">
        <f t="shared" si="16"/>
        <v>Unique</v>
      </c>
      <c r="M332" s="2" t="str">
        <f t="shared" si="17"/>
        <v>No</v>
      </c>
    </row>
    <row r="333" spans="1:13" x14ac:dyDescent="0.35">
      <c r="A333" s="2" t="s">
        <v>2769</v>
      </c>
      <c r="B333" s="2" t="s">
        <v>797</v>
      </c>
      <c r="C333" s="2" t="s">
        <v>2779</v>
      </c>
      <c r="D333" s="16">
        <v>149700</v>
      </c>
      <c r="E333" s="2" t="s">
        <v>2314</v>
      </c>
      <c r="F333" s="2" t="str">
        <f>IFERROR(INDEX(Vendor_ID_Map!$B$2:$B$229,MATCH(B333,Vendor_ID_Map!$A$2:$A$229,0)),"UNMAPPED")</f>
        <v>V1202</v>
      </c>
      <c r="G333" s="2" t="str">
        <f>IFERROR(INDEX(Vendor_Master_Golden!$B$2:$B$208,MATCH(F333,Vendor_Master_Golden!$A$2:$A$208,0)),"-")</f>
        <v>Eastern It Services Limited</v>
      </c>
      <c r="H333" s="2" t="str">
        <f>IFERROR(INDEX(Vendor_Master_Golden!$K$2:$K$208,MATCH(F333,Vendor_Master_Golden!$A$2:$A$208,0)),"-")</f>
        <v>Active</v>
      </c>
      <c r="I333" s="2" t="str">
        <f t="shared" si="15"/>
        <v>OK</v>
      </c>
      <c r="J333" s="2">
        <f>COUNTIFS($B$2:B333,B333,$A$2:A333,A333,$D$2:D333,D333)</f>
        <v>1</v>
      </c>
      <c r="K333" s="2">
        <f>COUNTIFS($F$2:F333,F333,$A$2:A333,A333,$D$2:D333,D333)</f>
        <v>2</v>
      </c>
      <c r="L333" s="2" t="str">
        <f t="shared" si="16"/>
        <v>Duplicate</v>
      </c>
      <c r="M333" s="2" t="str">
        <f t="shared" si="17"/>
        <v>Yes</v>
      </c>
    </row>
    <row r="334" spans="1:13" x14ac:dyDescent="0.35">
      <c r="A334" s="2" t="s">
        <v>2780</v>
      </c>
      <c r="B334" s="2" t="s">
        <v>1297</v>
      </c>
      <c r="C334" s="2" t="s">
        <v>2781</v>
      </c>
      <c r="D334" s="16">
        <v>68300</v>
      </c>
      <c r="E334" s="2" t="s">
        <v>2316</v>
      </c>
      <c r="F334" s="2" t="str">
        <f>IFERROR(INDEX(Vendor_ID_Map!$B$2:$B$229,MATCH(B334,Vendor_ID_Map!$A$2:$A$229,0)),"UNMAPPED")</f>
        <v>V1107</v>
      </c>
      <c r="G334" s="2" t="str">
        <f>IFERROR(INDEX(Vendor_Master_Golden!$B$2:$B$208,MATCH(F334,Vendor_Master_Golden!$A$2:$A$208,0)),"-")</f>
        <v>Western Stationers LLP</v>
      </c>
      <c r="H334" s="2" t="str">
        <f>IFERROR(INDEX(Vendor_Master_Golden!$K$2:$K$208,MATCH(F334,Vendor_Master_Golden!$A$2:$A$208,0)),"-")</f>
        <v>Active</v>
      </c>
      <c r="I334" s="2" t="str">
        <f t="shared" si="15"/>
        <v>OK</v>
      </c>
      <c r="J334" s="2">
        <f>COUNTIFS($B$2:B334,B334,$A$2:A334,A334,$D$2:D334,D334)</f>
        <v>1</v>
      </c>
      <c r="K334" s="2">
        <f>COUNTIFS($F$2:F334,F334,$A$2:A334,A334,$D$2:D334,D334)</f>
        <v>1</v>
      </c>
      <c r="L334" s="2" t="str">
        <f t="shared" si="16"/>
        <v>Unique</v>
      </c>
      <c r="M334" s="2" t="str">
        <f t="shared" si="17"/>
        <v>No</v>
      </c>
    </row>
    <row r="335" spans="1:13" x14ac:dyDescent="0.35">
      <c r="A335" s="2" t="s">
        <v>2782</v>
      </c>
      <c r="B335" s="2" t="s">
        <v>1364</v>
      </c>
      <c r="C335" s="2" t="s">
        <v>2783</v>
      </c>
      <c r="D335" s="16">
        <v>81900</v>
      </c>
      <c r="E335" s="2" t="s">
        <v>2314</v>
      </c>
      <c r="F335" s="2" t="str">
        <f>IFERROR(INDEX(Vendor_ID_Map!$B$2:$B$229,MATCH(B335,Vendor_ID_Map!$A$2:$A$229,0)),"UNMAPPED")</f>
        <v>V1187</v>
      </c>
      <c r="G335" s="2" t="str">
        <f>IFERROR(INDEX(Vendor_Master_Golden!$B$2:$B$208,MATCH(F335,Vendor_Master_Golden!$A$2:$A$208,0)),"-")</f>
        <v>Orchid Facility Services Limited</v>
      </c>
      <c r="H335" s="2" t="str">
        <f>IFERROR(INDEX(Vendor_Master_Golden!$K$2:$K$208,MATCH(F335,Vendor_Master_Golden!$A$2:$A$208,0)),"-")</f>
        <v>Active</v>
      </c>
      <c r="I335" s="2" t="str">
        <f t="shared" si="15"/>
        <v>OK</v>
      </c>
      <c r="J335" s="2">
        <f>COUNTIFS($B$2:B335,B335,$A$2:A335,A335,$D$2:D335,D335)</f>
        <v>1</v>
      </c>
      <c r="K335" s="2">
        <f>COUNTIFS($F$2:F335,F335,$A$2:A335,A335,$D$2:D335,D335)</f>
        <v>1</v>
      </c>
      <c r="L335" s="2" t="str">
        <f t="shared" si="16"/>
        <v>Unique</v>
      </c>
      <c r="M335" s="2" t="str">
        <f t="shared" si="17"/>
        <v>No</v>
      </c>
    </row>
    <row r="336" spans="1:13" x14ac:dyDescent="0.35">
      <c r="A336" s="2" t="s">
        <v>2784</v>
      </c>
      <c r="B336" s="2" t="s">
        <v>1010</v>
      </c>
      <c r="C336" s="2" t="s">
        <v>2783</v>
      </c>
      <c r="D336" s="16">
        <v>359000</v>
      </c>
      <c r="E336" s="2" t="s">
        <v>2314</v>
      </c>
      <c r="F336" s="2" t="str">
        <f>IFERROR(INDEX(Vendor_ID_Map!$B$2:$B$229,MATCH(B336,Vendor_ID_Map!$A$2:$A$229,0)),"UNMAPPED")</f>
        <v>V1152</v>
      </c>
      <c r="G336" s="2" t="str">
        <f>IFERROR(INDEX(Vendor_Master_Golden!$B$2:$B$208,MATCH(F336,Vendor_Master_Golden!$A$2:$A$208,0)),"-")</f>
        <v>Sunrise Engineering Works Private Limited</v>
      </c>
      <c r="H336" s="2" t="str">
        <f>IFERROR(INDEX(Vendor_Master_Golden!$K$2:$K$208,MATCH(F336,Vendor_Master_Golden!$A$2:$A$208,0)),"-")</f>
        <v>Active</v>
      </c>
      <c r="I336" s="2" t="str">
        <f t="shared" si="15"/>
        <v>OK</v>
      </c>
      <c r="J336" s="2">
        <f>COUNTIFS($B$2:B336,B336,$A$2:A336,A336,$D$2:D336,D336)</f>
        <v>1</v>
      </c>
      <c r="K336" s="2">
        <f>COUNTIFS($F$2:F336,F336,$A$2:A336,A336,$D$2:D336,D336)</f>
        <v>1</v>
      </c>
      <c r="L336" s="2" t="str">
        <f t="shared" si="16"/>
        <v>Unique</v>
      </c>
      <c r="M336" s="2" t="str">
        <f t="shared" si="17"/>
        <v>No</v>
      </c>
    </row>
    <row r="337" spans="1:13" x14ac:dyDescent="0.35">
      <c r="A337" s="2" t="s">
        <v>2785</v>
      </c>
      <c r="B337" s="2" t="s">
        <v>1239</v>
      </c>
      <c r="C337" s="2" t="s">
        <v>2783</v>
      </c>
      <c r="D337" s="16">
        <v>45600</v>
      </c>
      <c r="E337" s="2" t="s">
        <v>2316</v>
      </c>
      <c r="F337" s="2" t="str">
        <f>IFERROR(INDEX(Vendor_ID_Map!$B$2:$B$229,MATCH(B337,Vendor_ID_Map!$A$2:$A$229,0)),"UNMAPPED")</f>
        <v>V1032</v>
      </c>
      <c r="G337" s="2" t="str">
        <f>IFERROR(INDEX(Vendor_Master_Golden!$B$2:$B$208,MATCH(F337,Vendor_Master_Golden!$A$2:$A$208,0)),"-")</f>
        <v>Ironbridge Facility Services LLP</v>
      </c>
      <c r="H337" s="2" t="str">
        <f>IFERROR(INDEX(Vendor_Master_Golden!$K$2:$K$208,MATCH(F337,Vendor_Master_Golden!$A$2:$A$208,0)),"-")</f>
        <v>Active</v>
      </c>
      <c r="I337" s="2" t="str">
        <f t="shared" si="15"/>
        <v>OK</v>
      </c>
      <c r="J337" s="2">
        <f>COUNTIFS($B$2:B337,B337,$A$2:A337,A337,$D$2:D337,D337)</f>
        <v>1</v>
      </c>
      <c r="K337" s="2">
        <f>COUNTIFS($F$2:F337,F337,$A$2:A337,A337,$D$2:D337,D337)</f>
        <v>1</v>
      </c>
      <c r="L337" s="2" t="str">
        <f t="shared" si="16"/>
        <v>Unique</v>
      </c>
      <c r="M337" s="2" t="str">
        <f t="shared" si="17"/>
        <v>No</v>
      </c>
    </row>
    <row r="338" spans="1:13" x14ac:dyDescent="0.35">
      <c r="A338" s="2" t="s">
        <v>2786</v>
      </c>
      <c r="B338" s="2" t="s">
        <v>1845</v>
      </c>
      <c r="C338" s="2" t="s">
        <v>2787</v>
      </c>
      <c r="D338" s="16">
        <v>78700</v>
      </c>
      <c r="E338" s="2" t="s">
        <v>2314</v>
      </c>
      <c r="F338" s="2" t="str">
        <f>IFERROR(INDEX(Vendor_ID_Map!$B$2:$B$229,MATCH(B338,Vendor_ID_Map!$A$2:$A$229,0)),"UNMAPPED")</f>
        <v>V1126</v>
      </c>
      <c r="G338" s="2" t="str">
        <f>IFERROR(INDEX(Vendor_Master_Golden!$B$2:$B$208,MATCH(F338,Vendor_Master_Golden!$A$2:$A$208,0)),"-")</f>
        <v>Sunrise Power Systems Pvt Ltd</v>
      </c>
      <c r="H338" s="2" t="str">
        <f>IFERROR(INDEX(Vendor_Master_Golden!$K$2:$K$208,MATCH(F338,Vendor_Master_Golden!$A$2:$A$208,0)),"-")</f>
        <v>Active</v>
      </c>
      <c r="I338" s="2" t="str">
        <f t="shared" si="15"/>
        <v>OK</v>
      </c>
      <c r="J338" s="2">
        <f>COUNTIFS($B$2:B338,B338,$A$2:A338,A338,$D$2:D338,D338)</f>
        <v>1</v>
      </c>
      <c r="K338" s="2">
        <f>COUNTIFS($F$2:F338,F338,$A$2:A338,A338,$D$2:D338,D338)</f>
        <v>1</v>
      </c>
      <c r="L338" s="2" t="str">
        <f t="shared" si="16"/>
        <v>Unique</v>
      </c>
      <c r="M338" s="2" t="str">
        <f t="shared" si="17"/>
        <v>No</v>
      </c>
    </row>
    <row r="339" spans="1:13" x14ac:dyDescent="0.35">
      <c r="A339" s="2" t="s">
        <v>2788</v>
      </c>
      <c r="B339" s="2" t="s">
        <v>1758</v>
      </c>
      <c r="C339" s="2" t="s">
        <v>2787</v>
      </c>
      <c r="D339" s="16">
        <v>118800</v>
      </c>
      <c r="E339" s="2" t="s">
        <v>2316</v>
      </c>
      <c r="F339" s="2" t="str">
        <f>IFERROR(INDEX(Vendor_ID_Map!$B$2:$B$229,MATCH(B339,Vendor_ID_Map!$A$2:$A$229,0)),"UNMAPPED")</f>
        <v>V1129</v>
      </c>
      <c r="G339" s="2" t="str">
        <f>IFERROR(INDEX(Vendor_Master_Golden!$B$2:$B$208,MATCH(F339,Vendor_Master_Golden!$A$2:$A$208,0)),"-")</f>
        <v>Bluewave Maintenance LLP</v>
      </c>
      <c r="H339" s="2" t="str">
        <f>IFERROR(INDEX(Vendor_Master_Golden!$K$2:$K$208,MATCH(F339,Vendor_Master_Golden!$A$2:$A$208,0)),"-")</f>
        <v>Active</v>
      </c>
      <c r="I339" s="2" t="str">
        <f t="shared" si="15"/>
        <v>OK</v>
      </c>
      <c r="J339" s="2">
        <f>COUNTIFS($B$2:B339,B339,$A$2:A339,A339,$D$2:D339,D339)</f>
        <v>1</v>
      </c>
      <c r="K339" s="2">
        <f>COUNTIFS($F$2:F339,F339,$A$2:A339,A339,$D$2:D339,D339)</f>
        <v>1</v>
      </c>
      <c r="L339" s="2" t="str">
        <f t="shared" si="16"/>
        <v>Unique</v>
      </c>
      <c r="M339" s="2" t="str">
        <f t="shared" si="17"/>
        <v>No</v>
      </c>
    </row>
    <row r="340" spans="1:13" x14ac:dyDescent="0.35">
      <c r="A340" s="2" t="s">
        <v>2789</v>
      </c>
      <c r="B340" s="2" t="s">
        <v>1027</v>
      </c>
      <c r="C340" s="2" t="s">
        <v>2790</v>
      </c>
      <c r="D340" s="16">
        <v>113400</v>
      </c>
      <c r="E340" s="2" t="s">
        <v>2314</v>
      </c>
      <c r="F340" s="2" t="str">
        <f>IFERROR(INDEX(Vendor_ID_Map!$B$2:$B$229,MATCH(B340,Vendor_ID_Map!$A$2:$A$229,0)),"UNMAPPED")</f>
        <v>V1201</v>
      </c>
      <c r="G340" s="2" t="str">
        <f>IFERROR(INDEX(Vendor_Master_Golden!$B$2:$B$208,MATCH(F340,Vendor_Master_Golden!$A$2:$A$208,0)),"-")</f>
        <v>Nova Housekeeping Limited</v>
      </c>
      <c r="H340" s="2" t="str">
        <f>IFERROR(INDEX(Vendor_Master_Golden!$K$2:$K$208,MATCH(F340,Vendor_Master_Golden!$A$2:$A$208,0)),"-")</f>
        <v>Active</v>
      </c>
      <c r="I340" s="2" t="str">
        <f t="shared" si="15"/>
        <v>OK</v>
      </c>
      <c r="J340" s="2">
        <f>COUNTIFS($B$2:B340,B340,$A$2:A340,A340,$D$2:D340,D340)</f>
        <v>1</v>
      </c>
      <c r="K340" s="2">
        <f>COUNTIFS($F$2:F340,F340,$A$2:A340,A340,$D$2:D340,D340)</f>
        <v>1</v>
      </c>
      <c r="L340" s="2" t="str">
        <f t="shared" si="16"/>
        <v>Unique</v>
      </c>
      <c r="M340" s="2" t="str">
        <f t="shared" si="17"/>
        <v>No</v>
      </c>
    </row>
    <row r="341" spans="1:13" x14ac:dyDescent="0.35">
      <c r="A341" s="2" t="s">
        <v>2791</v>
      </c>
      <c r="B341" s="2" t="s">
        <v>299</v>
      </c>
      <c r="C341" s="2" t="s">
        <v>2792</v>
      </c>
      <c r="D341" s="16">
        <v>175900</v>
      </c>
      <c r="E341" s="2" t="s">
        <v>2314</v>
      </c>
      <c r="F341" s="2" t="str">
        <f>IFERROR(INDEX(Vendor_ID_Map!$B$2:$B$229,MATCH(B341,Vendor_ID_Map!$A$2:$A$229,0)),"UNMAPPED")</f>
        <v>V1199</v>
      </c>
      <c r="G341" s="2" t="str">
        <f>IFERROR(INDEX(Vendor_Master_Golden!$B$2:$B$208,MATCH(F341,Vendor_Master_Golden!$A$2:$A$208,0)),"-")</f>
        <v>Sunrise Landscaping Limited</v>
      </c>
      <c r="H341" s="2" t="str">
        <f>IFERROR(INDEX(Vendor_Master_Golden!$K$2:$K$208,MATCH(F341,Vendor_Master_Golden!$A$2:$A$208,0)),"-")</f>
        <v>Active</v>
      </c>
      <c r="I341" s="2" t="str">
        <f t="shared" si="15"/>
        <v>OK</v>
      </c>
      <c r="J341" s="2">
        <f>COUNTIFS($B$2:B341,B341,$A$2:A341,A341,$D$2:D341,D341)</f>
        <v>1</v>
      </c>
      <c r="K341" s="2">
        <f>COUNTIFS($F$2:F341,F341,$A$2:A341,A341,$D$2:D341,D341)</f>
        <v>1</v>
      </c>
      <c r="L341" s="2" t="str">
        <f t="shared" si="16"/>
        <v>Unique</v>
      </c>
      <c r="M341" s="2" t="str">
        <f t="shared" si="17"/>
        <v>No</v>
      </c>
    </row>
    <row r="342" spans="1:13" x14ac:dyDescent="0.35">
      <c r="A342" s="2" t="s">
        <v>2793</v>
      </c>
      <c r="B342" s="2" t="s">
        <v>475</v>
      </c>
      <c r="C342" s="2" t="s">
        <v>2792</v>
      </c>
      <c r="D342" s="16">
        <v>52300</v>
      </c>
      <c r="E342" s="2" t="s">
        <v>2314</v>
      </c>
      <c r="F342" s="2" t="str">
        <f>IFERROR(INDEX(Vendor_ID_Map!$B$2:$B$229,MATCH(B342,Vendor_ID_Map!$A$2:$A$229,0)),"UNMAPPED")</f>
        <v>V1217</v>
      </c>
      <c r="G342" s="2" t="str">
        <f>IFERROR(INDEX(Vendor_Master_Golden!$B$2:$B$208,MATCH(F342,Vendor_Master_Golden!$A$2:$A$208,0)),"-")</f>
        <v>Titan IT Svcs Private Limited</v>
      </c>
      <c r="H342" s="2" t="str">
        <f>IFERROR(INDEX(Vendor_Master_Golden!$K$2:$K$208,MATCH(F342,Vendor_Master_Golden!$A$2:$A$208,0)),"-")</f>
        <v>Active</v>
      </c>
      <c r="I342" s="2" t="str">
        <f t="shared" si="15"/>
        <v>OK</v>
      </c>
      <c r="J342" s="2">
        <f>COUNTIFS($B$2:B342,B342,$A$2:A342,A342,$D$2:D342,D342)</f>
        <v>1</v>
      </c>
      <c r="K342" s="2">
        <f>COUNTIFS($F$2:F342,F342,$A$2:A342,A342,$D$2:D342,D342)</f>
        <v>1</v>
      </c>
      <c r="L342" s="2" t="str">
        <f t="shared" si="16"/>
        <v>Unique</v>
      </c>
      <c r="M342" s="2" t="str">
        <f t="shared" si="17"/>
        <v>No</v>
      </c>
    </row>
    <row r="343" spans="1:13" x14ac:dyDescent="0.35">
      <c r="A343" s="2" t="s">
        <v>2794</v>
      </c>
      <c r="B343" s="2" t="s">
        <v>1404</v>
      </c>
      <c r="C343" s="2" t="s">
        <v>2795</v>
      </c>
      <c r="D343" s="16">
        <v>116600</v>
      </c>
      <c r="E343" s="2" t="s">
        <v>2316</v>
      </c>
      <c r="F343" s="2" t="str">
        <f>IFERROR(INDEX(Vendor_ID_Map!$B$2:$B$229,MATCH(B343,Vendor_ID_Map!$A$2:$A$229,0)),"UNMAPPED")</f>
        <v>V1023</v>
      </c>
      <c r="G343" s="2" t="str">
        <f>IFERROR(INDEX(Vendor_Master_Golden!$B$2:$B$208,MATCH(F343,Vendor_Master_Golden!$A$2:$A$208,0)),"-")</f>
        <v>Western Facility Services Private Limited</v>
      </c>
      <c r="H343" s="2" t="str">
        <f>IFERROR(INDEX(Vendor_Master_Golden!$K$2:$K$208,MATCH(F343,Vendor_Master_Golden!$A$2:$A$208,0)),"-")</f>
        <v>Active</v>
      </c>
      <c r="I343" s="2" t="str">
        <f t="shared" si="15"/>
        <v>OK</v>
      </c>
      <c r="J343" s="2">
        <f>COUNTIFS($B$2:B343,B343,$A$2:A343,A343,$D$2:D343,D343)</f>
        <v>1</v>
      </c>
      <c r="K343" s="2">
        <f>COUNTIFS($F$2:F343,F343,$A$2:A343,A343,$D$2:D343,D343)</f>
        <v>1</v>
      </c>
      <c r="L343" s="2" t="str">
        <f t="shared" si="16"/>
        <v>Unique</v>
      </c>
      <c r="M343" s="2" t="str">
        <f t="shared" si="17"/>
        <v>No</v>
      </c>
    </row>
    <row r="344" spans="1:13" x14ac:dyDescent="0.35">
      <c r="A344" s="2" t="s">
        <v>2796</v>
      </c>
      <c r="B344" s="2" t="s">
        <v>414</v>
      </c>
      <c r="C344" s="2" t="s">
        <v>2795</v>
      </c>
      <c r="D344" s="16">
        <v>57600</v>
      </c>
      <c r="E344" s="2" t="s">
        <v>2316</v>
      </c>
      <c r="F344" s="2" t="str">
        <f>IFERROR(INDEX(Vendor_ID_Map!$B$2:$B$229,MATCH(B344,Vendor_ID_Map!$A$2:$A$229,0)),"UNMAPPED")</f>
        <v>V1157</v>
      </c>
      <c r="G344" s="2" t="str">
        <f>IFERROR(INDEX(Vendor_Master_Golden!$B$2:$B$208,MATCH(F344,Vendor_Master_Golden!$A$2:$A$208,0)),"-")</f>
        <v>Titan Facility Services LLP</v>
      </c>
      <c r="H344" s="2" t="str">
        <f>IFERROR(INDEX(Vendor_Master_Golden!$K$2:$K$208,MATCH(F344,Vendor_Master_Golden!$A$2:$A$208,0)),"-")</f>
        <v>Active</v>
      </c>
      <c r="I344" s="2" t="str">
        <f t="shared" si="15"/>
        <v>OK</v>
      </c>
      <c r="J344" s="2">
        <f>COUNTIFS($B$2:B344,B344,$A$2:A344,A344,$D$2:D344,D344)</f>
        <v>1</v>
      </c>
      <c r="K344" s="2">
        <f>COUNTIFS($F$2:F344,F344,$A$2:A344,A344,$D$2:D344,D344)</f>
        <v>1</v>
      </c>
      <c r="L344" s="2" t="str">
        <f t="shared" si="16"/>
        <v>Unique</v>
      </c>
      <c r="M344" s="2" t="str">
        <f t="shared" si="17"/>
        <v>No</v>
      </c>
    </row>
    <row r="345" spans="1:13" x14ac:dyDescent="0.35">
      <c r="A345" s="2" t="s">
        <v>2797</v>
      </c>
      <c r="B345" s="2" t="s">
        <v>255</v>
      </c>
      <c r="C345" s="2" t="s">
        <v>2795</v>
      </c>
      <c r="D345" s="16">
        <v>71500</v>
      </c>
      <c r="E345" s="2" t="s">
        <v>2316</v>
      </c>
      <c r="F345" s="2" t="str">
        <f>IFERROR(INDEX(Vendor_ID_Map!$B$2:$B$229,MATCH(B345,Vendor_ID_Map!$A$2:$A$229,0)),"UNMAPPED")</f>
        <v>V1131</v>
      </c>
      <c r="G345" s="2" t="str">
        <f>IFERROR(INDEX(Vendor_Master_Golden!$B$2:$B$208,MATCH(F345,Vendor_Master_Golden!$A$2:$A$208,0)),"-")</f>
        <v>Falcon Power Systems Private Limited</v>
      </c>
      <c r="H345" s="2" t="str">
        <f>IFERROR(INDEX(Vendor_Master_Golden!$K$2:$K$208,MATCH(F345,Vendor_Master_Golden!$A$2:$A$208,0)),"-")</f>
        <v>Inactive</v>
      </c>
      <c r="I345" s="2" t="str">
        <f t="shared" si="15"/>
        <v>Inactive Vendor</v>
      </c>
      <c r="J345" s="2">
        <f>COUNTIFS($B$2:B345,B345,$A$2:A345,A345,$D$2:D345,D345)</f>
        <v>1</v>
      </c>
      <c r="K345" s="2">
        <f>COUNTIFS($F$2:F345,F345,$A$2:A345,A345,$D$2:D345,D345)</f>
        <v>1</v>
      </c>
      <c r="L345" s="2" t="str">
        <f t="shared" si="16"/>
        <v>Unique</v>
      </c>
      <c r="M345" s="2" t="str">
        <f t="shared" si="17"/>
        <v>No</v>
      </c>
    </row>
    <row r="346" spans="1:13" x14ac:dyDescent="0.35">
      <c r="A346" s="2" t="s">
        <v>2798</v>
      </c>
      <c r="B346" s="2" t="s">
        <v>475</v>
      </c>
      <c r="C346" s="2" t="s">
        <v>2795</v>
      </c>
      <c r="D346" s="16">
        <v>23200</v>
      </c>
      <c r="E346" s="2" t="s">
        <v>2314</v>
      </c>
      <c r="F346" s="2" t="str">
        <f>IFERROR(INDEX(Vendor_ID_Map!$B$2:$B$229,MATCH(B346,Vendor_ID_Map!$A$2:$A$229,0)),"UNMAPPED")</f>
        <v>V1217</v>
      </c>
      <c r="G346" s="2" t="str">
        <f>IFERROR(INDEX(Vendor_Master_Golden!$B$2:$B$208,MATCH(F346,Vendor_Master_Golden!$A$2:$A$208,0)),"-")</f>
        <v>Titan IT Svcs Private Limited</v>
      </c>
      <c r="H346" s="2" t="str">
        <f>IFERROR(INDEX(Vendor_Master_Golden!$K$2:$K$208,MATCH(F346,Vendor_Master_Golden!$A$2:$A$208,0)),"-")</f>
        <v>Active</v>
      </c>
      <c r="I346" s="2" t="str">
        <f t="shared" si="15"/>
        <v>OK</v>
      </c>
      <c r="J346" s="2">
        <f>COUNTIFS($B$2:B346,B346,$A$2:A346,A346,$D$2:D346,D346)</f>
        <v>1</v>
      </c>
      <c r="K346" s="2">
        <f>COUNTIFS($F$2:F346,F346,$A$2:A346,A346,$D$2:D346,D346)</f>
        <v>1</v>
      </c>
      <c r="L346" s="2" t="str">
        <f t="shared" si="16"/>
        <v>Unique</v>
      </c>
      <c r="M346" s="2" t="str">
        <f t="shared" si="17"/>
        <v>No</v>
      </c>
    </row>
    <row r="347" spans="1:13" x14ac:dyDescent="0.35">
      <c r="A347" s="2" t="s">
        <v>2799</v>
      </c>
      <c r="B347" s="2" t="s">
        <v>537</v>
      </c>
      <c r="C347" s="2" t="s">
        <v>2800</v>
      </c>
      <c r="D347" s="16">
        <v>44100</v>
      </c>
      <c r="E347" s="2" t="s">
        <v>2316</v>
      </c>
      <c r="F347" s="2" t="str">
        <f>IFERROR(INDEX(Vendor_ID_Map!$B$2:$B$229,MATCH(B347,Vendor_ID_Map!$A$2:$A$229,0)),"UNMAPPED")</f>
        <v>V1142</v>
      </c>
      <c r="G347" s="2" t="str">
        <f>IFERROR(INDEX(Vendor_Master_Golden!$B$2:$B$208,MATCH(F347,Vendor_Master_Golden!$A$2:$A$208,0)),"-")</f>
        <v>Chola Electricals LLP</v>
      </c>
      <c r="H347" s="2" t="str">
        <f>IFERROR(INDEX(Vendor_Master_Golden!$K$2:$K$208,MATCH(F347,Vendor_Master_Golden!$A$2:$A$208,0)),"-")</f>
        <v>Active</v>
      </c>
      <c r="I347" s="2" t="str">
        <f t="shared" si="15"/>
        <v>OK</v>
      </c>
      <c r="J347" s="2">
        <f>COUNTIFS($B$2:B347,B347,$A$2:A347,A347,$D$2:D347,D347)</f>
        <v>1</v>
      </c>
      <c r="K347" s="2">
        <f>COUNTIFS($F$2:F347,F347,$A$2:A347,A347,$D$2:D347,D347)</f>
        <v>1</v>
      </c>
      <c r="L347" s="2" t="str">
        <f t="shared" si="16"/>
        <v>Unique</v>
      </c>
      <c r="M347" s="2" t="str">
        <f t="shared" si="17"/>
        <v>No</v>
      </c>
    </row>
    <row r="348" spans="1:13" x14ac:dyDescent="0.35">
      <c r="A348" s="2" t="s">
        <v>2801</v>
      </c>
      <c r="B348" s="2" t="s">
        <v>1061</v>
      </c>
      <c r="C348" s="2" t="s">
        <v>2800</v>
      </c>
      <c r="D348" s="16">
        <v>52300</v>
      </c>
      <c r="E348" s="2" t="s">
        <v>2314</v>
      </c>
      <c r="F348" s="2" t="str">
        <f>IFERROR(INDEX(Vendor_ID_Map!$B$2:$B$229,MATCH(B348,Vendor_ID_Map!$A$2:$A$229,0)),"UNMAPPED")</f>
        <v>V1009</v>
      </c>
      <c r="G348" s="2" t="str">
        <f>IFERROR(INDEX(Vendor_Master_Golden!$B$2:$B$208,MATCH(F348,Vendor_Master_Golden!$A$2:$A$208,0)),"-")</f>
        <v>Chola Landscaping LLP</v>
      </c>
      <c r="H348" s="2" t="str">
        <f>IFERROR(INDEX(Vendor_Master_Golden!$K$2:$K$208,MATCH(F348,Vendor_Master_Golden!$A$2:$A$208,0)),"-")</f>
        <v>Inactive</v>
      </c>
      <c r="I348" s="2" t="str">
        <f t="shared" si="15"/>
        <v>Inactive Vendor</v>
      </c>
      <c r="J348" s="2">
        <f>COUNTIFS($B$2:B348,B348,$A$2:A348,A348,$D$2:D348,D348)</f>
        <v>1</v>
      </c>
      <c r="K348" s="2">
        <f>COUNTIFS($F$2:F348,F348,$A$2:A348,A348,$D$2:D348,D348)</f>
        <v>1</v>
      </c>
      <c r="L348" s="2" t="str">
        <f t="shared" si="16"/>
        <v>Unique</v>
      </c>
      <c r="M348" s="2" t="str">
        <f t="shared" si="17"/>
        <v>No</v>
      </c>
    </row>
    <row r="349" spans="1:13" x14ac:dyDescent="0.35">
      <c r="A349" s="2" t="s">
        <v>2802</v>
      </c>
      <c r="B349" s="2" t="s">
        <v>1956</v>
      </c>
      <c r="C349" s="2" t="s">
        <v>2800</v>
      </c>
      <c r="D349" s="16">
        <v>41400</v>
      </c>
      <c r="E349" s="2" t="s">
        <v>2316</v>
      </c>
      <c r="F349" s="2" t="str">
        <f>IFERROR(INDEX(Vendor_ID_Map!$B$2:$B$229,MATCH(B349,Vendor_ID_Map!$A$2:$A$229,0)),"UNMAPPED")</f>
        <v>V1122</v>
      </c>
      <c r="G349" s="2" t="str">
        <f>IFERROR(INDEX(Vendor_Master_Golden!$B$2:$B$208,MATCH(F349,Vendor_Master_Golden!$A$2:$A$208,0)),"-")</f>
        <v>Orchid Power Systems Limited</v>
      </c>
      <c r="H349" s="2" t="str">
        <f>IFERROR(INDEX(Vendor_Master_Golden!$K$2:$K$208,MATCH(F349,Vendor_Master_Golden!$A$2:$A$208,0)),"-")</f>
        <v>Inactive</v>
      </c>
      <c r="I349" s="2" t="str">
        <f t="shared" si="15"/>
        <v>Inactive Vendor</v>
      </c>
      <c r="J349" s="2">
        <f>COUNTIFS($B$2:B349,B349,$A$2:A349,A349,$D$2:D349,D349)</f>
        <v>1</v>
      </c>
      <c r="K349" s="2">
        <f>COUNTIFS($F$2:F349,F349,$A$2:A349,A349,$D$2:D349,D349)</f>
        <v>1</v>
      </c>
      <c r="L349" s="2" t="str">
        <f t="shared" si="16"/>
        <v>Unique</v>
      </c>
      <c r="M349" s="2" t="str">
        <f t="shared" si="17"/>
        <v>No</v>
      </c>
    </row>
    <row r="350" spans="1:13" x14ac:dyDescent="0.35">
      <c r="A350" s="2" t="s">
        <v>2803</v>
      </c>
      <c r="B350" s="2" t="s">
        <v>1569</v>
      </c>
      <c r="C350" s="2" t="s">
        <v>2804</v>
      </c>
      <c r="D350" s="16">
        <v>52500</v>
      </c>
      <c r="E350" s="2" t="s">
        <v>2314</v>
      </c>
      <c r="F350" s="2" t="str">
        <f>IFERROR(INDEX(Vendor_ID_Map!$B$2:$B$229,MATCH(B350,Vendor_ID_Map!$A$2:$A$229,0)),"UNMAPPED")</f>
        <v>V1054</v>
      </c>
      <c r="G350" s="2" t="str">
        <f>IFERROR(INDEX(Vendor_Master_Golden!$B$2:$B$208,MATCH(F350,Vendor_Master_Golden!$A$2:$A$208,0)),"-")</f>
        <v>Quantum Stationers Pvt Ltd</v>
      </c>
      <c r="H350" s="2" t="str">
        <f>IFERROR(INDEX(Vendor_Master_Golden!$K$2:$K$208,MATCH(F350,Vendor_Master_Golden!$A$2:$A$208,0)),"-")</f>
        <v>Inactive</v>
      </c>
      <c r="I350" s="2" t="str">
        <f t="shared" si="15"/>
        <v>Inactive Vendor</v>
      </c>
      <c r="J350" s="2">
        <f>COUNTIFS($B$2:B350,B350,$A$2:A350,A350,$D$2:D350,D350)</f>
        <v>1</v>
      </c>
      <c r="K350" s="2">
        <f>COUNTIFS($F$2:F350,F350,$A$2:A350,A350,$D$2:D350,D350)</f>
        <v>1</v>
      </c>
      <c r="L350" s="2" t="str">
        <f t="shared" si="16"/>
        <v>Unique</v>
      </c>
      <c r="M350" s="2" t="str">
        <f t="shared" si="17"/>
        <v>No</v>
      </c>
    </row>
    <row r="351" spans="1:13" x14ac:dyDescent="0.35">
      <c r="A351" s="2" t="s">
        <v>2805</v>
      </c>
      <c r="B351" s="2" t="s">
        <v>1719</v>
      </c>
      <c r="C351" s="2" t="s">
        <v>2806</v>
      </c>
      <c r="D351" s="16">
        <v>46700</v>
      </c>
      <c r="E351" s="2" t="s">
        <v>2314</v>
      </c>
      <c r="F351" s="2" t="str">
        <f>IFERROR(INDEX(Vendor_ID_Map!$B$2:$B$229,MATCH(B351,Vendor_ID_Map!$A$2:$A$229,0)),"UNMAPPED")</f>
        <v>V1207</v>
      </c>
      <c r="G351" s="2" t="str">
        <f>IFERROR(INDEX(Vendor_Master_Golden!$B$2:$B$208,MATCH(F351,Vendor_Master_Golden!$A$2:$A$208,0)),"-")</f>
        <v>Horizon Housekeeping Pvt Ltd</v>
      </c>
      <c r="H351" s="2" t="str">
        <f>IFERROR(INDEX(Vendor_Master_Golden!$K$2:$K$208,MATCH(F351,Vendor_Master_Golden!$A$2:$A$208,0)),"-")</f>
        <v>Active</v>
      </c>
      <c r="I351" s="2" t="str">
        <f t="shared" si="15"/>
        <v>OK</v>
      </c>
      <c r="J351" s="2">
        <f>COUNTIFS($B$2:B351,B351,$A$2:A351,A351,$D$2:D351,D351)</f>
        <v>1</v>
      </c>
      <c r="K351" s="2">
        <f>COUNTIFS($F$2:F351,F351,$A$2:A351,A351,$D$2:D351,D351)</f>
        <v>1</v>
      </c>
      <c r="L351" s="2" t="str">
        <f t="shared" si="16"/>
        <v>Unique</v>
      </c>
      <c r="M351" s="2" t="str">
        <f t="shared" si="17"/>
        <v>No</v>
      </c>
    </row>
    <row r="352" spans="1:13" x14ac:dyDescent="0.35">
      <c r="A352" s="2" t="s">
        <v>2807</v>
      </c>
      <c r="B352" s="2" t="s">
        <v>565</v>
      </c>
      <c r="C352" s="2" t="s">
        <v>2806</v>
      </c>
      <c r="D352" s="16">
        <v>129300</v>
      </c>
      <c r="E352" s="2" t="s">
        <v>2316</v>
      </c>
      <c r="F352" s="2" t="str">
        <f>IFERROR(INDEX(Vendor_ID_Map!$B$2:$B$229,MATCH(B352,Vendor_ID_Map!$A$2:$A$229,0)),"UNMAPPED")</f>
        <v>V1141</v>
      </c>
      <c r="G352" s="2" t="str">
        <f>IFERROR(INDEX(Vendor_Master_Golden!$B$2:$B$208,MATCH(F352,Vendor_Master_Golden!$A$2:$A$208,0)),"-")</f>
        <v>Evergreen Security Solutions LLP</v>
      </c>
      <c r="H352" s="2" t="str">
        <f>IFERROR(INDEX(Vendor_Master_Golden!$K$2:$K$208,MATCH(F352,Vendor_Master_Golden!$A$2:$A$208,0)),"-")</f>
        <v>Active</v>
      </c>
      <c r="I352" s="2" t="str">
        <f t="shared" si="15"/>
        <v>OK</v>
      </c>
      <c r="J352" s="2">
        <f>COUNTIFS($B$2:B352,B352,$A$2:A352,A352,$D$2:D352,D352)</f>
        <v>1</v>
      </c>
      <c r="K352" s="2">
        <f>COUNTIFS($F$2:F352,F352,$A$2:A352,A352,$D$2:D352,D352)</f>
        <v>1</v>
      </c>
      <c r="L352" s="2" t="str">
        <f t="shared" si="16"/>
        <v>Unique</v>
      </c>
      <c r="M352" s="2" t="str">
        <f t="shared" si="17"/>
        <v>No</v>
      </c>
    </row>
    <row r="353" spans="1:13" x14ac:dyDescent="0.35">
      <c r="A353" s="2" t="s">
        <v>2808</v>
      </c>
      <c r="B353" s="2" t="s">
        <v>215</v>
      </c>
      <c r="C353" s="2" t="s">
        <v>2809</v>
      </c>
      <c r="D353" s="16">
        <v>75400</v>
      </c>
      <c r="E353" s="2" t="s">
        <v>2316</v>
      </c>
      <c r="F353" s="2" t="str">
        <f>IFERROR(INDEX(Vendor_ID_Map!$B$2:$B$229,MATCH(B353,Vendor_ID_Map!$A$2:$A$229,0)),"UNMAPPED")</f>
        <v>V1083</v>
      </c>
      <c r="G353" s="2" t="str">
        <f>IFERROR(INDEX(Vendor_Master_Golden!$B$2:$B$208,MATCH(F353,Vendor_Master_Golden!$A$2:$A$208,0)),"-")</f>
        <v>Jupiter Maintenance Limited</v>
      </c>
      <c r="H353" s="2" t="str">
        <f>IFERROR(INDEX(Vendor_Master_Golden!$K$2:$K$208,MATCH(F353,Vendor_Master_Golden!$A$2:$A$208,0)),"-")</f>
        <v>Active</v>
      </c>
      <c r="I353" s="2" t="str">
        <f t="shared" si="15"/>
        <v>OK</v>
      </c>
      <c r="J353" s="2">
        <f>COUNTIFS($B$2:B353,B353,$A$2:A353,A353,$D$2:D353,D353)</f>
        <v>1</v>
      </c>
      <c r="K353" s="2">
        <f>COUNTIFS($F$2:F353,F353,$A$2:A353,A353,$D$2:D353,D353)</f>
        <v>1</v>
      </c>
      <c r="L353" s="2" t="str">
        <f t="shared" si="16"/>
        <v>Unique</v>
      </c>
      <c r="M353" s="2" t="str">
        <f t="shared" si="17"/>
        <v>No</v>
      </c>
    </row>
    <row r="354" spans="1:13" x14ac:dyDescent="0.35">
      <c r="A354" s="2" t="s">
        <v>2810</v>
      </c>
      <c r="B354" s="2" t="s">
        <v>1479</v>
      </c>
      <c r="C354" s="2" t="s">
        <v>2809</v>
      </c>
      <c r="D354" s="16">
        <v>252500</v>
      </c>
      <c r="E354" s="2" t="s">
        <v>2314</v>
      </c>
      <c r="F354" s="2" t="str">
        <f>IFERROR(INDEX(Vendor_ID_Map!$B$2:$B$229,MATCH(B354,Vendor_ID_Map!$A$2:$A$229,0)),"UNMAPPED")</f>
        <v>V1037</v>
      </c>
      <c r="G354" s="2" t="str">
        <f>IFERROR(INDEX(Vendor_Master_Golden!$B$2:$B$208,MATCH(F354,Vendor_Master_Golden!$A$2:$A$208,0)),"-")</f>
        <v>Falcon Stationers Private Limited</v>
      </c>
      <c r="H354" s="2" t="str">
        <f>IFERROR(INDEX(Vendor_Master_Golden!$K$2:$K$208,MATCH(F354,Vendor_Master_Golden!$A$2:$A$208,0)),"-")</f>
        <v>Inactive</v>
      </c>
      <c r="I354" s="2" t="str">
        <f t="shared" si="15"/>
        <v>Inactive Vendor</v>
      </c>
      <c r="J354" s="2">
        <f>COUNTIFS($B$2:B354,B354,$A$2:A354,A354,$D$2:D354,D354)</f>
        <v>1</v>
      </c>
      <c r="K354" s="2">
        <f>COUNTIFS($F$2:F354,F354,$A$2:A354,A354,$D$2:D354,D354)</f>
        <v>1</v>
      </c>
      <c r="L354" s="2" t="str">
        <f t="shared" si="16"/>
        <v>Unique</v>
      </c>
      <c r="M354" s="2" t="str">
        <f t="shared" si="17"/>
        <v>No</v>
      </c>
    </row>
    <row r="355" spans="1:13" x14ac:dyDescent="0.35">
      <c r="A355" s="2" t="s">
        <v>2811</v>
      </c>
      <c r="B355" s="2" t="s">
        <v>598</v>
      </c>
      <c r="C355" s="2" t="s">
        <v>2812</v>
      </c>
      <c r="D355" s="16">
        <v>10100</v>
      </c>
      <c r="E355" s="2" t="s">
        <v>2314</v>
      </c>
      <c r="F355" s="2" t="str">
        <f>IFERROR(INDEX(Vendor_ID_Map!$B$2:$B$229,MATCH(B355,Vendor_ID_Map!$A$2:$A$229,0)),"UNMAPPED")</f>
        <v>V1017</v>
      </c>
      <c r="G355" s="2" t="str">
        <f>IFERROR(INDEX(Vendor_Master_Golden!$B$2:$B$208,MATCH(F355,Vendor_Master_Golden!$A$2:$A$208,0)),"-")</f>
        <v>Bluewave Security Solutions Private Limited</v>
      </c>
      <c r="H355" s="2" t="str">
        <f>IFERROR(INDEX(Vendor_Master_Golden!$K$2:$K$208,MATCH(F355,Vendor_Master_Golden!$A$2:$A$208,0)),"-")</f>
        <v>Active</v>
      </c>
      <c r="I355" s="2" t="str">
        <f t="shared" si="15"/>
        <v>OK</v>
      </c>
      <c r="J355" s="2">
        <f>COUNTIFS($B$2:B355,B355,$A$2:A355,A355,$D$2:D355,D355)</f>
        <v>1</v>
      </c>
      <c r="K355" s="2">
        <f>COUNTIFS($F$2:F355,F355,$A$2:A355,A355,$D$2:D355,D355)</f>
        <v>1</v>
      </c>
      <c r="L355" s="2" t="str">
        <f t="shared" si="16"/>
        <v>Unique</v>
      </c>
      <c r="M355" s="2" t="str">
        <f t="shared" si="17"/>
        <v>No</v>
      </c>
    </row>
    <row r="356" spans="1:13" x14ac:dyDescent="0.35">
      <c r="A356" s="2" t="s">
        <v>2813</v>
      </c>
      <c r="B356" s="2" t="s">
        <v>351</v>
      </c>
      <c r="C356" s="2" t="s">
        <v>2812</v>
      </c>
      <c r="D356" s="16">
        <v>56500</v>
      </c>
      <c r="E356" s="2" t="s">
        <v>2314</v>
      </c>
      <c r="F356" s="2" t="str">
        <f>IFERROR(INDEX(Vendor_ID_Map!$B$2:$B$229,MATCH(B356,Vendor_ID_Map!$A$2:$A$229,0)),"UNMAPPED")</f>
        <v>V1173</v>
      </c>
      <c r="G356" s="2" t="str">
        <f>IFERROR(INDEX(Vendor_Master_Golden!$B$2:$B$208,MATCH(F356,Vendor_Master_Golden!$A$2:$A$208,0)),"-")</f>
        <v>Evergreen Logistics Limited</v>
      </c>
      <c r="H356" s="2" t="str">
        <f>IFERROR(INDEX(Vendor_Master_Golden!$K$2:$K$208,MATCH(F356,Vendor_Master_Golden!$A$2:$A$208,0)),"-")</f>
        <v>Active</v>
      </c>
      <c r="I356" s="2" t="str">
        <f t="shared" si="15"/>
        <v>OK</v>
      </c>
      <c r="J356" s="2">
        <f>COUNTIFS($B$2:B356,B356,$A$2:A356,A356,$D$2:D356,D356)</f>
        <v>1</v>
      </c>
      <c r="K356" s="2">
        <f>COUNTIFS($F$2:F356,F356,$A$2:A356,A356,$D$2:D356,D356)</f>
        <v>1</v>
      </c>
      <c r="L356" s="2" t="str">
        <f t="shared" si="16"/>
        <v>Unique</v>
      </c>
      <c r="M356" s="2" t="str">
        <f t="shared" si="17"/>
        <v>No</v>
      </c>
    </row>
    <row r="357" spans="1:13" x14ac:dyDescent="0.35">
      <c r="A357" s="2" t="s">
        <v>2814</v>
      </c>
      <c r="B357" s="2" t="s">
        <v>1497</v>
      </c>
      <c r="C357" s="2" t="s">
        <v>2812</v>
      </c>
      <c r="D357" s="16">
        <v>49600</v>
      </c>
      <c r="E357" s="2" t="s">
        <v>2314</v>
      </c>
      <c r="F357" s="2" t="str">
        <f>IFERROR(INDEX(Vendor_ID_Map!$B$2:$B$229,MATCH(B357,Vendor_ID_Map!$A$2:$A$229,0)),"UNMAPPED")</f>
        <v>V1106</v>
      </c>
      <c r="G357" s="2" t="str">
        <f>IFERROR(INDEX(Vendor_Master_Golden!$B$2:$B$208,MATCH(F357,Vendor_Master_Golden!$A$2:$A$208,0)),"-")</f>
        <v>Unity Maintenance Limited</v>
      </c>
      <c r="H357" s="2" t="str">
        <f>IFERROR(INDEX(Vendor_Master_Golden!$K$2:$K$208,MATCH(F357,Vendor_Master_Golden!$A$2:$A$208,0)),"-")</f>
        <v>Active</v>
      </c>
      <c r="I357" s="2" t="str">
        <f t="shared" si="15"/>
        <v>OK</v>
      </c>
      <c r="J357" s="2">
        <f>COUNTIFS($B$2:B357,B357,$A$2:A357,A357,$D$2:D357,D357)</f>
        <v>1</v>
      </c>
      <c r="K357" s="2">
        <f>COUNTIFS($F$2:F357,F357,$A$2:A357,A357,$D$2:D357,D357)</f>
        <v>1</v>
      </c>
      <c r="L357" s="2" t="str">
        <f t="shared" si="16"/>
        <v>Unique</v>
      </c>
      <c r="M357" s="2" t="str">
        <f t="shared" si="17"/>
        <v>No</v>
      </c>
    </row>
    <row r="358" spans="1:13" x14ac:dyDescent="0.35">
      <c r="A358" s="2" t="s">
        <v>2815</v>
      </c>
      <c r="B358" s="2" t="s">
        <v>896</v>
      </c>
      <c r="C358" s="2" t="s">
        <v>2816</v>
      </c>
      <c r="D358" s="16">
        <v>48600</v>
      </c>
      <c r="E358" s="2" t="s">
        <v>2316</v>
      </c>
      <c r="F358" s="2" t="str">
        <f>IFERROR(INDEX(Vendor_ID_Map!$B$2:$B$229,MATCH(B358,Vendor_ID_Map!$A$2:$A$229,0)),"UNMAPPED")</f>
        <v>V1018</v>
      </c>
      <c r="G358" s="2" t="str">
        <f>IFERROR(INDEX(Vendor_Master_Golden!$B$2:$B$208,MATCH(F358,Vendor_Master_Golden!$A$2:$A$208,0)),"-")</f>
        <v>Bluewave Electricals Pvt Ltd</v>
      </c>
      <c r="H358" s="2" t="str">
        <f>IFERROR(INDEX(Vendor_Master_Golden!$K$2:$K$208,MATCH(F358,Vendor_Master_Golden!$A$2:$A$208,0)),"-")</f>
        <v>Active</v>
      </c>
      <c r="I358" s="2" t="str">
        <f t="shared" si="15"/>
        <v>OK</v>
      </c>
      <c r="J358" s="2">
        <f>COUNTIFS($B$2:B358,B358,$A$2:A358,A358,$D$2:D358,D358)</f>
        <v>1</v>
      </c>
      <c r="K358" s="2">
        <f>COUNTIFS($F$2:F358,F358,$A$2:A358,A358,$D$2:D358,D358)</f>
        <v>1</v>
      </c>
      <c r="L358" s="2" t="str">
        <f t="shared" si="16"/>
        <v>Unique</v>
      </c>
      <c r="M358" s="2" t="str">
        <f t="shared" si="17"/>
        <v>No</v>
      </c>
    </row>
    <row r="359" spans="1:13" x14ac:dyDescent="0.35">
      <c r="A359" s="2" t="s">
        <v>2810</v>
      </c>
      <c r="B359" s="2" t="s">
        <v>1612</v>
      </c>
      <c r="C359" s="2" t="s">
        <v>2816</v>
      </c>
      <c r="D359" s="16">
        <v>252500</v>
      </c>
      <c r="E359" s="2" t="s">
        <v>2314</v>
      </c>
      <c r="F359" s="2" t="str">
        <f>IFERROR(INDEX(Vendor_ID_Map!$B$2:$B$229,MATCH(B359,Vendor_ID_Map!$A$2:$A$229,0)),"UNMAPPED")</f>
        <v>V1228</v>
      </c>
      <c r="G359" s="2" t="str">
        <f>IFERROR(INDEX(Vendor_Master_Golden!$B$2:$B$208,MATCH(F359,Vendor_Master_Golden!$A$2:$A$208,0)),"-")</f>
        <v>Falcon Staioners Private Limited</v>
      </c>
      <c r="H359" s="2" t="str">
        <f>IFERROR(INDEX(Vendor_Master_Golden!$K$2:$K$208,MATCH(F359,Vendor_Master_Golden!$A$2:$A$208,0)),"-")</f>
        <v>Inactive</v>
      </c>
      <c r="I359" s="2" t="str">
        <f t="shared" si="15"/>
        <v>Inactive Vendor</v>
      </c>
      <c r="J359" s="2">
        <f>COUNTIFS($B$2:B359,B359,$A$2:A359,A359,$D$2:D359,D359)</f>
        <v>1</v>
      </c>
      <c r="K359" s="2">
        <f>COUNTIFS($F$2:F359,F359,$A$2:A359,A359,$D$2:D359,D359)</f>
        <v>1</v>
      </c>
      <c r="L359" s="2" t="str">
        <f t="shared" si="16"/>
        <v>Unique</v>
      </c>
      <c r="M359" s="2" t="str">
        <f t="shared" si="17"/>
        <v>No</v>
      </c>
    </row>
    <row r="360" spans="1:13" x14ac:dyDescent="0.35">
      <c r="A360" s="2" t="s">
        <v>2817</v>
      </c>
      <c r="B360" s="2" t="s">
        <v>701</v>
      </c>
      <c r="C360" s="2" t="s">
        <v>2818</v>
      </c>
      <c r="D360" s="16">
        <v>501600</v>
      </c>
      <c r="E360" s="2" t="s">
        <v>2314</v>
      </c>
      <c r="F360" s="2" t="str">
        <f>IFERROR(INDEX(Vendor_ID_Map!$B$2:$B$229,MATCH(B360,Vendor_ID_Map!$A$2:$A$229,0)),"UNMAPPED")</f>
        <v>V1115</v>
      </c>
      <c r="G360" s="2" t="str">
        <f>IFERROR(INDEX(Vendor_Master_Golden!$B$2:$B$208,MATCH(F360,Vendor_Master_Golden!$A$2:$A$208,0)),"-")</f>
        <v>Jupiter Facility Services Private Limited</v>
      </c>
      <c r="H360" s="2" t="str">
        <f>IFERROR(INDEX(Vendor_Master_Golden!$K$2:$K$208,MATCH(F360,Vendor_Master_Golden!$A$2:$A$208,0)),"-")</f>
        <v>Inactive</v>
      </c>
      <c r="I360" s="2" t="str">
        <f t="shared" si="15"/>
        <v>Inactive Vendor</v>
      </c>
      <c r="J360" s="2">
        <f>COUNTIFS($B$2:B360,B360,$A$2:A360,A360,$D$2:D360,D360)</f>
        <v>1</v>
      </c>
      <c r="K360" s="2">
        <f>COUNTIFS($F$2:F360,F360,$A$2:A360,A360,$D$2:D360,D360)</f>
        <v>1</v>
      </c>
      <c r="L360" s="2" t="str">
        <f t="shared" si="16"/>
        <v>Unique</v>
      </c>
      <c r="M360" s="2" t="str">
        <f t="shared" si="17"/>
        <v>No</v>
      </c>
    </row>
    <row r="361" spans="1:13" x14ac:dyDescent="0.35">
      <c r="A361" s="2" t="s">
        <v>2819</v>
      </c>
      <c r="B361" s="2" t="s">
        <v>255</v>
      </c>
      <c r="C361" s="2" t="s">
        <v>2820</v>
      </c>
      <c r="D361" s="16">
        <v>56300</v>
      </c>
      <c r="E361" s="2" t="s">
        <v>2316</v>
      </c>
      <c r="F361" s="2" t="str">
        <f>IFERROR(INDEX(Vendor_ID_Map!$B$2:$B$229,MATCH(B361,Vendor_ID_Map!$A$2:$A$229,0)),"UNMAPPED")</f>
        <v>V1131</v>
      </c>
      <c r="G361" s="2" t="str">
        <f>IFERROR(INDEX(Vendor_Master_Golden!$B$2:$B$208,MATCH(F361,Vendor_Master_Golden!$A$2:$A$208,0)),"-")</f>
        <v>Falcon Power Systems Private Limited</v>
      </c>
      <c r="H361" s="2" t="str">
        <f>IFERROR(INDEX(Vendor_Master_Golden!$K$2:$K$208,MATCH(F361,Vendor_Master_Golden!$A$2:$A$208,0)),"-")</f>
        <v>Inactive</v>
      </c>
      <c r="I361" s="2" t="str">
        <f t="shared" si="15"/>
        <v>Inactive Vendor</v>
      </c>
      <c r="J361" s="2">
        <f>COUNTIFS($B$2:B361,B361,$A$2:A361,A361,$D$2:D361,D361)</f>
        <v>1</v>
      </c>
      <c r="K361" s="2">
        <f>COUNTIFS($F$2:F361,F361,$A$2:A361,A361,$D$2:D361,D361)</f>
        <v>1</v>
      </c>
      <c r="L361" s="2" t="str">
        <f t="shared" si="16"/>
        <v>Unique</v>
      </c>
      <c r="M361" s="2" t="str">
        <f t="shared" si="17"/>
        <v>No</v>
      </c>
    </row>
    <row r="362" spans="1:13" x14ac:dyDescent="0.35">
      <c r="A362" s="2" t="s">
        <v>2821</v>
      </c>
      <c r="B362" s="2" t="s">
        <v>760</v>
      </c>
      <c r="C362" s="2" t="s">
        <v>2820</v>
      </c>
      <c r="D362" s="16">
        <v>87900</v>
      </c>
      <c r="E362" s="2" t="s">
        <v>2316</v>
      </c>
      <c r="F362" s="2" t="str">
        <f>IFERROR(INDEX(Vendor_ID_Map!$B$2:$B$229,MATCH(B362,Vendor_ID_Map!$A$2:$A$229,0)),"UNMAPPED")</f>
        <v>V1061</v>
      </c>
      <c r="G362" s="2" t="str">
        <f>IFERROR(INDEX(Vendor_Master_Golden!$B$2:$B$208,MATCH(F362,Vendor_Master_Golden!$A$2:$A$208,0)),"-")</f>
        <v>Western Landscaping LLP</v>
      </c>
      <c r="H362" s="2" t="str">
        <f>IFERROR(INDEX(Vendor_Master_Golden!$K$2:$K$208,MATCH(F362,Vendor_Master_Golden!$A$2:$A$208,0)),"-")</f>
        <v>Active</v>
      </c>
      <c r="I362" s="2" t="str">
        <f t="shared" si="15"/>
        <v>OK</v>
      </c>
      <c r="J362" s="2">
        <f>COUNTIFS($B$2:B362,B362,$A$2:A362,A362,$D$2:D362,D362)</f>
        <v>1</v>
      </c>
      <c r="K362" s="2">
        <f>COUNTIFS($F$2:F362,F362,$A$2:A362,A362,$D$2:D362,D362)</f>
        <v>1</v>
      </c>
      <c r="L362" s="2" t="str">
        <f t="shared" si="16"/>
        <v>Unique</v>
      </c>
      <c r="M362" s="2" t="str">
        <f t="shared" si="17"/>
        <v>No</v>
      </c>
    </row>
    <row r="363" spans="1:13" x14ac:dyDescent="0.35">
      <c r="A363" s="2" t="s">
        <v>2822</v>
      </c>
      <c r="B363" s="2" t="s">
        <v>1701</v>
      </c>
      <c r="C363" s="2" t="s">
        <v>2823</v>
      </c>
      <c r="D363" s="16">
        <v>77300</v>
      </c>
      <c r="E363" s="2" t="s">
        <v>2314</v>
      </c>
      <c r="F363" s="2" t="str">
        <f>IFERROR(INDEX(Vendor_ID_Map!$B$2:$B$229,MATCH(B363,Vendor_ID_Map!$A$2:$A$229,0)),"UNMAPPED")</f>
        <v>V1189</v>
      </c>
      <c r="G363" s="2" t="str">
        <f>IFERROR(INDEX(Vendor_Master_Golden!$B$2:$B$208,MATCH(F363,Vendor_Master_Golden!$A$2:$A$208,0)),"-")</f>
        <v>Titan Logistics Pvt Ltd</v>
      </c>
      <c r="H363" s="2" t="str">
        <f>IFERROR(INDEX(Vendor_Master_Golden!$K$2:$K$208,MATCH(F363,Vendor_Master_Golden!$A$2:$A$208,0)),"-")</f>
        <v>Active</v>
      </c>
      <c r="I363" s="2" t="str">
        <f t="shared" si="15"/>
        <v>OK</v>
      </c>
      <c r="J363" s="2">
        <f>COUNTIFS($B$2:B363,B363,$A$2:A363,A363,$D$2:D363,D363)</f>
        <v>1</v>
      </c>
      <c r="K363" s="2">
        <f>COUNTIFS($F$2:F363,F363,$A$2:A363,A363,$D$2:D363,D363)</f>
        <v>1</v>
      </c>
      <c r="L363" s="2" t="str">
        <f t="shared" si="16"/>
        <v>Unique</v>
      </c>
      <c r="M363" s="2" t="str">
        <f t="shared" si="17"/>
        <v>No</v>
      </c>
    </row>
    <row r="364" spans="1:13" x14ac:dyDescent="0.35">
      <c r="A364" s="2" t="s">
        <v>2824</v>
      </c>
      <c r="B364" s="2" t="s">
        <v>1608</v>
      </c>
      <c r="C364" s="2" t="s">
        <v>2823</v>
      </c>
      <c r="D364" s="16">
        <v>71200</v>
      </c>
      <c r="E364" s="2" t="s">
        <v>2316</v>
      </c>
      <c r="F364" s="2" t="str">
        <f>IFERROR(INDEX(Vendor_ID_Map!$B$2:$B$229,MATCH(B364,Vendor_ID_Map!$A$2:$A$229,0)),"UNMAPPED")</f>
        <v>V1087</v>
      </c>
      <c r="G364" s="2" t="str">
        <f>IFERROR(INDEX(Vendor_Master_Golden!$B$2:$B$208,MATCH(F364,Vendor_Master_Golden!$A$2:$A$208,0)),"-")</f>
        <v>Aaryan Water Solutions LLP</v>
      </c>
      <c r="H364" s="2" t="str">
        <f>IFERROR(INDEX(Vendor_Master_Golden!$K$2:$K$208,MATCH(F364,Vendor_Master_Golden!$A$2:$A$208,0)),"-")</f>
        <v>Active</v>
      </c>
      <c r="I364" s="2" t="str">
        <f t="shared" si="15"/>
        <v>OK</v>
      </c>
      <c r="J364" s="2">
        <f>COUNTIFS($B$2:B364,B364,$A$2:A364,A364,$D$2:D364,D364)</f>
        <v>1</v>
      </c>
      <c r="K364" s="2">
        <f>COUNTIFS($F$2:F364,F364,$A$2:A364,A364,$D$2:D364,D364)</f>
        <v>1</v>
      </c>
      <c r="L364" s="2" t="str">
        <f t="shared" si="16"/>
        <v>Unique</v>
      </c>
      <c r="M364" s="2" t="str">
        <f t="shared" si="17"/>
        <v>No</v>
      </c>
    </row>
    <row r="365" spans="1:13" x14ac:dyDescent="0.35">
      <c r="A365" s="2" t="s">
        <v>2825</v>
      </c>
      <c r="B365" s="2" t="s">
        <v>466</v>
      </c>
      <c r="C365" s="2" t="s">
        <v>2823</v>
      </c>
      <c r="D365" s="16">
        <v>7600</v>
      </c>
      <c r="E365" s="2" t="s">
        <v>2314</v>
      </c>
      <c r="F365" s="2" t="str">
        <f>IFERROR(INDEX(Vendor_ID_Map!$B$2:$B$229,MATCH(B365,Vendor_ID_Map!$A$2:$A$229,0)),"UNMAPPED")</f>
        <v>V1166</v>
      </c>
      <c r="G365" s="2" t="str">
        <f>IFERROR(INDEX(Vendor_Master_Golden!$B$2:$B$208,MATCH(F365,Vendor_Master_Golden!$A$2:$A$208,0)),"-")</f>
        <v>Zenith Facility Services Private Limited</v>
      </c>
      <c r="H365" s="2" t="str">
        <f>IFERROR(INDEX(Vendor_Master_Golden!$K$2:$K$208,MATCH(F365,Vendor_Master_Golden!$A$2:$A$208,0)),"-")</f>
        <v>Active</v>
      </c>
      <c r="I365" s="2" t="str">
        <f t="shared" si="15"/>
        <v>OK</v>
      </c>
      <c r="J365" s="2">
        <f>COUNTIFS($B$2:B365,B365,$A$2:A365,A365,$D$2:D365,D365)</f>
        <v>1</v>
      </c>
      <c r="K365" s="2">
        <f>COUNTIFS($F$2:F365,F365,$A$2:A365,A365,$D$2:D365,D365)</f>
        <v>1</v>
      </c>
      <c r="L365" s="2" t="str">
        <f t="shared" si="16"/>
        <v>Unique</v>
      </c>
      <c r="M365" s="2" t="str">
        <f t="shared" si="17"/>
        <v>No</v>
      </c>
    </row>
    <row r="366" spans="1:13" x14ac:dyDescent="0.35">
      <c r="A366" s="2" t="s">
        <v>2826</v>
      </c>
      <c r="B366" s="2" t="s">
        <v>1323</v>
      </c>
      <c r="C366" s="2" t="s">
        <v>2827</v>
      </c>
      <c r="D366" s="16">
        <v>67100</v>
      </c>
      <c r="E366" s="2" t="s">
        <v>2316</v>
      </c>
      <c r="F366" s="2" t="str">
        <f>IFERROR(INDEX(Vendor_ID_Map!$B$2:$B$229,MATCH(B366,Vendor_ID_Map!$A$2:$A$229,0)),"UNMAPPED")</f>
        <v>V1188</v>
      </c>
      <c r="G366" s="2" t="str">
        <f>IFERROR(INDEX(Vendor_Master_Golden!$B$2:$B$208,MATCH(F366,Vendor_Master_Golden!$A$2:$A$208,0)),"-")</f>
        <v>Unity Printing LLP</v>
      </c>
      <c r="H366" s="2" t="str">
        <f>IFERROR(INDEX(Vendor_Master_Golden!$K$2:$K$208,MATCH(F366,Vendor_Master_Golden!$A$2:$A$208,0)),"-")</f>
        <v>Active</v>
      </c>
      <c r="I366" s="2" t="str">
        <f t="shared" si="15"/>
        <v>OK</v>
      </c>
      <c r="J366" s="2">
        <f>COUNTIFS($B$2:B366,B366,$A$2:A366,A366,$D$2:D366,D366)</f>
        <v>1</v>
      </c>
      <c r="K366" s="2">
        <f>COUNTIFS($F$2:F366,F366,$A$2:A366,A366,$D$2:D366,D366)</f>
        <v>1</v>
      </c>
      <c r="L366" s="2" t="str">
        <f t="shared" si="16"/>
        <v>Unique</v>
      </c>
      <c r="M366" s="2" t="str">
        <f t="shared" si="17"/>
        <v>No</v>
      </c>
    </row>
    <row r="367" spans="1:13" x14ac:dyDescent="0.35">
      <c r="A367" s="2" t="s">
        <v>2828</v>
      </c>
      <c r="B367" s="2" t="s">
        <v>1608</v>
      </c>
      <c r="C367" s="2" t="s">
        <v>2829</v>
      </c>
      <c r="D367" s="16">
        <v>65000</v>
      </c>
      <c r="E367" s="2" t="s">
        <v>2314</v>
      </c>
      <c r="F367" s="2" t="str">
        <f>IFERROR(INDEX(Vendor_ID_Map!$B$2:$B$229,MATCH(B367,Vendor_ID_Map!$A$2:$A$229,0)),"UNMAPPED")</f>
        <v>V1087</v>
      </c>
      <c r="G367" s="2" t="str">
        <f>IFERROR(INDEX(Vendor_Master_Golden!$B$2:$B$208,MATCH(F367,Vendor_Master_Golden!$A$2:$A$208,0)),"-")</f>
        <v>Aaryan Water Solutions LLP</v>
      </c>
      <c r="H367" s="2" t="str">
        <f>IFERROR(INDEX(Vendor_Master_Golden!$K$2:$K$208,MATCH(F367,Vendor_Master_Golden!$A$2:$A$208,0)),"-")</f>
        <v>Active</v>
      </c>
      <c r="I367" s="2" t="str">
        <f t="shared" si="15"/>
        <v>OK</v>
      </c>
      <c r="J367" s="2">
        <f>COUNTIFS($B$2:B367,B367,$A$2:A367,A367,$D$2:D367,D367)</f>
        <v>1</v>
      </c>
      <c r="K367" s="2">
        <f>COUNTIFS($F$2:F367,F367,$A$2:A367,A367,$D$2:D367,D367)</f>
        <v>1</v>
      </c>
      <c r="L367" s="2" t="str">
        <f t="shared" si="16"/>
        <v>Unique</v>
      </c>
      <c r="M367" s="2" t="str">
        <f t="shared" si="17"/>
        <v>No</v>
      </c>
    </row>
    <row r="368" spans="1:13" x14ac:dyDescent="0.35">
      <c r="A368" s="2" t="s">
        <v>2830</v>
      </c>
      <c r="B368" s="2" t="s">
        <v>1616</v>
      </c>
      <c r="C368" s="2" t="s">
        <v>2829</v>
      </c>
      <c r="D368" s="16">
        <v>71600</v>
      </c>
      <c r="E368" s="2" t="s">
        <v>2316</v>
      </c>
      <c r="F368" s="2" t="str">
        <f>IFERROR(INDEX(Vendor_ID_Map!$B$2:$B$229,MATCH(B368,Vendor_ID_Map!$A$2:$A$229,0)),"UNMAPPED")</f>
        <v>V1118</v>
      </c>
      <c r="G368" s="2" t="str">
        <f>IFERROR(INDEX(Vendor_Master_Golden!$B$2:$B$208,MATCH(F368,Vendor_Master_Golden!$A$2:$A$208,0)),"-")</f>
        <v>Jupiter Power Systems Limited</v>
      </c>
      <c r="H368" s="2" t="str">
        <f>IFERROR(INDEX(Vendor_Master_Golden!$K$2:$K$208,MATCH(F368,Vendor_Master_Golden!$A$2:$A$208,0)),"-")</f>
        <v>Active</v>
      </c>
      <c r="I368" s="2" t="str">
        <f t="shared" si="15"/>
        <v>OK</v>
      </c>
      <c r="J368" s="2">
        <f>COUNTIFS($B$2:B368,B368,$A$2:A368,A368,$D$2:D368,D368)</f>
        <v>1</v>
      </c>
      <c r="K368" s="2">
        <f>COUNTIFS($F$2:F368,F368,$A$2:A368,A368,$D$2:D368,D368)</f>
        <v>1</v>
      </c>
      <c r="L368" s="2" t="str">
        <f t="shared" si="16"/>
        <v>Unique</v>
      </c>
      <c r="M368" s="2" t="str">
        <f t="shared" si="17"/>
        <v>No</v>
      </c>
    </row>
    <row r="369" spans="1:13" x14ac:dyDescent="0.35">
      <c r="A369" s="2" t="s">
        <v>2831</v>
      </c>
      <c r="B369" s="2" t="s">
        <v>1608</v>
      </c>
      <c r="C369" s="2" t="s">
        <v>2829</v>
      </c>
      <c r="D369" s="16">
        <v>68400</v>
      </c>
      <c r="E369" s="2" t="s">
        <v>2314</v>
      </c>
      <c r="F369" s="2" t="str">
        <f>IFERROR(INDEX(Vendor_ID_Map!$B$2:$B$229,MATCH(B369,Vendor_ID_Map!$A$2:$A$229,0)),"UNMAPPED")</f>
        <v>V1087</v>
      </c>
      <c r="G369" s="2" t="str">
        <f>IFERROR(INDEX(Vendor_Master_Golden!$B$2:$B$208,MATCH(F369,Vendor_Master_Golden!$A$2:$A$208,0)),"-")</f>
        <v>Aaryan Water Solutions LLP</v>
      </c>
      <c r="H369" s="2" t="str">
        <f>IFERROR(INDEX(Vendor_Master_Golden!$K$2:$K$208,MATCH(F369,Vendor_Master_Golden!$A$2:$A$208,0)),"-")</f>
        <v>Active</v>
      </c>
      <c r="I369" s="2" t="str">
        <f t="shared" si="15"/>
        <v>OK</v>
      </c>
      <c r="J369" s="2">
        <f>COUNTIFS($B$2:B369,B369,$A$2:A369,A369,$D$2:D369,D369)</f>
        <v>1</v>
      </c>
      <c r="K369" s="2">
        <f>COUNTIFS($F$2:F369,F369,$A$2:A369,A369,$D$2:D369,D369)</f>
        <v>1</v>
      </c>
      <c r="L369" s="2" t="str">
        <f t="shared" si="16"/>
        <v>Unique</v>
      </c>
      <c r="M369" s="2" t="str">
        <f t="shared" si="17"/>
        <v>No</v>
      </c>
    </row>
    <row r="370" spans="1:13" x14ac:dyDescent="0.35">
      <c r="A370" s="2" t="s">
        <v>2832</v>
      </c>
      <c r="B370" s="2" t="s">
        <v>1506</v>
      </c>
      <c r="C370" s="2" t="s">
        <v>2833</v>
      </c>
      <c r="D370" s="16">
        <v>193200</v>
      </c>
      <c r="E370" s="2" t="s">
        <v>2316</v>
      </c>
      <c r="F370" s="2" t="str">
        <f>IFERROR(INDEX(Vendor_ID_Map!$B$2:$B$229,MATCH(B370,Vendor_ID_Map!$A$2:$A$229,0)),"UNMAPPED")</f>
        <v>V1196</v>
      </c>
      <c r="G370" s="2" t="str">
        <f>IFERROR(INDEX(Vendor_Master_Golden!$B$2:$B$208,MATCH(F370,Vendor_Master_Golden!$A$2:$A$208,0)),"-")</f>
        <v>Pinnacle Landscaping LLP</v>
      </c>
      <c r="H370" s="2" t="str">
        <f>IFERROR(INDEX(Vendor_Master_Golden!$K$2:$K$208,MATCH(F370,Vendor_Master_Golden!$A$2:$A$208,0)),"-")</f>
        <v>Active</v>
      </c>
      <c r="I370" s="2" t="str">
        <f t="shared" si="15"/>
        <v>OK</v>
      </c>
      <c r="J370" s="2">
        <f>COUNTIFS($B$2:B370,B370,$A$2:A370,A370,$D$2:D370,D370)</f>
        <v>1</v>
      </c>
      <c r="K370" s="2">
        <f>COUNTIFS($F$2:F370,F370,$A$2:A370,A370,$D$2:D370,D370)</f>
        <v>1</v>
      </c>
      <c r="L370" s="2" t="str">
        <f t="shared" si="16"/>
        <v>Unique</v>
      </c>
      <c r="M370" s="2" t="str">
        <f t="shared" si="17"/>
        <v>No</v>
      </c>
    </row>
    <row r="371" spans="1:13" x14ac:dyDescent="0.35">
      <c r="A371" s="2" t="s">
        <v>2834</v>
      </c>
      <c r="B371" s="2" t="s">
        <v>813</v>
      </c>
      <c r="C371" s="2" t="s">
        <v>2833</v>
      </c>
      <c r="D371" s="16">
        <v>28800</v>
      </c>
      <c r="E371" s="2" t="s">
        <v>2314</v>
      </c>
      <c r="F371" s="2" t="str">
        <f>IFERROR(INDEX(Vendor_ID_Map!$B$2:$B$229,MATCH(B371,Vendor_ID_Map!$A$2:$A$229,0)),"UNMAPPED")</f>
        <v>V1211</v>
      </c>
      <c r="G371" s="2" t="str">
        <f>IFERROR(INDEX(Vendor_Master_Golden!$B$2:$B$208,MATCH(F371,Vendor_Master_Golden!$A$2:$A$208,0)),"-")</f>
        <v>Crestline Facility Services Pvt Ltd</v>
      </c>
      <c r="H371" s="2" t="str">
        <f>IFERROR(INDEX(Vendor_Master_Golden!$K$2:$K$208,MATCH(F371,Vendor_Master_Golden!$A$2:$A$208,0)),"-")</f>
        <v>Inactive</v>
      </c>
      <c r="I371" s="2" t="str">
        <f t="shared" si="15"/>
        <v>Inactive Vendor</v>
      </c>
      <c r="J371" s="2">
        <f>COUNTIFS($B$2:B371,B371,$A$2:A371,A371,$D$2:D371,D371)</f>
        <v>1</v>
      </c>
      <c r="K371" s="2">
        <f>COUNTIFS($F$2:F371,F371,$A$2:A371,A371,$D$2:D371,D371)</f>
        <v>1</v>
      </c>
      <c r="L371" s="2" t="str">
        <f t="shared" si="16"/>
        <v>Unique</v>
      </c>
      <c r="M371" s="2" t="str">
        <f t="shared" si="17"/>
        <v>No</v>
      </c>
    </row>
    <row r="372" spans="1:13" x14ac:dyDescent="0.35">
      <c r="A372" s="2" t="s">
        <v>2835</v>
      </c>
      <c r="B372" s="2" t="s">
        <v>651</v>
      </c>
      <c r="C372" s="2" t="s">
        <v>2836</v>
      </c>
      <c r="D372" s="16">
        <v>242600</v>
      </c>
      <c r="E372" s="2" t="s">
        <v>2314</v>
      </c>
      <c r="F372" s="2" t="str">
        <f>IFERROR(INDEX(Vendor_ID_Map!$B$2:$B$229,MATCH(B372,Vendor_ID_Map!$A$2:$A$229,0)),"UNMAPPED")</f>
        <v>V1227</v>
      </c>
      <c r="G372" s="2" t="str">
        <f>IFERROR(INDEX(Vendor_Master_Golden!$B$2:$B$208,MATCH(F372,Vendor_Master_Golden!$A$2:$A$208,0)),"-")</f>
        <v>Pinnacle Engneering Works Private Limited</v>
      </c>
      <c r="H372" s="2" t="str">
        <f>IFERROR(INDEX(Vendor_Master_Golden!$K$2:$K$208,MATCH(F372,Vendor_Master_Golden!$A$2:$A$208,0)),"-")</f>
        <v>Active</v>
      </c>
      <c r="I372" s="2" t="str">
        <f t="shared" si="15"/>
        <v>OK</v>
      </c>
      <c r="J372" s="2">
        <f>COUNTIFS($B$2:B372,B372,$A$2:A372,A372,$D$2:D372,D372)</f>
        <v>1</v>
      </c>
      <c r="K372" s="2">
        <f>COUNTIFS($F$2:F372,F372,$A$2:A372,A372,$D$2:D372,D372)</f>
        <v>1</v>
      </c>
      <c r="L372" s="2" t="str">
        <f t="shared" si="16"/>
        <v>Unique</v>
      </c>
      <c r="M372" s="2" t="str">
        <f t="shared" si="17"/>
        <v>No</v>
      </c>
    </row>
    <row r="373" spans="1:13" x14ac:dyDescent="0.35">
      <c r="A373" s="2" t="s">
        <v>2837</v>
      </c>
      <c r="B373" s="2" t="s">
        <v>371</v>
      </c>
      <c r="C373" s="2" t="s">
        <v>2836</v>
      </c>
      <c r="D373" s="16">
        <v>77900</v>
      </c>
      <c r="E373" s="2" t="s">
        <v>2316</v>
      </c>
      <c r="F373" s="2" t="str">
        <f>IFERROR(INDEX(Vendor_ID_Map!$B$2:$B$229,MATCH(B373,Vendor_ID_Map!$A$2:$A$229,0)),"UNMAPPED")</f>
        <v>V1031</v>
      </c>
      <c r="G373" s="2" t="str">
        <f>IFERROR(INDEX(Vendor_Master_Golden!$B$2:$B$208,MATCH(F373,Vendor_Master_Golden!$A$2:$A$208,0)),"-")</f>
        <v>Pinnacle Engineering Works Private Limited</v>
      </c>
      <c r="H373" s="2" t="str">
        <f>IFERROR(INDEX(Vendor_Master_Golden!$K$2:$K$208,MATCH(F373,Vendor_Master_Golden!$A$2:$A$208,0)),"-")</f>
        <v>Active</v>
      </c>
      <c r="I373" s="2" t="str">
        <f t="shared" si="15"/>
        <v>OK</v>
      </c>
      <c r="J373" s="2">
        <f>COUNTIFS($B$2:B373,B373,$A$2:A373,A373,$D$2:D373,D373)</f>
        <v>1</v>
      </c>
      <c r="K373" s="2">
        <f>COUNTIFS($F$2:F373,F373,$A$2:A373,A373,$D$2:D373,D373)</f>
        <v>1</v>
      </c>
      <c r="L373" s="2" t="str">
        <f t="shared" si="16"/>
        <v>Unique</v>
      </c>
      <c r="M373" s="2" t="str">
        <f t="shared" si="17"/>
        <v>No</v>
      </c>
    </row>
    <row r="374" spans="1:13" x14ac:dyDescent="0.35">
      <c r="A374" s="2" t="s">
        <v>2838</v>
      </c>
      <c r="B374" s="2" t="s">
        <v>1616</v>
      </c>
      <c r="C374" s="2" t="s">
        <v>2836</v>
      </c>
      <c r="D374" s="16">
        <v>57500</v>
      </c>
      <c r="E374" s="2" t="s">
        <v>2316</v>
      </c>
      <c r="F374" s="2" t="str">
        <f>IFERROR(INDEX(Vendor_ID_Map!$B$2:$B$229,MATCH(B374,Vendor_ID_Map!$A$2:$A$229,0)),"UNMAPPED")</f>
        <v>V1118</v>
      </c>
      <c r="G374" s="2" t="str">
        <f>IFERROR(INDEX(Vendor_Master_Golden!$B$2:$B$208,MATCH(F374,Vendor_Master_Golden!$A$2:$A$208,0)),"-")</f>
        <v>Jupiter Power Systems Limited</v>
      </c>
      <c r="H374" s="2" t="str">
        <f>IFERROR(INDEX(Vendor_Master_Golden!$K$2:$K$208,MATCH(F374,Vendor_Master_Golden!$A$2:$A$208,0)),"-")</f>
        <v>Active</v>
      </c>
      <c r="I374" s="2" t="str">
        <f t="shared" si="15"/>
        <v>OK</v>
      </c>
      <c r="J374" s="2">
        <f>COUNTIFS($B$2:B374,B374,$A$2:A374,A374,$D$2:D374,D374)</f>
        <v>1</v>
      </c>
      <c r="K374" s="2">
        <f>COUNTIFS($F$2:F374,F374,$A$2:A374,A374,$D$2:D374,D374)</f>
        <v>1</v>
      </c>
      <c r="L374" s="2" t="str">
        <f t="shared" si="16"/>
        <v>Unique</v>
      </c>
      <c r="M374" s="2" t="str">
        <f t="shared" si="17"/>
        <v>No</v>
      </c>
    </row>
    <row r="375" spans="1:13" x14ac:dyDescent="0.35">
      <c r="A375" s="2" t="s">
        <v>2839</v>
      </c>
      <c r="B375" s="2" t="s">
        <v>1542</v>
      </c>
      <c r="C375" s="2" t="s">
        <v>2840</v>
      </c>
      <c r="D375" s="16">
        <v>128100</v>
      </c>
      <c r="E375" s="2" t="s">
        <v>2314</v>
      </c>
      <c r="F375" s="2" t="str">
        <f>IFERROR(INDEX(Vendor_ID_Map!$B$2:$B$229,MATCH(B375,Vendor_ID_Map!$A$2:$A$229,0)),"UNMAPPED")</f>
        <v>V1070</v>
      </c>
      <c r="G375" s="2" t="str">
        <f>IFERROR(INDEX(Vendor_Master_Golden!$B$2:$B$208,MATCH(F375,Vendor_Master_Golden!$A$2:$A$208,0)),"-")</f>
        <v>Kaveri Power Systems Private Limited</v>
      </c>
      <c r="H375" s="2" t="str">
        <f>IFERROR(INDEX(Vendor_Master_Golden!$K$2:$K$208,MATCH(F375,Vendor_Master_Golden!$A$2:$A$208,0)),"-")</f>
        <v>Active</v>
      </c>
      <c r="I375" s="2" t="str">
        <f t="shared" si="15"/>
        <v>OK</v>
      </c>
      <c r="J375" s="2">
        <f>COUNTIFS($B$2:B375,B375,$A$2:A375,A375,$D$2:D375,D375)</f>
        <v>1</v>
      </c>
      <c r="K375" s="2">
        <f>COUNTIFS($F$2:F375,F375,$A$2:A375,A375,$D$2:D375,D375)</f>
        <v>1</v>
      </c>
      <c r="L375" s="2" t="str">
        <f t="shared" si="16"/>
        <v>Unique</v>
      </c>
      <c r="M375" s="2" t="str">
        <f t="shared" si="17"/>
        <v>No</v>
      </c>
    </row>
    <row r="376" spans="1:13" x14ac:dyDescent="0.35">
      <c r="A376" s="2" t="s">
        <v>2841</v>
      </c>
      <c r="B376" s="2" t="s">
        <v>1710</v>
      </c>
      <c r="C376" s="2" t="s">
        <v>2840</v>
      </c>
      <c r="D376" s="16">
        <v>39200</v>
      </c>
      <c r="E376" s="2" t="s">
        <v>2316</v>
      </c>
      <c r="F376" s="2" t="str">
        <f>IFERROR(INDEX(Vendor_ID_Map!$B$2:$B$229,MATCH(B376,Vendor_ID_Map!$A$2:$A$229,0)),"UNMAPPED")</f>
        <v>V1078</v>
      </c>
      <c r="G376" s="2" t="str">
        <f>IFERROR(INDEX(Vendor_Master_Golden!$B$2:$B$208,MATCH(F376,Vendor_Master_Golden!$A$2:$A$208,0)),"-")</f>
        <v>Nova Engineering Works Private Limited</v>
      </c>
      <c r="H376" s="2" t="str">
        <f>IFERROR(INDEX(Vendor_Master_Golden!$K$2:$K$208,MATCH(F376,Vendor_Master_Golden!$A$2:$A$208,0)),"-")</f>
        <v>Active</v>
      </c>
      <c r="I376" s="2" t="str">
        <f t="shared" si="15"/>
        <v>OK</v>
      </c>
      <c r="J376" s="2">
        <f>COUNTIFS($B$2:B376,B376,$A$2:A376,A376,$D$2:D376,D376)</f>
        <v>1</v>
      </c>
      <c r="K376" s="2">
        <f>COUNTIFS($F$2:F376,F376,$A$2:A376,A376,$D$2:D376,D376)</f>
        <v>1</v>
      </c>
      <c r="L376" s="2" t="str">
        <f t="shared" si="16"/>
        <v>Unique</v>
      </c>
      <c r="M376" s="2" t="str">
        <f t="shared" si="17"/>
        <v>No</v>
      </c>
    </row>
    <row r="377" spans="1:13" x14ac:dyDescent="0.35">
      <c r="A377" s="2" t="s">
        <v>2842</v>
      </c>
      <c r="B377" s="2" t="s">
        <v>440</v>
      </c>
      <c r="C377" s="2" t="s">
        <v>2843</v>
      </c>
      <c r="D377" s="16">
        <v>35700</v>
      </c>
      <c r="E377" s="2" t="s">
        <v>2314</v>
      </c>
      <c r="F377" s="2" t="str">
        <f>IFERROR(INDEX(Vendor_ID_Map!$B$2:$B$229,MATCH(B377,Vendor_ID_Map!$A$2:$A$229,0)),"UNMAPPED")</f>
        <v>V1006</v>
      </c>
      <c r="G377" s="2" t="str">
        <f>IFERROR(INDEX(Vendor_Master_Golden!$B$2:$B$208,MATCH(F377,Vendor_Master_Golden!$A$2:$A$208,0)),"-")</f>
        <v>Ironbridge Landscaping Limited</v>
      </c>
      <c r="H377" s="2" t="str">
        <f>IFERROR(INDEX(Vendor_Master_Golden!$K$2:$K$208,MATCH(F377,Vendor_Master_Golden!$A$2:$A$208,0)),"-")</f>
        <v>Inactive</v>
      </c>
      <c r="I377" s="2" t="str">
        <f t="shared" si="15"/>
        <v>Inactive Vendor</v>
      </c>
      <c r="J377" s="2">
        <f>COUNTIFS($B$2:B377,B377,$A$2:A377,A377,$D$2:D377,D377)</f>
        <v>1</v>
      </c>
      <c r="K377" s="2">
        <f>COUNTIFS($F$2:F377,F377,$A$2:A377,A377,$D$2:D377,D377)</f>
        <v>1</v>
      </c>
      <c r="L377" s="2" t="str">
        <f t="shared" si="16"/>
        <v>Unique</v>
      </c>
      <c r="M377" s="2" t="str">
        <f t="shared" si="17"/>
        <v>No</v>
      </c>
    </row>
    <row r="378" spans="1:13" x14ac:dyDescent="0.35">
      <c r="A378" s="2" t="s">
        <v>2844</v>
      </c>
      <c r="B378" s="2" t="s">
        <v>1145</v>
      </c>
      <c r="C378" s="2" t="s">
        <v>2843</v>
      </c>
      <c r="D378" s="16">
        <v>298000</v>
      </c>
      <c r="E378" s="2" t="s">
        <v>2314</v>
      </c>
      <c r="F378" s="2" t="str">
        <f>IFERROR(INDEX(Vendor_ID_Map!$B$2:$B$229,MATCH(B378,Vendor_ID_Map!$A$2:$A$229,0)),"UNMAPPED")</f>
        <v>V1096</v>
      </c>
      <c r="G378" s="2" t="str">
        <f>IFERROR(INDEX(Vendor_Master_Golden!$B$2:$B$208,MATCH(F378,Vendor_Master_Golden!$A$2:$A$208,0)),"-")</f>
        <v>Deccan Maintenance Private Limited</v>
      </c>
      <c r="H378" s="2" t="str">
        <f>IFERROR(INDEX(Vendor_Master_Golden!$K$2:$K$208,MATCH(F378,Vendor_Master_Golden!$A$2:$A$208,0)),"-")</f>
        <v>Active</v>
      </c>
      <c r="I378" s="2" t="str">
        <f t="shared" si="15"/>
        <v>OK</v>
      </c>
      <c r="J378" s="2">
        <f>COUNTIFS($B$2:B378,B378,$A$2:A378,A378,$D$2:D378,D378)</f>
        <v>1</v>
      </c>
      <c r="K378" s="2">
        <f>COUNTIFS($F$2:F378,F378,$A$2:A378,A378,$D$2:D378,D378)</f>
        <v>1</v>
      </c>
      <c r="L378" s="2" t="str">
        <f t="shared" si="16"/>
        <v>Unique</v>
      </c>
      <c r="M378" s="2" t="str">
        <f t="shared" si="17"/>
        <v>No</v>
      </c>
    </row>
    <row r="379" spans="1:13" x14ac:dyDescent="0.35">
      <c r="A379" s="2" t="s">
        <v>2845</v>
      </c>
      <c r="B379" s="2" t="s">
        <v>1323</v>
      </c>
      <c r="C379" s="2" t="s">
        <v>2843</v>
      </c>
      <c r="D379" s="16">
        <v>33100</v>
      </c>
      <c r="E379" s="2" t="s">
        <v>2316</v>
      </c>
      <c r="F379" s="2" t="str">
        <f>IFERROR(INDEX(Vendor_ID_Map!$B$2:$B$229,MATCH(B379,Vendor_ID_Map!$A$2:$A$229,0)),"UNMAPPED")</f>
        <v>V1188</v>
      </c>
      <c r="G379" s="2" t="str">
        <f>IFERROR(INDEX(Vendor_Master_Golden!$B$2:$B$208,MATCH(F379,Vendor_Master_Golden!$A$2:$A$208,0)),"-")</f>
        <v>Unity Printing LLP</v>
      </c>
      <c r="H379" s="2" t="str">
        <f>IFERROR(INDEX(Vendor_Master_Golden!$K$2:$K$208,MATCH(F379,Vendor_Master_Golden!$A$2:$A$208,0)),"-")</f>
        <v>Active</v>
      </c>
      <c r="I379" s="2" t="str">
        <f t="shared" si="15"/>
        <v>OK</v>
      </c>
      <c r="J379" s="2">
        <f>COUNTIFS($B$2:B379,B379,$A$2:A379,A379,$D$2:D379,D379)</f>
        <v>1</v>
      </c>
      <c r="K379" s="2">
        <f>COUNTIFS($F$2:F379,F379,$A$2:A379,A379,$D$2:D379,D379)</f>
        <v>1</v>
      </c>
      <c r="L379" s="2" t="str">
        <f t="shared" si="16"/>
        <v>Unique</v>
      </c>
      <c r="M379" s="2" t="str">
        <f t="shared" si="17"/>
        <v>No</v>
      </c>
    </row>
    <row r="380" spans="1:13" x14ac:dyDescent="0.35">
      <c r="A380" s="2" t="s">
        <v>2846</v>
      </c>
      <c r="B380" s="2" t="s">
        <v>1036</v>
      </c>
      <c r="C380" s="2" t="s">
        <v>2843</v>
      </c>
      <c r="D380" s="16">
        <v>131800</v>
      </c>
      <c r="E380" s="2" t="s">
        <v>2316</v>
      </c>
      <c r="F380" s="2" t="str">
        <f>IFERROR(INDEX(Vendor_ID_Map!$B$2:$B$229,MATCH(B380,Vendor_ID_Map!$A$2:$A$229,0)),"UNMAPPED")</f>
        <v>V1002</v>
      </c>
      <c r="G380" s="2" t="str">
        <f>IFERROR(INDEX(Vendor_Master_Golden!$B$2:$B$208,MATCH(F380,Vendor_Master_Golden!$A$2:$A$208,0)),"-")</f>
        <v>Evergreen Electricals Private Limited</v>
      </c>
      <c r="H380" s="2" t="str">
        <f>IFERROR(INDEX(Vendor_Master_Golden!$K$2:$K$208,MATCH(F380,Vendor_Master_Golden!$A$2:$A$208,0)),"-")</f>
        <v>Active</v>
      </c>
      <c r="I380" s="2" t="str">
        <f t="shared" si="15"/>
        <v>OK</v>
      </c>
      <c r="J380" s="2">
        <f>COUNTIFS($B$2:B380,B380,$A$2:A380,A380,$D$2:D380,D380)</f>
        <v>1</v>
      </c>
      <c r="K380" s="2">
        <f>COUNTIFS($F$2:F380,F380,$A$2:A380,A380,$D$2:D380,D380)</f>
        <v>1</v>
      </c>
      <c r="L380" s="2" t="str">
        <f t="shared" si="16"/>
        <v>Unique</v>
      </c>
      <c r="M380" s="2" t="str">
        <f t="shared" si="17"/>
        <v>No</v>
      </c>
    </row>
    <row r="381" spans="1:13" x14ac:dyDescent="0.35">
      <c r="A381" s="2" t="s">
        <v>2847</v>
      </c>
      <c r="B381" s="2" t="s">
        <v>565</v>
      </c>
      <c r="C381" s="2" t="s">
        <v>2848</v>
      </c>
      <c r="D381" s="16">
        <v>288300</v>
      </c>
      <c r="E381" s="2" t="s">
        <v>2316</v>
      </c>
      <c r="F381" s="2" t="str">
        <f>IFERROR(INDEX(Vendor_ID_Map!$B$2:$B$229,MATCH(B381,Vendor_ID_Map!$A$2:$A$229,0)),"UNMAPPED")</f>
        <v>V1141</v>
      </c>
      <c r="G381" s="2" t="str">
        <f>IFERROR(INDEX(Vendor_Master_Golden!$B$2:$B$208,MATCH(F381,Vendor_Master_Golden!$A$2:$A$208,0)),"-")</f>
        <v>Evergreen Security Solutions LLP</v>
      </c>
      <c r="H381" s="2" t="str">
        <f>IFERROR(INDEX(Vendor_Master_Golden!$K$2:$K$208,MATCH(F381,Vendor_Master_Golden!$A$2:$A$208,0)),"-")</f>
        <v>Active</v>
      </c>
      <c r="I381" s="2" t="str">
        <f t="shared" si="15"/>
        <v>OK</v>
      </c>
      <c r="J381" s="2">
        <f>COUNTIFS($B$2:B381,B381,$A$2:A381,A381,$D$2:D381,D381)</f>
        <v>1</v>
      </c>
      <c r="K381" s="2">
        <f>COUNTIFS($F$2:F381,F381,$A$2:A381,A381,$D$2:D381,D381)</f>
        <v>1</v>
      </c>
      <c r="L381" s="2" t="str">
        <f t="shared" si="16"/>
        <v>Unique</v>
      </c>
      <c r="M381" s="2" t="str">
        <f t="shared" si="17"/>
        <v>No</v>
      </c>
    </row>
    <row r="382" spans="1:13" x14ac:dyDescent="0.35">
      <c r="A382" s="2" t="s">
        <v>2849</v>
      </c>
      <c r="B382" s="2" t="s">
        <v>1542</v>
      </c>
      <c r="C382" s="2" t="s">
        <v>2848</v>
      </c>
      <c r="D382" s="16">
        <v>303800</v>
      </c>
      <c r="E382" s="2" t="s">
        <v>2316</v>
      </c>
      <c r="F382" s="2" t="str">
        <f>IFERROR(INDEX(Vendor_ID_Map!$B$2:$B$229,MATCH(B382,Vendor_ID_Map!$A$2:$A$229,0)),"UNMAPPED")</f>
        <v>V1070</v>
      </c>
      <c r="G382" s="2" t="str">
        <f>IFERROR(INDEX(Vendor_Master_Golden!$B$2:$B$208,MATCH(F382,Vendor_Master_Golden!$A$2:$A$208,0)),"-")</f>
        <v>Kaveri Power Systems Private Limited</v>
      </c>
      <c r="H382" s="2" t="str">
        <f>IFERROR(INDEX(Vendor_Master_Golden!$K$2:$K$208,MATCH(F382,Vendor_Master_Golden!$A$2:$A$208,0)),"-")</f>
        <v>Active</v>
      </c>
      <c r="I382" s="2" t="str">
        <f t="shared" si="15"/>
        <v>OK</v>
      </c>
      <c r="J382" s="2">
        <f>COUNTIFS($B$2:B382,B382,$A$2:A382,A382,$D$2:D382,D382)</f>
        <v>1</v>
      </c>
      <c r="K382" s="2">
        <f>COUNTIFS($F$2:F382,F382,$A$2:A382,A382,$D$2:D382,D382)</f>
        <v>1</v>
      </c>
      <c r="L382" s="2" t="str">
        <f t="shared" si="16"/>
        <v>Unique</v>
      </c>
      <c r="M382" s="2" t="str">
        <f t="shared" si="17"/>
        <v>No</v>
      </c>
    </row>
    <row r="383" spans="1:13" x14ac:dyDescent="0.35">
      <c r="A383" s="2" t="s">
        <v>2850</v>
      </c>
      <c r="B383" s="2" t="s">
        <v>848</v>
      </c>
      <c r="C383" s="2" t="s">
        <v>2848</v>
      </c>
      <c r="D383" s="16">
        <v>57400</v>
      </c>
      <c r="E383" s="2" t="s">
        <v>2314</v>
      </c>
      <c r="F383" s="2" t="str">
        <f>IFERROR(INDEX(Vendor_ID_Map!$B$2:$B$229,MATCH(B383,Vendor_ID_Map!$A$2:$A$229,0)),"UNMAPPED")</f>
        <v>V1213</v>
      </c>
      <c r="G383" s="2" t="str">
        <f>IFERROR(INDEX(Vendor_Master_Golden!$B$2:$B$208,MATCH(F383,Vendor_Master_Golden!$A$2:$A$208,0)),"-")</f>
        <v>Bharat It Services Pvt Ltd</v>
      </c>
      <c r="H383" s="2" t="str">
        <f>IFERROR(INDEX(Vendor_Master_Golden!$K$2:$K$208,MATCH(F383,Vendor_Master_Golden!$A$2:$A$208,0)),"-")</f>
        <v>Active</v>
      </c>
      <c r="I383" s="2" t="str">
        <f t="shared" si="15"/>
        <v>OK</v>
      </c>
      <c r="J383" s="2">
        <f>COUNTIFS($B$2:B383,B383,$A$2:A383,A383,$D$2:D383,D383)</f>
        <v>1</v>
      </c>
      <c r="K383" s="2">
        <f>COUNTIFS($F$2:F383,F383,$A$2:A383,A383,$D$2:D383,D383)</f>
        <v>1</v>
      </c>
      <c r="L383" s="2" t="str">
        <f t="shared" si="16"/>
        <v>Unique</v>
      </c>
      <c r="M383" s="2" t="str">
        <f t="shared" si="17"/>
        <v>No</v>
      </c>
    </row>
    <row r="384" spans="1:13" x14ac:dyDescent="0.35">
      <c r="A384" s="2" t="s">
        <v>2851</v>
      </c>
      <c r="B384" s="2" t="s">
        <v>1870</v>
      </c>
      <c r="C384" s="2" t="s">
        <v>2852</v>
      </c>
      <c r="D384" s="16">
        <v>83600</v>
      </c>
      <c r="E384" s="2" t="s">
        <v>2314</v>
      </c>
      <c r="F384" s="2" t="str">
        <f>IFERROR(INDEX(Vendor_ID_Map!$B$2:$B$229,MATCH(B384,Vendor_ID_Map!$A$2:$A$229,0)),"UNMAPPED")</f>
        <v>V1226</v>
      </c>
      <c r="G384" s="2" t="str">
        <f>IFERROR(INDEX(Vendor_Master_Golden!$B$2:$B$208,MATCH(F384,Vendor_Master_Golden!$A$2:$A$208,0)),"-")</f>
        <v>Bluewave Secrity Solutions Private Limited</v>
      </c>
      <c r="H384" s="2" t="str">
        <f>IFERROR(INDEX(Vendor_Master_Golden!$K$2:$K$208,MATCH(F384,Vendor_Master_Golden!$A$2:$A$208,0)),"-")</f>
        <v>Active</v>
      </c>
      <c r="I384" s="2" t="str">
        <f t="shared" si="15"/>
        <v>OK</v>
      </c>
      <c r="J384" s="2">
        <f>COUNTIFS($B$2:B384,B384,$A$2:A384,A384,$D$2:D384,D384)</f>
        <v>1</v>
      </c>
      <c r="K384" s="2">
        <f>COUNTIFS($F$2:F384,F384,$A$2:A384,A384,$D$2:D384,D384)</f>
        <v>1</v>
      </c>
      <c r="L384" s="2" t="str">
        <f t="shared" si="16"/>
        <v>Unique</v>
      </c>
      <c r="M384" s="2" t="str">
        <f t="shared" si="17"/>
        <v>No</v>
      </c>
    </row>
    <row r="385" spans="1:13" x14ac:dyDescent="0.35">
      <c r="A385" s="2" t="s">
        <v>2853</v>
      </c>
      <c r="B385" s="2" t="s">
        <v>1542</v>
      </c>
      <c r="C385" s="2" t="s">
        <v>2852</v>
      </c>
      <c r="D385" s="16">
        <v>54100</v>
      </c>
      <c r="E385" s="2" t="s">
        <v>2314</v>
      </c>
      <c r="F385" s="2" t="str">
        <f>IFERROR(INDEX(Vendor_ID_Map!$B$2:$B$229,MATCH(B385,Vendor_ID_Map!$A$2:$A$229,0)),"UNMAPPED")</f>
        <v>V1070</v>
      </c>
      <c r="G385" s="2" t="str">
        <f>IFERROR(INDEX(Vendor_Master_Golden!$B$2:$B$208,MATCH(F385,Vendor_Master_Golden!$A$2:$A$208,0)),"-")</f>
        <v>Kaveri Power Systems Private Limited</v>
      </c>
      <c r="H385" s="2" t="str">
        <f>IFERROR(INDEX(Vendor_Master_Golden!$K$2:$K$208,MATCH(F385,Vendor_Master_Golden!$A$2:$A$208,0)),"-")</f>
        <v>Active</v>
      </c>
      <c r="I385" s="2" t="str">
        <f t="shared" si="15"/>
        <v>OK</v>
      </c>
      <c r="J385" s="2">
        <f>COUNTIFS($B$2:B385,B385,$A$2:A385,A385,$D$2:D385,D385)</f>
        <v>1</v>
      </c>
      <c r="K385" s="2">
        <f>COUNTIFS($F$2:F385,F385,$A$2:A385,A385,$D$2:D385,D385)</f>
        <v>1</v>
      </c>
      <c r="L385" s="2" t="str">
        <f t="shared" si="16"/>
        <v>Unique</v>
      </c>
      <c r="M385" s="2" t="str">
        <f t="shared" si="17"/>
        <v>No</v>
      </c>
    </row>
    <row r="386" spans="1:13" x14ac:dyDescent="0.35">
      <c r="A386" s="2" t="s">
        <v>2854</v>
      </c>
      <c r="B386" s="2" t="s">
        <v>224</v>
      </c>
      <c r="C386" s="2" t="s">
        <v>2855</v>
      </c>
      <c r="D386" s="16">
        <v>418100</v>
      </c>
      <c r="E386" s="2" t="s">
        <v>2316</v>
      </c>
      <c r="F386" s="2" t="str">
        <f>IFERROR(INDEX(Vendor_ID_Map!$B$2:$B$229,MATCH(B386,Vendor_ID_Map!$A$2:$A$229,0)),"UNMAPPED")</f>
        <v>V1203</v>
      </c>
      <c r="G386" s="2" t="str">
        <f>IFERROR(INDEX(Vendor_Master_Golden!$B$2:$B$208,MATCH(F386,Vendor_Master_Golden!$A$2:$A$208,0)),"-")</f>
        <v>Western Electricals Pvt Ltd</v>
      </c>
      <c r="H386" s="2" t="str">
        <f>IFERROR(INDEX(Vendor_Master_Golden!$K$2:$K$208,MATCH(F386,Vendor_Master_Golden!$A$2:$A$208,0)),"-")</f>
        <v>Inactive</v>
      </c>
      <c r="I386" s="2" t="str">
        <f t="shared" ref="I386:I449" si="18">IF(F386="UNMAPPED","Orphan Vendor ID",IF(H386="Inactive","Inactive Vendor","OK"))</f>
        <v>Inactive Vendor</v>
      </c>
      <c r="J386" s="2">
        <f>COUNTIFS($B$2:B386,B386,$A$2:A386,A386,$D$2:D386,D386)</f>
        <v>1</v>
      </c>
      <c r="K386" s="2">
        <f>COUNTIFS($F$2:F386,F386,$A$2:A386,A386,$D$2:D386,D386)</f>
        <v>1</v>
      </c>
      <c r="L386" s="2" t="str">
        <f t="shared" ref="L386:L449" si="19">IF(K386&gt;1,"Duplicate","Unique")</f>
        <v>Unique</v>
      </c>
      <c r="M386" s="2" t="str">
        <f t="shared" ref="M386:M449" si="20">IF(AND(K386&gt;1,J386=1),"Yes","No")</f>
        <v>No</v>
      </c>
    </row>
    <row r="387" spans="1:13" x14ac:dyDescent="0.35">
      <c r="A387" s="2" t="s">
        <v>2856</v>
      </c>
      <c r="B387" s="2" t="s">
        <v>582</v>
      </c>
      <c r="C387" s="2" t="s">
        <v>2855</v>
      </c>
      <c r="D387" s="16">
        <v>72300</v>
      </c>
      <c r="E387" s="2" t="s">
        <v>2316</v>
      </c>
      <c r="F387" s="2" t="str">
        <f>IFERROR(INDEX(Vendor_ID_Map!$B$2:$B$229,MATCH(B387,Vendor_ID_Map!$A$2:$A$229,0)),"UNMAPPED")</f>
        <v>V1027</v>
      </c>
      <c r="G387" s="2" t="str">
        <f>IFERROR(INDEX(Vendor_Master_Golden!$B$2:$B$208,MATCH(F387,Vendor_Master_Golden!$A$2:$A$208,0)),"-")</f>
        <v>Chola Security Solutions LLP</v>
      </c>
      <c r="H387" s="2" t="str">
        <f>IFERROR(INDEX(Vendor_Master_Golden!$K$2:$K$208,MATCH(F387,Vendor_Master_Golden!$A$2:$A$208,0)),"-")</f>
        <v>Active</v>
      </c>
      <c r="I387" s="2" t="str">
        <f t="shared" si="18"/>
        <v>OK</v>
      </c>
      <c r="J387" s="2">
        <f>COUNTIFS($B$2:B387,B387,$A$2:A387,A387,$D$2:D387,D387)</f>
        <v>1</v>
      </c>
      <c r="K387" s="2">
        <f>COUNTIFS($F$2:F387,F387,$A$2:A387,A387,$D$2:D387,D387)</f>
        <v>1</v>
      </c>
      <c r="L387" s="2" t="str">
        <f t="shared" si="19"/>
        <v>Unique</v>
      </c>
      <c r="M387" s="2" t="str">
        <f t="shared" si="20"/>
        <v>No</v>
      </c>
    </row>
    <row r="388" spans="1:13" x14ac:dyDescent="0.35">
      <c r="A388" s="2" t="s">
        <v>2857</v>
      </c>
      <c r="B388" s="2" t="s">
        <v>939</v>
      </c>
      <c r="C388" s="2" t="s">
        <v>2858</v>
      </c>
      <c r="D388" s="16">
        <v>46800</v>
      </c>
      <c r="E388" s="2" t="s">
        <v>2314</v>
      </c>
      <c r="F388" s="2" t="str">
        <f>IFERROR(INDEX(Vendor_ID_Map!$B$2:$B$229,MATCH(B388,Vendor_ID_Map!$A$2:$A$229,0)),"UNMAPPED")</f>
        <v>V1222</v>
      </c>
      <c r="G388" s="2" t="str">
        <f>IFERROR(INDEX(Vendor_Master_Golden!$B$2:$B$208,MATCH(F388,Vendor_Master_Golden!$A$2:$A$208,0)),"-")</f>
        <v>Metro Engg Works LLP</v>
      </c>
      <c r="H388" s="2" t="str">
        <f>IFERROR(INDEX(Vendor_Master_Golden!$K$2:$K$208,MATCH(F388,Vendor_Master_Golden!$A$2:$A$208,0)),"-")</f>
        <v>Active</v>
      </c>
      <c r="I388" s="2" t="str">
        <f t="shared" si="18"/>
        <v>OK</v>
      </c>
      <c r="J388" s="2">
        <f>COUNTIFS($B$2:B388,B388,$A$2:A388,A388,$D$2:D388,D388)</f>
        <v>1</v>
      </c>
      <c r="K388" s="2">
        <f>COUNTIFS($F$2:F388,F388,$A$2:A388,A388,$D$2:D388,D388)</f>
        <v>1</v>
      </c>
      <c r="L388" s="2" t="str">
        <f t="shared" si="19"/>
        <v>Unique</v>
      </c>
      <c r="M388" s="2" t="str">
        <f t="shared" si="20"/>
        <v>No</v>
      </c>
    </row>
    <row r="389" spans="1:13" x14ac:dyDescent="0.35">
      <c r="A389" s="2" t="s">
        <v>2859</v>
      </c>
      <c r="B389" s="2" t="s">
        <v>1675</v>
      </c>
      <c r="C389" s="2" t="s">
        <v>2858</v>
      </c>
      <c r="D389" s="16">
        <v>43900</v>
      </c>
      <c r="E389" s="2" t="s">
        <v>2316</v>
      </c>
      <c r="F389" s="2" t="str">
        <f>IFERROR(INDEX(Vendor_ID_Map!$B$2:$B$229,MATCH(B389,Vendor_ID_Map!$A$2:$A$229,0)),"UNMAPPED")</f>
        <v>V1090</v>
      </c>
      <c r="G389" s="2" t="str">
        <f>IFERROR(INDEX(Vendor_Master_Golden!$B$2:$B$208,MATCH(F389,Vendor_Master_Golden!$A$2:$A$208,0)),"-")</f>
        <v>Ganga Power Systems Pvt Ltd</v>
      </c>
      <c r="H389" s="2" t="str">
        <f>IFERROR(INDEX(Vendor_Master_Golden!$K$2:$K$208,MATCH(F389,Vendor_Master_Golden!$A$2:$A$208,0)),"-")</f>
        <v>Active</v>
      </c>
      <c r="I389" s="2" t="str">
        <f t="shared" si="18"/>
        <v>OK</v>
      </c>
      <c r="J389" s="2">
        <f>COUNTIFS($B$2:B389,B389,$A$2:A389,A389,$D$2:D389,D389)</f>
        <v>1</v>
      </c>
      <c r="K389" s="2">
        <f>COUNTIFS($F$2:F389,F389,$A$2:A389,A389,$D$2:D389,D389)</f>
        <v>1</v>
      </c>
      <c r="L389" s="2" t="str">
        <f t="shared" si="19"/>
        <v>Unique</v>
      </c>
      <c r="M389" s="2" t="str">
        <f t="shared" si="20"/>
        <v>No</v>
      </c>
    </row>
    <row r="390" spans="1:13" x14ac:dyDescent="0.35">
      <c r="A390" s="2" t="s">
        <v>2860</v>
      </c>
      <c r="B390" s="2" t="s">
        <v>870</v>
      </c>
      <c r="C390" s="2" t="s">
        <v>2858</v>
      </c>
      <c r="D390" s="16">
        <v>68000</v>
      </c>
      <c r="E390" s="2" t="s">
        <v>2316</v>
      </c>
      <c r="F390" s="2" t="str">
        <f>IFERROR(INDEX(Vendor_ID_Map!$B$2:$B$229,MATCH(B390,Vendor_ID_Map!$A$2:$A$229,0)),"UNMAPPED")</f>
        <v>V1183</v>
      </c>
      <c r="G390" s="2" t="str">
        <f>IFERROR(INDEX(Vendor_Master_Golden!$B$2:$B$208,MATCH(F390,Vendor_Master_Golden!$A$2:$A$208,0)),"-")</f>
        <v>Orchid Pest Control Private Limited</v>
      </c>
      <c r="H390" s="2" t="str">
        <f>IFERROR(INDEX(Vendor_Master_Golden!$K$2:$K$208,MATCH(F390,Vendor_Master_Golden!$A$2:$A$208,0)),"-")</f>
        <v>Active</v>
      </c>
      <c r="I390" s="2" t="str">
        <f t="shared" si="18"/>
        <v>OK</v>
      </c>
      <c r="J390" s="2">
        <f>COUNTIFS($B$2:B390,B390,$A$2:A390,A390,$D$2:D390,D390)</f>
        <v>1</v>
      </c>
      <c r="K390" s="2">
        <f>COUNTIFS($F$2:F390,F390,$A$2:A390,A390,$D$2:D390,D390)</f>
        <v>1</v>
      </c>
      <c r="L390" s="2" t="str">
        <f t="shared" si="19"/>
        <v>Unique</v>
      </c>
      <c r="M390" s="2" t="str">
        <f t="shared" si="20"/>
        <v>No</v>
      </c>
    </row>
    <row r="391" spans="1:13" x14ac:dyDescent="0.35">
      <c r="A391" s="2" t="s">
        <v>2861</v>
      </c>
      <c r="B391" s="2" t="s">
        <v>555</v>
      </c>
      <c r="C391" s="2" t="s">
        <v>2858</v>
      </c>
      <c r="D391" s="16">
        <v>55500</v>
      </c>
      <c r="E391" s="2" t="s">
        <v>2314</v>
      </c>
      <c r="F391" s="2" t="str">
        <f>IFERROR(INDEX(Vendor_ID_Map!$B$2:$B$229,MATCH(B391,Vendor_ID_Map!$A$2:$A$229,0)),"UNMAPPED")</f>
        <v>V1123</v>
      </c>
      <c r="G391" s="2" t="str">
        <f>IFERROR(INDEX(Vendor_Master_Golden!$B$2:$B$208,MATCH(F391,Vendor_Master_Golden!$A$2:$A$208,0)),"-")</f>
        <v>Deccan Engineering Works Private Limited</v>
      </c>
      <c r="H391" s="2" t="str">
        <f>IFERROR(INDEX(Vendor_Master_Golden!$K$2:$K$208,MATCH(F391,Vendor_Master_Golden!$A$2:$A$208,0)),"-")</f>
        <v>Active</v>
      </c>
      <c r="I391" s="2" t="str">
        <f t="shared" si="18"/>
        <v>OK</v>
      </c>
      <c r="J391" s="2">
        <f>COUNTIFS($B$2:B391,B391,$A$2:A391,A391,$D$2:D391,D391)</f>
        <v>1</v>
      </c>
      <c r="K391" s="2">
        <f>COUNTIFS($F$2:F391,F391,$A$2:A391,A391,$D$2:D391,D391)</f>
        <v>1</v>
      </c>
      <c r="L391" s="2" t="str">
        <f t="shared" si="19"/>
        <v>Unique</v>
      </c>
      <c r="M391" s="2" t="str">
        <f t="shared" si="20"/>
        <v>No</v>
      </c>
    </row>
    <row r="392" spans="1:13" x14ac:dyDescent="0.35">
      <c r="A392" s="2" t="s">
        <v>2862</v>
      </c>
      <c r="B392" s="2" t="s">
        <v>1121</v>
      </c>
      <c r="C392" s="2" t="s">
        <v>2863</v>
      </c>
      <c r="D392" s="16">
        <v>84300</v>
      </c>
      <c r="E392" s="2" t="s">
        <v>2316</v>
      </c>
      <c r="F392" s="2" t="str">
        <f>IFERROR(INDEX(Vendor_ID_Map!$B$2:$B$229,MATCH(B392,Vendor_ID_Map!$A$2:$A$229,0)),"UNMAPPED")</f>
        <v>V1168</v>
      </c>
      <c r="G392" s="2" t="str">
        <f>IFERROR(INDEX(Vendor_Master_Golden!$B$2:$B$208,MATCH(F392,Vendor_Master_Golden!$A$2:$A$208,0)),"-")</f>
        <v>Greenfield Power Systems Pvt Ltd</v>
      </c>
      <c r="H392" s="2" t="str">
        <f>IFERROR(INDEX(Vendor_Master_Golden!$K$2:$K$208,MATCH(F392,Vendor_Master_Golden!$A$2:$A$208,0)),"-")</f>
        <v>Active</v>
      </c>
      <c r="I392" s="2" t="str">
        <f t="shared" si="18"/>
        <v>OK</v>
      </c>
      <c r="J392" s="2">
        <f>COUNTIFS($B$2:B392,B392,$A$2:A392,A392,$D$2:D392,D392)</f>
        <v>1</v>
      </c>
      <c r="K392" s="2">
        <f>COUNTIFS($F$2:F392,F392,$A$2:A392,A392,$D$2:D392,D392)</f>
        <v>1</v>
      </c>
      <c r="L392" s="2" t="str">
        <f t="shared" si="19"/>
        <v>Unique</v>
      </c>
      <c r="M392" s="2" t="str">
        <f t="shared" si="20"/>
        <v>No</v>
      </c>
    </row>
    <row r="393" spans="1:13" x14ac:dyDescent="0.35">
      <c r="A393" s="2" t="s">
        <v>2864</v>
      </c>
      <c r="B393" s="2" t="s">
        <v>1824</v>
      </c>
      <c r="C393" s="2" t="s">
        <v>2863</v>
      </c>
      <c r="D393" s="16">
        <v>28900</v>
      </c>
      <c r="E393" s="2" t="s">
        <v>2316</v>
      </c>
      <c r="F393" s="2" t="str">
        <f>IFERROR(INDEX(Vendor_ID_Map!$B$2:$B$229,MATCH(B393,Vendor_ID_Map!$A$2:$A$229,0)),"UNMAPPED")</f>
        <v>V1213</v>
      </c>
      <c r="G393" s="2" t="str">
        <f>IFERROR(INDEX(Vendor_Master_Golden!$B$2:$B$208,MATCH(F393,Vendor_Master_Golden!$A$2:$A$208,0)),"-")</f>
        <v>Bharat It Services Pvt Ltd</v>
      </c>
      <c r="H393" s="2" t="str">
        <f>IFERROR(INDEX(Vendor_Master_Golden!$K$2:$K$208,MATCH(F393,Vendor_Master_Golden!$A$2:$A$208,0)),"-")</f>
        <v>Active</v>
      </c>
      <c r="I393" s="2" t="str">
        <f t="shared" si="18"/>
        <v>OK</v>
      </c>
      <c r="J393" s="2">
        <f>COUNTIFS($B$2:B393,B393,$A$2:A393,A393,$D$2:D393,D393)</f>
        <v>1</v>
      </c>
      <c r="K393" s="2">
        <f>COUNTIFS($F$2:F393,F393,$A$2:A393,A393,$D$2:D393,D393)</f>
        <v>1</v>
      </c>
      <c r="L393" s="2" t="str">
        <f t="shared" si="19"/>
        <v>Unique</v>
      </c>
      <c r="M393" s="2" t="str">
        <f t="shared" si="20"/>
        <v>No</v>
      </c>
    </row>
    <row r="394" spans="1:13" x14ac:dyDescent="0.35">
      <c r="A394" s="2" t="s">
        <v>2861</v>
      </c>
      <c r="B394" s="2" t="s">
        <v>555</v>
      </c>
      <c r="C394" s="2" t="s">
        <v>2863</v>
      </c>
      <c r="D394" s="16">
        <v>55500</v>
      </c>
      <c r="E394" s="2" t="s">
        <v>2316</v>
      </c>
      <c r="F394" s="2" t="str">
        <f>IFERROR(INDEX(Vendor_ID_Map!$B$2:$B$229,MATCH(B394,Vendor_ID_Map!$A$2:$A$229,0)),"UNMAPPED")</f>
        <v>V1123</v>
      </c>
      <c r="G394" s="2" t="str">
        <f>IFERROR(INDEX(Vendor_Master_Golden!$B$2:$B$208,MATCH(F394,Vendor_Master_Golden!$A$2:$A$208,0)),"-")</f>
        <v>Deccan Engineering Works Private Limited</v>
      </c>
      <c r="H394" s="2" t="str">
        <f>IFERROR(INDEX(Vendor_Master_Golden!$K$2:$K$208,MATCH(F394,Vendor_Master_Golden!$A$2:$A$208,0)),"-")</f>
        <v>Active</v>
      </c>
      <c r="I394" s="2" t="str">
        <f t="shared" si="18"/>
        <v>OK</v>
      </c>
      <c r="J394" s="2">
        <f>COUNTIFS($B$2:B394,B394,$A$2:A394,A394,$D$2:D394,D394)</f>
        <v>2</v>
      </c>
      <c r="K394" s="2">
        <f>COUNTIFS($F$2:F394,F394,$A$2:A394,A394,$D$2:D394,D394)</f>
        <v>2</v>
      </c>
      <c r="L394" s="2" t="str">
        <f t="shared" si="19"/>
        <v>Duplicate</v>
      </c>
      <c r="M394" s="2" t="str">
        <f t="shared" si="20"/>
        <v>No</v>
      </c>
    </row>
    <row r="395" spans="1:13" x14ac:dyDescent="0.35">
      <c r="A395" s="2" t="s">
        <v>2865</v>
      </c>
      <c r="B395" s="2" t="s">
        <v>1675</v>
      </c>
      <c r="C395" s="2" t="s">
        <v>2863</v>
      </c>
      <c r="D395" s="16">
        <v>30500</v>
      </c>
      <c r="E395" s="2" t="s">
        <v>2316</v>
      </c>
      <c r="F395" s="2" t="str">
        <f>IFERROR(INDEX(Vendor_ID_Map!$B$2:$B$229,MATCH(B395,Vendor_ID_Map!$A$2:$A$229,0)),"UNMAPPED")</f>
        <v>V1090</v>
      </c>
      <c r="G395" s="2" t="str">
        <f>IFERROR(INDEX(Vendor_Master_Golden!$B$2:$B$208,MATCH(F395,Vendor_Master_Golden!$A$2:$A$208,0)),"-")</f>
        <v>Ganga Power Systems Pvt Ltd</v>
      </c>
      <c r="H395" s="2" t="str">
        <f>IFERROR(INDEX(Vendor_Master_Golden!$K$2:$K$208,MATCH(F395,Vendor_Master_Golden!$A$2:$A$208,0)),"-")</f>
        <v>Active</v>
      </c>
      <c r="I395" s="2" t="str">
        <f t="shared" si="18"/>
        <v>OK</v>
      </c>
      <c r="J395" s="2">
        <f>COUNTIFS($B$2:B395,B395,$A$2:A395,A395,$D$2:D395,D395)</f>
        <v>1</v>
      </c>
      <c r="K395" s="2">
        <f>COUNTIFS($F$2:F395,F395,$A$2:A395,A395,$D$2:D395,D395)</f>
        <v>1</v>
      </c>
      <c r="L395" s="2" t="str">
        <f t="shared" si="19"/>
        <v>Unique</v>
      </c>
      <c r="M395" s="2" t="str">
        <f t="shared" si="20"/>
        <v>No</v>
      </c>
    </row>
    <row r="396" spans="1:13" x14ac:dyDescent="0.35">
      <c r="A396" s="2" t="s">
        <v>2866</v>
      </c>
      <c r="B396" s="2" t="s">
        <v>2423</v>
      </c>
      <c r="C396" s="2" t="s">
        <v>2863</v>
      </c>
      <c r="D396" s="16">
        <v>55800</v>
      </c>
      <c r="E396" s="2" t="s">
        <v>2314</v>
      </c>
      <c r="F396" s="2" t="str">
        <f>IFERROR(INDEX(Vendor_ID_Map!$B$2:$B$229,MATCH(B396,Vendor_ID_Map!$A$2:$A$229,0)),"UNMAPPED")</f>
        <v>UNMAPPED</v>
      </c>
      <c r="G396" s="2" t="str">
        <f>IFERROR(INDEX(Vendor_Master_Golden!$B$2:$B$208,MATCH(F396,Vendor_Master_Golden!$A$2:$A$208,0)),"-")</f>
        <v>-</v>
      </c>
      <c r="H396" s="2" t="str">
        <f>IFERROR(INDEX(Vendor_Master_Golden!$K$2:$K$208,MATCH(F396,Vendor_Master_Golden!$A$2:$A$208,0)),"-")</f>
        <v>-</v>
      </c>
      <c r="I396" s="2" t="str">
        <f t="shared" si="18"/>
        <v>Orphan Vendor ID</v>
      </c>
      <c r="J396" s="2">
        <f>COUNTIFS($B$2:B396,B396,$A$2:A396,A396,$D$2:D396,D396)</f>
        <v>1</v>
      </c>
      <c r="K396" s="2">
        <f>COUNTIFS($F$2:F396,F396,$A$2:A396,A396,$D$2:D396,D396)</f>
        <v>1</v>
      </c>
      <c r="L396" s="2" t="str">
        <f t="shared" si="19"/>
        <v>Unique</v>
      </c>
      <c r="M396" s="2" t="str">
        <f t="shared" si="20"/>
        <v>No</v>
      </c>
    </row>
    <row r="397" spans="1:13" x14ac:dyDescent="0.35">
      <c r="A397" s="2" t="s">
        <v>2867</v>
      </c>
      <c r="B397" s="2" t="s">
        <v>1203</v>
      </c>
      <c r="C397" s="2" t="s">
        <v>2868</v>
      </c>
      <c r="D397" s="16">
        <v>134000</v>
      </c>
      <c r="E397" s="2" t="s">
        <v>2316</v>
      </c>
      <c r="F397" s="2" t="str">
        <f>IFERROR(INDEX(Vendor_ID_Map!$B$2:$B$229,MATCH(B397,Vendor_ID_Map!$A$2:$A$229,0)),"UNMAPPED")</f>
        <v>V1172</v>
      </c>
      <c r="G397" s="2" t="str">
        <f>IFERROR(INDEX(Vendor_Master_Golden!$B$2:$B$208,MATCH(F397,Vendor_Master_Golden!$A$2:$A$208,0)),"-")</f>
        <v>Sunrise IT Services Limited</v>
      </c>
      <c r="H397" s="2" t="str">
        <f>IFERROR(INDEX(Vendor_Master_Golden!$K$2:$K$208,MATCH(F397,Vendor_Master_Golden!$A$2:$A$208,0)),"-")</f>
        <v>Active</v>
      </c>
      <c r="I397" s="2" t="str">
        <f t="shared" si="18"/>
        <v>OK</v>
      </c>
      <c r="J397" s="2">
        <f>COUNTIFS($B$2:B397,B397,$A$2:A397,A397,$D$2:D397,D397)</f>
        <v>1</v>
      </c>
      <c r="K397" s="2">
        <f>COUNTIFS($F$2:F397,F397,$A$2:A397,A397,$D$2:D397,D397)</f>
        <v>1</v>
      </c>
      <c r="L397" s="2" t="str">
        <f t="shared" si="19"/>
        <v>Unique</v>
      </c>
      <c r="M397" s="2" t="str">
        <f t="shared" si="20"/>
        <v>No</v>
      </c>
    </row>
    <row r="398" spans="1:13" x14ac:dyDescent="0.35">
      <c r="A398" s="2" t="s">
        <v>2869</v>
      </c>
      <c r="B398" s="2" t="s">
        <v>1145</v>
      </c>
      <c r="C398" s="2" t="s">
        <v>2868</v>
      </c>
      <c r="D398" s="16">
        <v>89000</v>
      </c>
      <c r="E398" s="2" t="s">
        <v>2314</v>
      </c>
      <c r="F398" s="2" t="str">
        <f>IFERROR(INDEX(Vendor_ID_Map!$B$2:$B$229,MATCH(B398,Vendor_ID_Map!$A$2:$A$229,0)),"UNMAPPED")</f>
        <v>V1096</v>
      </c>
      <c r="G398" s="2" t="str">
        <f>IFERROR(INDEX(Vendor_Master_Golden!$B$2:$B$208,MATCH(F398,Vendor_Master_Golden!$A$2:$A$208,0)),"-")</f>
        <v>Deccan Maintenance Private Limited</v>
      </c>
      <c r="H398" s="2" t="str">
        <f>IFERROR(INDEX(Vendor_Master_Golden!$K$2:$K$208,MATCH(F398,Vendor_Master_Golden!$A$2:$A$208,0)),"-")</f>
        <v>Active</v>
      </c>
      <c r="I398" s="2" t="str">
        <f t="shared" si="18"/>
        <v>OK</v>
      </c>
      <c r="J398" s="2">
        <f>COUNTIFS($B$2:B398,B398,$A$2:A398,A398,$D$2:D398,D398)</f>
        <v>1</v>
      </c>
      <c r="K398" s="2">
        <f>COUNTIFS($F$2:F398,F398,$A$2:A398,A398,$D$2:D398,D398)</f>
        <v>1</v>
      </c>
      <c r="L398" s="2" t="str">
        <f t="shared" si="19"/>
        <v>Unique</v>
      </c>
      <c r="M398" s="2" t="str">
        <f t="shared" si="20"/>
        <v>No</v>
      </c>
    </row>
    <row r="399" spans="1:13" x14ac:dyDescent="0.35">
      <c r="A399" s="2" t="s">
        <v>2870</v>
      </c>
      <c r="B399" s="2" t="s">
        <v>1569</v>
      </c>
      <c r="C399" s="2" t="s">
        <v>2868</v>
      </c>
      <c r="D399" s="16">
        <v>58300</v>
      </c>
      <c r="E399" s="2" t="s">
        <v>2316</v>
      </c>
      <c r="F399" s="2" t="str">
        <f>IFERROR(INDEX(Vendor_ID_Map!$B$2:$B$229,MATCH(B399,Vendor_ID_Map!$A$2:$A$229,0)),"UNMAPPED")</f>
        <v>V1054</v>
      </c>
      <c r="G399" s="2" t="str">
        <f>IFERROR(INDEX(Vendor_Master_Golden!$B$2:$B$208,MATCH(F399,Vendor_Master_Golden!$A$2:$A$208,0)),"-")</f>
        <v>Quantum Stationers Pvt Ltd</v>
      </c>
      <c r="H399" s="2" t="str">
        <f>IFERROR(INDEX(Vendor_Master_Golden!$K$2:$K$208,MATCH(F399,Vendor_Master_Golden!$A$2:$A$208,0)),"-")</f>
        <v>Inactive</v>
      </c>
      <c r="I399" s="2" t="str">
        <f t="shared" si="18"/>
        <v>Inactive Vendor</v>
      </c>
      <c r="J399" s="2">
        <f>COUNTIFS($B$2:B399,B399,$A$2:A399,A399,$D$2:D399,D399)</f>
        <v>1</v>
      </c>
      <c r="K399" s="2">
        <f>COUNTIFS($F$2:F399,F399,$A$2:A399,A399,$D$2:D399,D399)</f>
        <v>1</v>
      </c>
      <c r="L399" s="2" t="str">
        <f t="shared" si="19"/>
        <v>Unique</v>
      </c>
      <c r="M399" s="2" t="str">
        <f t="shared" si="20"/>
        <v>No</v>
      </c>
    </row>
    <row r="400" spans="1:13" x14ac:dyDescent="0.35">
      <c r="A400" s="2" t="s">
        <v>2871</v>
      </c>
      <c r="B400" s="2" t="s">
        <v>1828</v>
      </c>
      <c r="C400" s="2" t="s">
        <v>2868</v>
      </c>
      <c r="D400" s="16">
        <v>161600</v>
      </c>
      <c r="E400" s="2" t="s">
        <v>2314</v>
      </c>
      <c r="F400" s="2" t="str">
        <f>IFERROR(INDEX(Vendor_ID_Map!$B$2:$B$229,MATCH(B400,Vendor_ID_Map!$A$2:$A$229,0)),"UNMAPPED")</f>
        <v>V1121</v>
      </c>
      <c r="G400" s="2" t="str">
        <f>IFERROR(INDEX(Vendor_Master_Golden!$B$2:$B$208,MATCH(F400,Vendor_Master_Golden!$A$2:$A$208,0)),"-")</f>
        <v>Vertex Engineering Works Pvt Ltd</v>
      </c>
      <c r="H400" s="2" t="str">
        <f>IFERROR(INDEX(Vendor_Master_Golden!$K$2:$K$208,MATCH(F400,Vendor_Master_Golden!$A$2:$A$208,0)),"-")</f>
        <v>Active</v>
      </c>
      <c r="I400" s="2" t="str">
        <f t="shared" si="18"/>
        <v>OK</v>
      </c>
      <c r="J400" s="2">
        <f>COUNTIFS($B$2:B400,B400,$A$2:A400,A400,$D$2:D400,D400)</f>
        <v>1</v>
      </c>
      <c r="K400" s="2">
        <f>COUNTIFS($F$2:F400,F400,$A$2:A400,A400,$D$2:D400,D400)</f>
        <v>1</v>
      </c>
      <c r="L400" s="2" t="str">
        <f t="shared" si="19"/>
        <v>Unique</v>
      </c>
      <c r="M400" s="2" t="str">
        <f t="shared" si="20"/>
        <v>No</v>
      </c>
    </row>
    <row r="401" spans="1:13" x14ac:dyDescent="0.35">
      <c r="A401" s="2" t="s">
        <v>2872</v>
      </c>
      <c r="B401" s="2" t="s">
        <v>1612</v>
      </c>
      <c r="C401" s="2" t="s">
        <v>2873</v>
      </c>
      <c r="D401" s="16">
        <v>57900</v>
      </c>
      <c r="E401" s="2" t="s">
        <v>2316</v>
      </c>
      <c r="F401" s="2" t="str">
        <f>IFERROR(INDEX(Vendor_ID_Map!$B$2:$B$229,MATCH(B401,Vendor_ID_Map!$A$2:$A$229,0)),"UNMAPPED")</f>
        <v>V1228</v>
      </c>
      <c r="G401" s="2" t="str">
        <f>IFERROR(INDEX(Vendor_Master_Golden!$B$2:$B$208,MATCH(F401,Vendor_Master_Golden!$A$2:$A$208,0)),"-")</f>
        <v>Falcon Staioners Private Limited</v>
      </c>
      <c r="H401" s="2" t="str">
        <f>IFERROR(INDEX(Vendor_Master_Golden!$K$2:$K$208,MATCH(F401,Vendor_Master_Golden!$A$2:$A$208,0)),"-")</f>
        <v>Inactive</v>
      </c>
      <c r="I401" s="2" t="str">
        <f t="shared" si="18"/>
        <v>Inactive Vendor</v>
      </c>
      <c r="J401" s="2">
        <f>COUNTIFS($B$2:B401,B401,$A$2:A401,A401,$D$2:D401,D401)</f>
        <v>1</v>
      </c>
      <c r="K401" s="2">
        <f>COUNTIFS($F$2:F401,F401,$A$2:A401,A401,$D$2:D401,D401)</f>
        <v>1</v>
      </c>
      <c r="L401" s="2" t="str">
        <f t="shared" si="19"/>
        <v>Unique</v>
      </c>
      <c r="M401" s="2" t="str">
        <f t="shared" si="20"/>
        <v>No</v>
      </c>
    </row>
    <row r="402" spans="1:13" x14ac:dyDescent="0.35">
      <c r="A402" s="2" t="s">
        <v>2874</v>
      </c>
      <c r="B402" s="2" t="s">
        <v>186</v>
      </c>
      <c r="C402" s="2" t="s">
        <v>2875</v>
      </c>
      <c r="D402" s="16">
        <v>94900</v>
      </c>
      <c r="E402" s="2" t="s">
        <v>2316</v>
      </c>
      <c r="F402" s="2" t="str">
        <f>IFERROR(INDEX(Vendor_ID_Map!$B$2:$B$229,MATCH(B402,Vendor_ID_Map!$A$2:$A$229,0)),"UNMAPPED")</f>
        <v>V1186</v>
      </c>
      <c r="G402" s="2" t="str">
        <f>IFERROR(INDEX(Vendor_Master_Golden!$B$2:$B$208,MATCH(F402,Vendor_Master_Golden!$A$2:$A$208,0)),"-")</f>
        <v>Titan Stationers Private Limited</v>
      </c>
      <c r="H402" s="2" t="str">
        <f>IFERROR(INDEX(Vendor_Master_Golden!$K$2:$K$208,MATCH(F402,Vendor_Master_Golden!$A$2:$A$208,0)),"-")</f>
        <v>Active</v>
      </c>
      <c r="I402" s="2" t="str">
        <f t="shared" si="18"/>
        <v>OK</v>
      </c>
      <c r="J402" s="2">
        <f>COUNTIFS($B$2:B402,B402,$A$2:A402,A402,$D$2:D402,D402)</f>
        <v>1</v>
      </c>
      <c r="K402" s="2">
        <f>COUNTIFS($F$2:F402,F402,$A$2:A402,A402,$D$2:D402,D402)</f>
        <v>1</v>
      </c>
      <c r="L402" s="2" t="str">
        <f t="shared" si="19"/>
        <v>Unique</v>
      </c>
      <c r="M402" s="2" t="str">
        <f t="shared" si="20"/>
        <v>No</v>
      </c>
    </row>
    <row r="403" spans="1:13" x14ac:dyDescent="0.35">
      <c r="A403" s="2" t="s">
        <v>2876</v>
      </c>
      <c r="B403" s="2" t="s">
        <v>440</v>
      </c>
      <c r="C403" s="2" t="s">
        <v>2875</v>
      </c>
      <c r="D403" s="16">
        <v>142700</v>
      </c>
      <c r="E403" s="2" t="s">
        <v>2314</v>
      </c>
      <c r="F403" s="2" t="str">
        <f>IFERROR(INDEX(Vendor_ID_Map!$B$2:$B$229,MATCH(B403,Vendor_ID_Map!$A$2:$A$229,0)),"UNMAPPED")</f>
        <v>V1006</v>
      </c>
      <c r="G403" s="2" t="str">
        <f>IFERROR(INDEX(Vendor_Master_Golden!$B$2:$B$208,MATCH(F403,Vendor_Master_Golden!$A$2:$A$208,0)),"-")</f>
        <v>Ironbridge Landscaping Limited</v>
      </c>
      <c r="H403" s="2" t="str">
        <f>IFERROR(INDEX(Vendor_Master_Golden!$K$2:$K$208,MATCH(F403,Vendor_Master_Golden!$A$2:$A$208,0)),"-")</f>
        <v>Inactive</v>
      </c>
      <c r="I403" s="2" t="str">
        <f t="shared" si="18"/>
        <v>Inactive Vendor</v>
      </c>
      <c r="J403" s="2">
        <f>COUNTIFS($B$2:B403,B403,$A$2:A403,A403,$D$2:D403,D403)</f>
        <v>1</v>
      </c>
      <c r="K403" s="2">
        <f>COUNTIFS($F$2:F403,F403,$A$2:A403,A403,$D$2:D403,D403)</f>
        <v>1</v>
      </c>
      <c r="L403" s="2" t="str">
        <f t="shared" si="19"/>
        <v>Unique</v>
      </c>
      <c r="M403" s="2" t="str">
        <f t="shared" si="20"/>
        <v>No</v>
      </c>
    </row>
    <row r="404" spans="1:13" x14ac:dyDescent="0.35">
      <c r="A404" s="2" t="s">
        <v>2877</v>
      </c>
      <c r="B404" s="2" t="s">
        <v>633</v>
      </c>
      <c r="C404" s="2" t="s">
        <v>2878</v>
      </c>
      <c r="D404" s="16">
        <v>29600</v>
      </c>
      <c r="E404" s="2" t="s">
        <v>2314</v>
      </c>
      <c r="F404" s="2" t="str">
        <f>IFERROR(INDEX(Vendor_ID_Map!$B$2:$B$229,MATCH(B404,Vendor_ID_Map!$A$2:$A$229,0)),"UNMAPPED")</f>
        <v>V1112</v>
      </c>
      <c r="G404" s="2" t="str">
        <f>IFERROR(INDEX(Vendor_Master_Golden!$B$2:$B$208,MATCH(F404,Vendor_Master_Golden!$A$2:$A$208,0)),"-")</f>
        <v>Falcon Housekeeping Limited</v>
      </c>
      <c r="H404" s="2" t="str">
        <f>IFERROR(INDEX(Vendor_Master_Golden!$K$2:$K$208,MATCH(F404,Vendor_Master_Golden!$A$2:$A$208,0)),"-")</f>
        <v>Active</v>
      </c>
      <c r="I404" s="2" t="str">
        <f t="shared" si="18"/>
        <v>OK</v>
      </c>
      <c r="J404" s="2">
        <f>COUNTIFS($B$2:B404,B404,$A$2:A404,A404,$D$2:D404,D404)</f>
        <v>1</v>
      </c>
      <c r="K404" s="2">
        <f>COUNTIFS($F$2:F404,F404,$A$2:A404,A404,$D$2:D404,D404)</f>
        <v>1</v>
      </c>
      <c r="L404" s="2" t="str">
        <f t="shared" si="19"/>
        <v>Unique</v>
      </c>
      <c r="M404" s="2" t="str">
        <f t="shared" si="20"/>
        <v>No</v>
      </c>
    </row>
    <row r="405" spans="1:13" x14ac:dyDescent="0.35">
      <c r="A405" s="2" t="s">
        <v>2879</v>
      </c>
      <c r="B405" s="2" t="s">
        <v>272</v>
      </c>
      <c r="C405" s="2" t="s">
        <v>2878</v>
      </c>
      <c r="D405" s="16">
        <v>31000</v>
      </c>
      <c r="E405" s="2" t="s">
        <v>2314</v>
      </c>
      <c r="F405" s="2" t="str">
        <f>IFERROR(INDEX(Vendor_ID_Map!$B$2:$B$229,MATCH(B405,Vendor_ID_Map!$A$2:$A$229,0)),"UNMAPPED")</f>
        <v>V1161</v>
      </c>
      <c r="G405" s="2" t="str">
        <f>IFERROR(INDEX(Vendor_Master_Golden!$B$2:$B$208,MATCH(F405,Vendor_Master_Golden!$A$2:$A$208,0)),"-")</f>
        <v>Falcon Pest Control Limited</v>
      </c>
      <c r="H405" s="2" t="str">
        <f>IFERROR(INDEX(Vendor_Master_Golden!$K$2:$K$208,MATCH(F405,Vendor_Master_Golden!$A$2:$A$208,0)),"-")</f>
        <v>Active</v>
      </c>
      <c r="I405" s="2" t="str">
        <f t="shared" si="18"/>
        <v>OK</v>
      </c>
      <c r="J405" s="2">
        <f>COUNTIFS($B$2:B405,B405,$A$2:A405,A405,$D$2:D405,D405)</f>
        <v>1</v>
      </c>
      <c r="K405" s="2">
        <f>COUNTIFS($F$2:F405,F405,$A$2:A405,A405,$D$2:D405,D405)</f>
        <v>1</v>
      </c>
      <c r="L405" s="2" t="str">
        <f t="shared" si="19"/>
        <v>Unique</v>
      </c>
      <c r="M405" s="2" t="str">
        <f t="shared" si="20"/>
        <v>No</v>
      </c>
    </row>
    <row r="406" spans="1:13" x14ac:dyDescent="0.35">
      <c r="A406" s="2" t="s">
        <v>2880</v>
      </c>
      <c r="B406" s="2" t="s">
        <v>1273</v>
      </c>
      <c r="C406" s="2" t="s">
        <v>2878</v>
      </c>
      <c r="D406" s="16">
        <v>115800</v>
      </c>
      <c r="E406" s="2" t="s">
        <v>2314</v>
      </c>
      <c r="F406" s="2" t="str">
        <f>IFERROR(INDEX(Vendor_ID_Map!$B$2:$B$229,MATCH(B406,Vendor_ID_Map!$A$2:$A$229,0)),"UNMAPPED")</f>
        <v>V1049</v>
      </c>
      <c r="G406" s="2" t="str">
        <f>IFERROR(INDEX(Vendor_Master_Golden!$B$2:$B$208,MATCH(F406,Vendor_Master_Golden!$A$2:$A$208,0)),"-")</f>
        <v>Nova Electricals LLP</v>
      </c>
      <c r="H406" s="2" t="str">
        <f>IFERROR(INDEX(Vendor_Master_Golden!$K$2:$K$208,MATCH(F406,Vendor_Master_Golden!$A$2:$A$208,0)),"-")</f>
        <v>Active</v>
      </c>
      <c r="I406" s="2" t="str">
        <f t="shared" si="18"/>
        <v>OK</v>
      </c>
      <c r="J406" s="2">
        <f>COUNTIFS($B$2:B406,B406,$A$2:A406,A406,$D$2:D406,D406)</f>
        <v>1</v>
      </c>
      <c r="K406" s="2">
        <f>COUNTIFS($F$2:F406,F406,$A$2:A406,A406,$D$2:D406,D406)</f>
        <v>1</v>
      </c>
      <c r="L406" s="2" t="str">
        <f t="shared" si="19"/>
        <v>Unique</v>
      </c>
      <c r="M406" s="2" t="str">
        <f t="shared" si="20"/>
        <v>No</v>
      </c>
    </row>
    <row r="407" spans="1:13" x14ac:dyDescent="0.35">
      <c r="A407" s="2" t="s">
        <v>2881</v>
      </c>
      <c r="B407" s="2" t="s">
        <v>1524</v>
      </c>
      <c r="C407" s="2" t="s">
        <v>2882</v>
      </c>
      <c r="D407" s="16">
        <v>61600</v>
      </c>
      <c r="E407" s="2" t="s">
        <v>2316</v>
      </c>
      <c r="F407" s="2" t="str">
        <f>IFERROR(INDEX(Vendor_ID_Map!$B$2:$B$229,MATCH(B407,Vendor_ID_Map!$A$2:$A$229,0)),"UNMAPPED")</f>
        <v>V1164</v>
      </c>
      <c r="G407" s="2" t="str">
        <f>IFERROR(INDEX(Vendor_Master_Golden!$B$2:$B$208,MATCH(F407,Vendor_Master_Golden!$A$2:$A$208,0)),"-")</f>
        <v>Redwood Pest Control Pvt Ltd</v>
      </c>
      <c r="H407" s="2" t="str">
        <f>IFERROR(INDEX(Vendor_Master_Golden!$K$2:$K$208,MATCH(F407,Vendor_Master_Golden!$A$2:$A$208,0)),"-")</f>
        <v>Active</v>
      </c>
      <c r="I407" s="2" t="str">
        <f t="shared" si="18"/>
        <v>OK</v>
      </c>
      <c r="J407" s="2">
        <f>COUNTIFS($B$2:B407,B407,$A$2:A407,A407,$D$2:D407,D407)</f>
        <v>1</v>
      </c>
      <c r="K407" s="2">
        <f>COUNTIFS($F$2:F407,F407,$A$2:A407,A407,$D$2:D407,D407)</f>
        <v>1</v>
      </c>
      <c r="L407" s="2" t="str">
        <f t="shared" si="19"/>
        <v>Unique</v>
      </c>
      <c r="M407" s="2" t="str">
        <f t="shared" si="20"/>
        <v>No</v>
      </c>
    </row>
    <row r="408" spans="1:13" x14ac:dyDescent="0.35">
      <c r="A408" s="2" t="s">
        <v>2883</v>
      </c>
      <c r="B408" s="2" t="s">
        <v>1837</v>
      </c>
      <c r="C408" s="2" t="s">
        <v>2882</v>
      </c>
      <c r="D408" s="16">
        <v>192100</v>
      </c>
      <c r="E408" s="2" t="s">
        <v>2314</v>
      </c>
      <c r="F408" s="2" t="str">
        <f>IFERROR(INDEX(Vendor_ID_Map!$B$2:$B$229,MATCH(B408,Vendor_ID_Map!$A$2:$A$229,0)),"UNMAPPED")</f>
        <v>V1064</v>
      </c>
      <c r="G408" s="2" t="str">
        <f>IFERROR(INDEX(Vendor_Master_Golden!$B$2:$B$208,MATCH(F408,Vendor_Master_Golden!$A$2:$A$208,0)),"-")</f>
        <v>Vertex Electricals Private Limited</v>
      </c>
      <c r="H408" s="2" t="str">
        <f>IFERROR(INDEX(Vendor_Master_Golden!$K$2:$K$208,MATCH(F408,Vendor_Master_Golden!$A$2:$A$208,0)),"-")</f>
        <v>Active</v>
      </c>
      <c r="I408" s="2" t="str">
        <f t="shared" si="18"/>
        <v>OK</v>
      </c>
      <c r="J408" s="2">
        <f>COUNTIFS($B$2:B408,B408,$A$2:A408,A408,$D$2:D408,D408)</f>
        <v>1</v>
      </c>
      <c r="K408" s="2">
        <f>COUNTIFS($F$2:F408,F408,$A$2:A408,A408,$D$2:D408,D408)</f>
        <v>1</v>
      </c>
      <c r="L408" s="2" t="str">
        <f t="shared" si="19"/>
        <v>Unique</v>
      </c>
      <c r="M408" s="2" t="str">
        <f t="shared" si="20"/>
        <v>No</v>
      </c>
    </row>
    <row r="409" spans="1:13" x14ac:dyDescent="0.35">
      <c r="A409" s="2" t="s">
        <v>2884</v>
      </c>
      <c r="B409" s="2" t="s">
        <v>1956</v>
      </c>
      <c r="C409" s="2" t="s">
        <v>2882</v>
      </c>
      <c r="D409" s="16">
        <v>136700</v>
      </c>
      <c r="E409" s="2" t="s">
        <v>2316</v>
      </c>
      <c r="F409" s="2" t="str">
        <f>IFERROR(INDEX(Vendor_ID_Map!$B$2:$B$229,MATCH(B409,Vendor_ID_Map!$A$2:$A$229,0)),"UNMAPPED")</f>
        <v>V1122</v>
      </c>
      <c r="G409" s="2" t="str">
        <f>IFERROR(INDEX(Vendor_Master_Golden!$B$2:$B$208,MATCH(F409,Vendor_Master_Golden!$A$2:$A$208,0)),"-")</f>
        <v>Orchid Power Systems Limited</v>
      </c>
      <c r="H409" s="2" t="str">
        <f>IFERROR(INDEX(Vendor_Master_Golden!$K$2:$K$208,MATCH(F409,Vendor_Master_Golden!$A$2:$A$208,0)),"-")</f>
        <v>Inactive</v>
      </c>
      <c r="I409" s="2" t="str">
        <f t="shared" si="18"/>
        <v>Inactive Vendor</v>
      </c>
      <c r="J409" s="2">
        <f>COUNTIFS($B$2:B409,B409,$A$2:A409,A409,$D$2:D409,D409)</f>
        <v>1</v>
      </c>
      <c r="K409" s="2">
        <f>COUNTIFS($F$2:F409,F409,$A$2:A409,A409,$D$2:D409,D409)</f>
        <v>1</v>
      </c>
      <c r="L409" s="2" t="str">
        <f t="shared" si="19"/>
        <v>Unique</v>
      </c>
      <c r="M409" s="2" t="str">
        <f t="shared" si="20"/>
        <v>No</v>
      </c>
    </row>
    <row r="410" spans="1:13" x14ac:dyDescent="0.35">
      <c r="A410" s="2" t="s">
        <v>2885</v>
      </c>
      <c r="B410" s="2" t="s">
        <v>176</v>
      </c>
      <c r="C410" s="2" t="s">
        <v>2886</v>
      </c>
      <c r="D410" s="16">
        <v>94000</v>
      </c>
      <c r="E410" s="2" t="s">
        <v>2314</v>
      </c>
      <c r="F410" s="2" t="str">
        <f>IFERROR(INDEX(Vendor_ID_Map!$B$2:$B$229,MATCH(B410,Vendor_ID_Map!$A$2:$A$229,0)),"UNMAPPED")</f>
        <v>V1180</v>
      </c>
      <c r="G410" s="2" t="str">
        <f>IFERROR(INDEX(Vendor_Master_Golden!$B$2:$B$208,MATCH(F410,Vendor_Master_Golden!$A$2:$A$208,0)),"-")</f>
        <v>Bluewave Water Solutions Limited</v>
      </c>
      <c r="H410" s="2" t="str">
        <f>IFERROR(INDEX(Vendor_Master_Golden!$K$2:$K$208,MATCH(F410,Vendor_Master_Golden!$A$2:$A$208,0)),"-")</f>
        <v>Active</v>
      </c>
      <c r="I410" s="2" t="str">
        <f t="shared" si="18"/>
        <v>OK</v>
      </c>
      <c r="J410" s="2">
        <f>COUNTIFS($B$2:B410,B410,$A$2:A410,A410,$D$2:D410,D410)</f>
        <v>1</v>
      </c>
      <c r="K410" s="2">
        <f>COUNTIFS($F$2:F410,F410,$A$2:A410,A410,$D$2:D410,D410)</f>
        <v>1</v>
      </c>
      <c r="L410" s="2" t="str">
        <f t="shared" si="19"/>
        <v>Unique</v>
      </c>
      <c r="M410" s="2" t="str">
        <f t="shared" si="20"/>
        <v>No</v>
      </c>
    </row>
    <row r="411" spans="1:13" x14ac:dyDescent="0.35">
      <c r="A411" s="2" t="s">
        <v>2887</v>
      </c>
      <c r="B411" s="2" t="s">
        <v>847</v>
      </c>
      <c r="C411" s="2" t="s">
        <v>2886</v>
      </c>
      <c r="D411" s="16">
        <v>280400</v>
      </c>
      <c r="E411" s="2" t="s">
        <v>2314</v>
      </c>
      <c r="F411" s="2" t="str">
        <f>IFERROR(INDEX(Vendor_ID_Map!$B$2:$B$229,MATCH(B411,Vendor_ID_Map!$A$2:$A$229,0)),"UNMAPPED")</f>
        <v>V1068</v>
      </c>
      <c r="G411" s="2" t="str">
        <f>IFERROR(INDEX(Vendor_Master_Golden!$B$2:$B$208,MATCH(F411,Vendor_Master_Golden!$A$2:$A$208,0)),"-")</f>
        <v>Aaryan Security Solutions Limited</v>
      </c>
      <c r="H411" s="2" t="str">
        <f>IFERROR(INDEX(Vendor_Master_Golden!$K$2:$K$208,MATCH(F411,Vendor_Master_Golden!$A$2:$A$208,0)),"-")</f>
        <v>Active</v>
      </c>
      <c r="I411" s="2" t="str">
        <f t="shared" si="18"/>
        <v>OK</v>
      </c>
      <c r="J411" s="2">
        <f>COUNTIFS($B$2:B411,B411,$A$2:A411,A411,$D$2:D411,D411)</f>
        <v>1</v>
      </c>
      <c r="K411" s="2">
        <f>COUNTIFS($F$2:F411,F411,$A$2:A411,A411,$D$2:D411,D411)</f>
        <v>1</v>
      </c>
      <c r="L411" s="2" t="str">
        <f t="shared" si="19"/>
        <v>Unique</v>
      </c>
      <c r="M411" s="2" t="str">
        <f t="shared" si="20"/>
        <v>No</v>
      </c>
    </row>
    <row r="412" spans="1:13" x14ac:dyDescent="0.35">
      <c r="A412" s="2" t="s">
        <v>2888</v>
      </c>
      <c r="B412" s="2" t="s">
        <v>1145</v>
      </c>
      <c r="C412" s="2" t="s">
        <v>2889</v>
      </c>
      <c r="D412" s="16">
        <v>54600</v>
      </c>
      <c r="E412" s="2" t="s">
        <v>2316</v>
      </c>
      <c r="F412" s="2" t="str">
        <f>IFERROR(INDEX(Vendor_ID_Map!$B$2:$B$229,MATCH(B412,Vendor_ID_Map!$A$2:$A$229,0)),"UNMAPPED")</f>
        <v>V1096</v>
      </c>
      <c r="G412" s="2" t="str">
        <f>IFERROR(INDEX(Vendor_Master_Golden!$B$2:$B$208,MATCH(F412,Vendor_Master_Golden!$A$2:$A$208,0)),"-")</f>
        <v>Deccan Maintenance Private Limited</v>
      </c>
      <c r="H412" s="2" t="str">
        <f>IFERROR(INDEX(Vendor_Master_Golden!$K$2:$K$208,MATCH(F412,Vendor_Master_Golden!$A$2:$A$208,0)),"-")</f>
        <v>Active</v>
      </c>
      <c r="I412" s="2" t="str">
        <f t="shared" si="18"/>
        <v>OK</v>
      </c>
      <c r="J412" s="2">
        <f>COUNTIFS($B$2:B412,B412,$A$2:A412,A412,$D$2:D412,D412)</f>
        <v>1</v>
      </c>
      <c r="K412" s="2">
        <f>COUNTIFS($F$2:F412,F412,$A$2:A412,A412,$D$2:D412,D412)</f>
        <v>1</v>
      </c>
      <c r="L412" s="2" t="str">
        <f t="shared" si="19"/>
        <v>Unique</v>
      </c>
      <c r="M412" s="2" t="str">
        <f t="shared" si="20"/>
        <v>No</v>
      </c>
    </row>
    <row r="413" spans="1:13" x14ac:dyDescent="0.35">
      <c r="A413" s="2" t="s">
        <v>2890</v>
      </c>
      <c r="B413" s="2" t="s">
        <v>186</v>
      </c>
      <c r="C413" s="2" t="s">
        <v>2891</v>
      </c>
      <c r="D413" s="16">
        <v>66700</v>
      </c>
      <c r="E413" s="2" t="s">
        <v>2316</v>
      </c>
      <c r="F413" s="2" t="str">
        <f>IFERROR(INDEX(Vendor_ID_Map!$B$2:$B$229,MATCH(B413,Vendor_ID_Map!$A$2:$A$229,0)),"UNMAPPED")</f>
        <v>V1186</v>
      </c>
      <c r="G413" s="2" t="str">
        <f>IFERROR(INDEX(Vendor_Master_Golden!$B$2:$B$208,MATCH(F413,Vendor_Master_Golden!$A$2:$A$208,0)),"-")</f>
        <v>Titan Stationers Private Limited</v>
      </c>
      <c r="H413" s="2" t="str">
        <f>IFERROR(INDEX(Vendor_Master_Golden!$K$2:$K$208,MATCH(F413,Vendor_Master_Golden!$A$2:$A$208,0)),"-")</f>
        <v>Active</v>
      </c>
      <c r="I413" s="2" t="str">
        <f t="shared" si="18"/>
        <v>OK</v>
      </c>
      <c r="J413" s="2">
        <f>COUNTIFS($B$2:B413,B413,$A$2:A413,A413,$D$2:D413,D413)</f>
        <v>1</v>
      </c>
      <c r="K413" s="2">
        <f>COUNTIFS($F$2:F413,F413,$A$2:A413,A413,$D$2:D413,D413)</f>
        <v>1</v>
      </c>
      <c r="L413" s="2" t="str">
        <f t="shared" si="19"/>
        <v>Unique</v>
      </c>
      <c r="M413" s="2" t="str">
        <f t="shared" si="20"/>
        <v>No</v>
      </c>
    </row>
    <row r="414" spans="1:13" x14ac:dyDescent="0.35">
      <c r="A414" s="2" t="s">
        <v>2888</v>
      </c>
      <c r="B414" s="2" t="s">
        <v>484</v>
      </c>
      <c r="C414" s="2" t="s">
        <v>2891</v>
      </c>
      <c r="D414" s="16">
        <v>54600</v>
      </c>
      <c r="E414" s="2" t="s">
        <v>2314</v>
      </c>
      <c r="F414" s="2" t="str">
        <f>IFERROR(INDEX(Vendor_ID_Map!$B$2:$B$229,MATCH(B414,Vendor_ID_Map!$A$2:$A$229,0)),"UNMAPPED")</f>
        <v>V1096</v>
      </c>
      <c r="G414" s="2" t="str">
        <f>IFERROR(INDEX(Vendor_Master_Golden!$B$2:$B$208,MATCH(F414,Vendor_Master_Golden!$A$2:$A$208,0)),"-")</f>
        <v>Deccan Maintenance Private Limited</v>
      </c>
      <c r="H414" s="2" t="str">
        <f>IFERROR(INDEX(Vendor_Master_Golden!$K$2:$K$208,MATCH(F414,Vendor_Master_Golden!$A$2:$A$208,0)),"-")</f>
        <v>Active</v>
      </c>
      <c r="I414" s="2" t="str">
        <f t="shared" si="18"/>
        <v>OK</v>
      </c>
      <c r="J414" s="2">
        <f>COUNTIFS($B$2:B414,B414,$A$2:A414,A414,$D$2:D414,D414)</f>
        <v>1</v>
      </c>
      <c r="K414" s="2">
        <f>COUNTIFS($F$2:F414,F414,$A$2:A414,A414,$D$2:D414,D414)</f>
        <v>2</v>
      </c>
      <c r="L414" s="2" t="str">
        <f t="shared" si="19"/>
        <v>Duplicate</v>
      </c>
      <c r="M414" s="2" t="str">
        <f t="shared" si="20"/>
        <v>Yes</v>
      </c>
    </row>
    <row r="415" spans="1:13" x14ac:dyDescent="0.35">
      <c r="A415" s="2" t="s">
        <v>2892</v>
      </c>
      <c r="B415" s="2" t="s">
        <v>1912</v>
      </c>
      <c r="C415" s="2" t="s">
        <v>2893</v>
      </c>
      <c r="D415" s="16">
        <v>123800</v>
      </c>
      <c r="E415" s="2" t="s">
        <v>2314</v>
      </c>
      <c r="F415" s="2" t="str">
        <f>IFERROR(INDEX(Vendor_ID_Map!$B$2:$B$229,MATCH(B415,Vendor_ID_Map!$A$2:$A$229,0)),"UNMAPPED")</f>
        <v>V1044</v>
      </c>
      <c r="G415" s="2" t="str">
        <f>IFERROR(INDEX(Vendor_Master_Golden!$B$2:$B$208,MATCH(F415,Vendor_Master_Golden!$A$2:$A$208,0)),"-")</f>
        <v>Metro Engineering Works LLP</v>
      </c>
      <c r="H415" s="2" t="str">
        <f>IFERROR(INDEX(Vendor_Master_Golden!$K$2:$K$208,MATCH(F415,Vendor_Master_Golden!$A$2:$A$208,0)),"-")</f>
        <v>Active</v>
      </c>
      <c r="I415" s="2" t="str">
        <f t="shared" si="18"/>
        <v>OK</v>
      </c>
      <c r="J415" s="2">
        <f>COUNTIFS($B$2:B415,B415,$A$2:A415,A415,$D$2:D415,D415)</f>
        <v>1</v>
      </c>
      <c r="K415" s="2">
        <f>COUNTIFS($F$2:F415,F415,$A$2:A415,A415,$D$2:D415,D415)</f>
        <v>1</v>
      </c>
      <c r="L415" s="2" t="str">
        <f t="shared" si="19"/>
        <v>Unique</v>
      </c>
      <c r="M415" s="2" t="str">
        <f t="shared" si="20"/>
        <v>No</v>
      </c>
    </row>
    <row r="416" spans="1:13" x14ac:dyDescent="0.35">
      <c r="A416" s="2" t="s">
        <v>2894</v>
      </c>
      <c r="B416" s="2" t="s">
        <v>1940</v>
      </c>
      <c r="C416" s="2" t="s">
        <v>2895</v>
      </c>
      <c r="D416" s="16">
        <v>94200</v>
      </c>
      <c r="E416" s="2" t="s">
        <v>2314</v>
      </c>
      <c r="F416" s="2" t="str">
        <f>IFERROR(INDEX(Vendor_ID_Map!$B$2:$B$229,MATCH(B416,Vendor_ID_Map!$A$2:$A$229,0)),"UNMAPPED")</f>
        <v>V1086</v>
      </c>
      <c r="G416" s="2" t="str">
        <f>IFERROR(INDEX(Vendor_Master_Golden!$B$2:$B$208,MATCH(F416,Vendor_Master_Golden!$A$2:$A$208,0)),"-")</f>
        <v>Western Housekeeping Private Limited</v>
      </c>
      <c r="H416" s="2" t="str">
        <f>IFERROR(INDEX(Vendor_Master_Golden!$K$2:$K$208,MATCH(F416,Vendor_Master_Golden!$A$2:$A$208,0)),"-")</f>
        <v>Active</v>
      </c>
      <c r="I416" s="2" t="str">
        <f t="shared" si="18"/>
        <v>OK</v>
      </c>
      <c r="J416" s="2">
        <f>COUNTIFS($B$2:B416,B416,$A$2:A416,A416,$D$2:D416,D416)</f>
        <v>1</v>
      </c>
      <c r="K416" s="2">
        <f>COUNTIFS($F$2:F416,F416,$A$2:A416,A416,$D$2:D416,D416)</f>
        <v>1</v>
      </c>
      <c r="L416" s="2" t="str">
        <f t="shared" si="19"/>
        <v>Unique</v>
      </c>
      <c r="M416" s="2" t="str">
        <f t="shared" si="20"/>
        <v>No</v>
      </c>
    </row>
    <row r="417" spans="1:13" x14ac:dyDescent="0.35">
      <c r="A417" s="2" t="s">
        <v>2896</v>
      </c>
      <c r="B417" s="2" t="s">
        <v>1431</v>
      </c>
      <c r="C417" s="2" t="s">
        <v>2897</v>
      </c>
      <c r="D417" s="16">
        <v>75500</v>
      </c>
      <c r="E417" s="2" t="s">
        <v>2316</v>
      </c>
      <c r="F417" s="2" t="str">
        <f>IFERROR(INDEX(Vendor_ID_Map!$B$2:$B$229,MATCH(B417,Vendor_ID_Map!$A$2:$A$229,0)),"UNMAPPED")</f>
        <v>V1111</v>
      </c>
      <c r="G417" s="2" t="str">
        <f>IFERROR(INDEX(Vendor_Master_Golden!$B$2:$B$208,MATCH(F417,Vendor_Master_Golden!$A$2:$A$208,0)),"-")</f>
        <v>Quantum Maintenance LLP</v>
      </c>
      <c r="H417" s="2" t="str">
        <f>IFERROR(INDEX(Vendor_Master_Golden!$K$2:$K$208,MATCH(F417,Vendor_Master_Golden!$A$2:$A$208,0)),"-")</f>
        <v>Active</v>
      </c>
      <c r="I417" s="2" t="str">
        <f t="shared" si="18"/>
        <v>OK</v>
      </c>
      <c r="J417" s="2">
        <f>COUNTIFS($B$2:B417,B417,$A$2:A417,A417,$D$2:D417,D417)</f>
        <v>1</v>
      </c>
      <c r="K417" s="2">
        <f>COUNTIFS($F$2:F417,F417,$A$2:A417,A417,$D$2:D417,D417)</f>
        <v>1</v>
      </c>
      <c r="L417" s="2" t="str">
        <f t="shared" si="19"/>
        <v>Unique</v>
      </c>
      <c r="M417" s="2" t="str">
        <f t="shared" si="20"/>
        <v>No</v>
      </c>
    </row>
    <row r="418" spans="1:13" x14ac:dyDescent="0.35">
      <c r="A418" s="2" t="s">
        <v>2898</v>
      </c>
      <c r="B418" s="2" t="s">
        <v>272</v>
      </c>
      <c r="C418" s="2" t="s">
        <v>2899</v>
      </c>
      <c r="D418" s="16">
        <v>91300</v>
      </c>
      <c r="E418" s="2" t="s">
        <v>2314</v>
      </c>
      <c r="F418" s="2" t="str">
        <f>IFERROR(INDEX(Vendor_ID_Map!$B$2:$B$229,MATCH(B418,Vendor_ID_Map!$A$2:$A$229,0)),"UNMAPPED")</f>
        <v>V1161</v>
      </c>
      <c r="G418" s="2" t="str">
        <f>IFERROR(INDEX(Vendor_Master_Golden!$B$2:$B$208,MATCH(F418,Vendor_Master_Golden!$A$2:$A$208,0)),"-")</f>
        <v>Falcon Pest Control Limited</v>
      </c>
      <c r="H418" s="2" t="str">
        <f>IFERROR(INDEX(Vendor_Master_Golden!$K$2:$K$208,MATCH(F418,Vendor_Master_Golden!$A$2:$A$208,0)),"-")</f>
        <v>Active</v>
      </c>
      <c r="I418" s="2" t="str">
        <f t="shared" si="18"/>
        <v>OK</v>
      </c>
      <c r="J418" s="2">
        <f>COUNTIFS($B$2:B418,B418,$A$2:A418,A418,$D$2:D418,D418)</f>
        <v>1</v>
      </c>
      <c r="K418" s="2">
        <f>COUNTIFS($F$2:F418,F418,$A$2:A418,A418,$D$2:D418,D418)</f>
        <v>1</v>
      </c>
      <c r="L418" s="2" t="str">
        <f t="shared" si="19"/>
        <v>Unique</v>
      </c>
      <c r="M418" s="2" t="str">
        <f t="shared" si="20"/>
        <v>No</v>
      </c>
    </row>
    <row r="419" spans="1:13" x14ac:dyDescent="0.35">
      <c r="A419" s="2" t="s">
        <v>2900</v>
      </c>
      <c r="B419" s="2" t="s">
        <v>1625</v>
      </c>
      <c r="C419" s="2" t="s">
        <v>2899</v>
      </c>
      <c r="D419" s="16">
        <v>27700</v>
      </c>
      <c r="E419" s="2" t="s">
        <v>2314</v>
      </c>
      <c r="F419" s="2" t="str">
        <f>IFERROR(INDEX(Vendor_ID_Map!$B$2:$B$229,MATCH(B419,Vendor_ID_Map!$A$2:$A$229,0)),"UNMAPPED")</f>
        <v>V1094</v>
      </c>
      <c r="G419" s="2" t="str">
        <f>IFERROR(INDEX(Vendor_Master_Golden!$B$2:$B$208,MATCH(F419,Vendor_Master_Golden!$A$2:$A$208,0)),"-")</f>
        <v>Jupiter Pest Control Limited</v>
      </c>
      <c r="H419" s="2" t="str">
        <f>IFERROR(INDEX(Vendor_Master_Golden!$K$2:$K$208,MATCH(F419,Vendor_Master_Golden!$A$2:$A$208,0)),"-")</f>
        <v>Active</v>
      </c>
      <c r="I419" s="2" t="str">
        <f t="shared" si="18"/>
        <v>OK</v>
      </c>
      <c r="J419" s="2">
        <f>COUNTIFS($B$2:B419,B419,$A$2:A419,A419,$D$2:D419,D419)</f>
        <v>1</v>
      </c>
      <c r="K419" s="2">
        <f>COUNTIFS($F$2:F419,F419,$A$2:A419,A419,$D$2:D419,D419)</f>
        <v>1</v>
      </c>
      <c r="L419" s="2" t="str">
        <f t="shared" si="19"/>
        <v>Unique</v>
      </c>
      <c r="M419" s="2" t="str">
        <f t="shared" si="20"/>
        <v>No</v>
      </c>
    </row>
    <row r="420" spans="1:13" x14ac:dyDescent="0.35">
      <c r="A420" s="2" t="s">
        <v>2901</v>
      </c>
      <c r="B420" s="2" t="s">
        <v>1974</v>
      </c>
      <c r="C420" s="2" t="s">
        <v>2899</v>
      </c>
      <c r="D420" s="16">
        <v>24600</v>
      </c>
      <c r="E420" s="2" t="s">
        <v>2316</v>
      </c>
      <c r="F420" s="2" t="str">
        <f>IFERROR(INDEX(Vendor_ID_Map!$B$2:$B$229,MATCH(B420,Vendor_ID_Map!$A$2:$A$229,0)),"UNMAPPED")</f>
        <v>V1004</v>
      </c>
      <c r="G420" s="2" t="str">
        <f>IFERROR(INDEX(Vendor_Master_Golden!$B$2:$B$208,MATCH(F420,Vendor_Master_Golden!$A$2:$A$208,0)),"-")</f>
        <v>Deccan Electricals Private Limited</v>
      </c>
      <c r="H420" s="2" t="str">
        <f>IFERROR(INDEX(Vendor_Master_Golden!$K$2:$K$208,MATCH(F420,Vendor_Master_Golden!$A$2:$A$208,0)),"-")</f>
        <v>Active</v>
      </c>
      <c r="I420" s="2" t="str">
        <f t="shared" si="18"/>
        <v>OK</v>
      </c>
      <c r="J420" s="2">
        <f>COUNTIFS($B$2:B420,B420,$A$2:A420,A420,$D$2:D420,D420)</f>
        <v>1</v>
      </c>
      <c r="K420" s="2">
        <f>COUNTIFS($F$2:F420,F420,$A$2:A420,A420,$D$2:D420,D420)</f>
        <v>1</v>
      </c>
      <c r="L420" s="2" t="str">
        <f t="shared" si="19"/>
        <v>Unique</v>
      </c>
      <c r="M420" s="2" t="str">
        <f t="shared" si="20"/>
        <v>No</v>
      </c>
    </row>
    <row r="421" spans="1:13" x14ac:dyDescent="0.35">
      <c r="A421" s="2" t="s">
        <v>2902</v>
      </c>
      <c r="B421" s="2" t="s">
        <v>1227</v>
      </c>
      <c r="C421" s="2" t="s">
        <v>2903</v>
      </c>
      <c r="D421" s="16">
        <v>14100</v>
      </c>
      <c r="E421" s="2" t="s">
        <v>2314</v>
      </c>
      <c r="F421" s="2" t="str">
        <f>IFERROR(INDEX(Vendor_ID_Map!$B$2:$B$229,MATCH(B421,Vendor_ID_Map!$A$2:$A$229,0)),"UNMAPPED")</f>
        <v>V1117</v>
      </c>
      <c r="G421" s="2" t="str">
        <f>IFERROR(INDEX(Vendor_Master_Golden!$B$2:$B$208,MATCH(F421,Vendor_Master_Golden!$A$2:$A$208,0)),"-")</f>
        <v>Titan IT Services Private Limited</v>
      </c>
      <c r="H421" s="2" t="str">
        <f>IFERROR(INDEX(Vendor_Master_Golden!$K$2:$K$208,MATCH(F421,Vendor_Master_Golden!$A$2:$A$208,0)),"-")</f>
        <v>Active</v>
      </c>
      <c r="I421" s="2" t="str">
        <f t="shared" si="18"/>
        <v>OK</v>
      </c>
      <c r="J421" s="2">
        <f>COUNTIFS($B$2:B421,B421,$A$2:A421,A421,$D$2:D421,D421)</f>
        <v>1</v>
      </c>
      <c r="K421" s="2">
        <f>COUNTIFS($F$2:F421,F421,$A$2:A421,A421,$D$2:D421,D421)</f>
        <v>1</v>
      </c>
      <c r="L421" s="2" t="str">
        <f t="shared" si="19"/>
        <v>Unique</v>
      </c>
      <c r="M421" s="2" t="str">
        <f t="shared" si="20"/>
        <v>No</v>
      </c>
    </row>
    <row r="422" spans="1:13" x14ac:dyDescent="0.35">
      <c r="A422" s="2" t="s">
        <v>2904</v>
      </c>
      <c r="B422" s="2" t="s">
        <v>1533</v>
      </c>
      <c r="C422" s="2" t="s">
        <v>2903</v>
      </c>
      <c r="D422" s="16">
        <v>24200</v>
      </c>
      <c r="E422" s="2" t="s">
        <v>2314</v>
      </c>
      <c r="F422" s="2" t="str">
        <f>IFERROR(INDEX(Vendor_ID_Map!$B$2:$B$229,MATCH(B422,Vendor_ID_Map!$A$2:$A$229,0)),"UNMAPPED")</f>
        <v>V1176</v>
      </c>
      <c r="G422" s="2" t="str">
        <f>IFERROR(INDEX(Vendor_Master_Golden!$B$2:$B$208,MATCH(F422,Vendor_Master_Golden!$A$2:$A$208,0)),"-")</f>
        <v>Redwood Landscaping Private Limited</v>
      </c>
      <c r="H422" s="2" t="str">
        <f>IFERROR(INDEX(Vendor_Master_Golden!$K$2:$K$208,MATCH(F422,Vendor_Master_Golden!$A$2:$A$208,0)),"-")</f>
        <v>Active</v>
      </c>
      <c r="I422" s="2" t="str">
        <f t="shared" si="18"/>
        <v>OK</v>
      </c>
      <c r="J422" s="2">
        <f>COUNTIFS($B$2:B422,B422,$A$2:A422,A422,$D$2:D422,D422)</f>
        <v>1</v>
      </c>
      <c r="K422" s="2">
        <f>COUNTIFS($F$2:F422,F422,$A$2:A422,A422,$D$2:D422,D422)</f>
        <v>1</v>
      </c>
      <c r="L422" s="2" t="str">
        <f t="shared" si="19"/>
        <v>Unique</v>
      </c>
      <c r="M422" s="2" t="str">
        <f t="shared" si="20"/>
        <v>No</v>
      </c>
    </row>
    <row r="423" spans="1:13" x14ac:dyDescent="0.35">
      <c r="A423" s="2" t="s">
        <v>2905</v>
      </c>
      <c r="B423" s="2" t="s">
        <v>245</v>
      </c>
      <c r="C423" s="2" t="s">
        <v>2903</v>
      </c>
      <c r="D423" s="16">
        <v>45800</v>
      </c>
      <c r="E423" s="2" t="s">
        <v>2316</v>
      </c>
      <c r="F423" s="2" t="str">
        <f>IFERROR(INDEX(Vendor_ID_Map!$B$2:$B$229,MATCH(B423,Vendor_ID_Map!$A$2:$A$229,0)),"UNMAPPED")</f>
        <v>V1073</v>
      </c>
      <c r="G423" s="2" t="str">
        <f>IFERROR(INDEX(Vendor_Master_Golden!$B$2:$B$208,MATCH(F423,Vendor_Master_Golden!$A$2:$A$208,0)),"-")</f>
        <v>Delta IT Services Limited</v>
      </c>
      <c r="H423" s="2" t="str">
        <f>IFERROR(INDEX(Vendor_Master_Golden!$K$2:$K$208,MATCH(F423,Vendor_Master_Golden!$A$2:$A$208,0)),"-")</f>
        <v>Active</v>
      </c>
      <c r="I423" s="2" t="str">
        <f t="shared" si="18"/>
        <v>OK</v>
      </c>
      <c r="J423" s="2">
        <f>COUNTIFS($B$2:B423,B423,$A$2:A423,A423,$D$2:D423,D423)</f>
        <v>1</v>
      </c>
      <c r="K423" s="2">
        <f>COUNTIFS($F$2:F423,F423,$A$2:A423,A423,$D$2:D423,D423)</f>
        <v>1</v>
      </c>
      <c r="L423" s="2" t="str">
        <f t="shared" si="19"/>
        <v>Unique</v>
      </c>
      <c r="M423" s="2" t="str">
        <f t="shared" si="20"/>
        <v>No</v>
      </c>
    </row>
    <row r="424" spans="1:13" x14ac:dyDescent="0.35">
      <c r="A424" s="2" t="s">
        <v>2906</v>
      </c>
      <c r="B424" s="2" t="s">
        <v>1182</v>
      </c>
      <c r="C424" s="2" t="s">
        <v>2903</v>
      </c>
      <c r="D424" s="16">
        <v>80800</v>
      </c>
      <c r="E424" s="2" t="s">
        <v>2314</v>
      </c>
      <c r="F424" s="2" t="str">
        <f>IFERROR(INDEX(Vendor_ID_Map!$B$2:$B$229,MATCH(B424,Vendor_ID_Map!$A$2:$A$229,0)),"UNMAPPED")</f>
        <v>V1119</v>
      </c>
      <c r="G424" s="2" t="str">
        <f>IFERROR(INDEX(Vendor_Master_Golden!$B$2:$B$208,MATCH(F424,Vendor_Master_Golden!$A$2:$A$208,0)),"-")</f>
        <v>Vertex Logistics Private Limited</v>
      </c>
      <c r="H424" s="2" t="str">
        <f>IFERROR(INDEX(Vendor_Master_Golden!$K$2:$K$208,MATCH(F424,Vendor_Master_Golden!$A$2:$A$208,0)),"-")</f>
        <v>Active</v>
      </c>
      <c r="I424" s="2" t="str">
        <f t="shared" si="18"/>
        <v>OK</v>
      </c>
      <c r="J424" s="2">
        <f>COUNTIFS($B$2:B424,B424,$A$2:A424,A424,$D$2:D424,D424)</f>
        <v>1</v>
      </c>
      <c r="K424" s="2">
        <f>COUNTIFS($F$2:F424,F424,$A$2:A424,A424,$D$2:D424,D424)</f>
        <v>1</v>
      </c>
      <c r="L424" s="2" t="str">
        <f t="shared" si="19"/>
        <v>Unique</v>
      </c>
      <c r="M424" s="2" t="str">
        <f t="shared" si="20"/>
        <v>No</v>
      </c>
    </row>
    <row r="425" spans="1:13" x14ac:dyDescent="0.35">
      <c r="A425" s="2" t="s">
        <v>2907</v>
      </c>
      <c r="B425" s="2" t="s">
        <v>1219</v>
      </c>
      <c r="C425" s="2" t="s">
        <v>2908</v>
      </c>
      <c r="D425" s="16">
        <v>69100</v>
      </c>
      <c r="E425" s="2" t="s">
        <v>2314</v>
      </c>
      <c r="F425" s="2" t="str">
        <f>IFERROR(INDEX(Vendor_ID_Map!$B$2:$B$229,MATCH(B425,Vendor_ID_Map!$A$2:$A$229,0)),"UNMAPPED")</f>
        <v>V1089</v>
      </c>
      <c r="G425" s="2" t="str">
        <f>IFERROR(INDEX(Vendor_Master_Golden!$B$2:$B$208,MATCH(F425,Vendor_Master_Golden!$A$2:$A$208,0)),"-")</f>
        <v>Titan Water Solutions Limited</v>
      </c>
      <c r="H425" s="2" t="str">
        <f>IFERROR(INDEX(Vendor_Master_Golden!$K$2:$K$208,MATCH(F425,Vendor_Master_Golden!$A$2:$A$208,0)),"-")</f>
        <v>Active</v>
      </c>
      <c r="I425" s="2" t="str">
        <f t="shared" si="18"/>
        <v>OK</v>
      </c>
      <c r="J425" s="2">
        <f>COUNTIFS($B$2:B425,B425,$A$2:A425,A425,$D$2:D425,D425)</f>
        <v>1</v>
      </c>
      <c r="K425" s="2">
        <f>COUNTIFS($F$2:F425,F425,$A$2:A425,A425,$D$2:D425,D425)</f>
        <v>1</v>
      </c>
      <c r="L425" s="2" t="str">
        <f t="shared" si="19"/>
        <v>Unique</v>
      </c>
      <c r="M425" s="2" t="str">
        <f t="shared" si="20"/>
        <v>No</v>
      </c>
    </row>
    <row r="426" spans="1:13" x14ac:dyDescent="0.35">
      <c r="A426" s="2" t="s">
        <v>2909</v>
      </c>
      <c r="B426" s="2" t="s">
        <v>1422</v>
      </c>
      <c r="C426" s="2" t="s">
        <v>2910</v>
      </c>
      <c r="D426" s="16">
        <v>183800</v>
      </c>
      <c r="E426" s="2" t="s">
        <v>2314</v>
      </c>
      <c r="F426" s="2" t="str">
        <f>IFERROR(INDEX(Vendor_ID_Map!$B$2:$B$229,MATCH(B426,Vendor_ID_Map!$A$2:$A$229,0)),"UNMAPPED")</f>
        <v>V1093</v>
      </c>
      <c r="G426" s="2" t="str">
        <f>IFERROR(INDEX(Vendor_Master_Golden!$B$2:$B$208,MATCH(F426,Vendor_Master_Golden!$A$2:$A$208,0)),"-")</f>
        <v>Ganga Housekeeping Private Limited</v>
      </c>
      <c r="H426" s="2" t="str">
        <f>IFERROR(INDEX(Vendor_Master_Golden!$K$2:$K$208,MATCH(F426,Vendor_Master_Golden!$A$2:$A$208,0)),"-")</f>
        <v>Active</v>
      </c>
      <c r="I426" s="2" t="str">
        <f t="shared" si="18"/>
        <v>OK</v>
      </c>
      <c r="J426" s="2">
        <f>COUNTIFS($B$2:B426,B426,$A$2:A426,A426,$D$2:D426,D426)</f>
        <v>1</v>
      </c>
      <c r="K426" s="2">
        <f>COUNTIFS($F$2:F426,F426,$A$2:A426,A426,$D$2:D426,D426)</f>
        <v>1</v>
      </c>
      <c r="L426" s="2" t="str">
        <f t="shared" si="19"/>
        <v>Unique</v>
      </c>
      <c r="M426" s="2" t="str">
        <f t="shared" si="20"/>
        <v>No</v>
      </c>
    </row>
    <row r="427" spans="1:13" x14ac:dyDescent="0.35">
      <c r="A427" s="2" t="s">
        <v>2911</v>
      </c>
      <c r="B427" s="2" t="s">
        <v>361</v>
      </c>
      <c r="C427" s="2" t="s">
        <v>2912</v>
      </c>
      <c r="D427" s="16">
        <v>74000</v>
      </c>
      <c r="E427" s="2" t="s">
        <v>2314</v>
      </c>
      <c r="F427" s="2" t="str">
        <f>IFERROR(INDEX(Vendor_ID_Map!$B$2:$B$229,MATCH(B427,Vendor_ID_Map!$A$2:$A$229,0)),"UNMAPPED")</f>
        <v>V1042</v>
      </c>
      <c r="G427" s="2" t="str">
        <f>IFERROR(INDEX(Vendor_Master_Golden!$B$2:$B$208,MATCH(F427,Vendor_Master_Golden!$A$2:$A$208,0)),"-")</f>
        <v>Falcon IT Services Private Limited</v>
      </c>
      <c r="H427" s="2" t="str">
        <f>IFERROR(INDEX(Vendor_Master_Golden!$K$2:$K$208,MATCH(F427,Vendor_Master_Golden!$A$2:$A$208,0)),"-")</f>
        <v>Active</v>
      </c>
      <c r="I427" s="2" t="str">
        <f t="shared" si="18"/>
        <v>OK</v>
      </c>
      <c r="J427" s="2">
        <f>COUNTIFS($B$2:B427,B427,$A$2:A427,A427,$D$2:D427,D427)</f>
        <v>1</v>
      </c>
      <c r="K427" s="2">
        <f>COUNTIFS($F$2:F427,F427,$A$2:A427,A427,$D$2:D427,D427)</f>
        <v>1</v>
      </c>
      <c r="L427" s="2" t="str">
        <f t="shared" si="19"/>
        <v>Unique</v>
      </c>
      <c r="M427" s="2" t="str">
        <f t="shared" si="20"/>
        <v>No</v>
      </c>
    </row>
    <row r="428" spans="1:13" x14ac:dyDescent="0.35">
      <c r="A428" s="2" t="s">
        <v>2913</v>
      </c>
      <c r="B428" s="2" t="s">
        <v>291</v>
      </c>
      <c r="C428" s="2" t="s">
        <v>2912</v>
      </c>
      <c r="D428" s="16">
        <v>127400</v>
      </c>
      <c r="E428" s="2" t="s">
        <v>2316</v>
      </c>
      <c r="F428" s="2" t="str">
        <f>IFERROR(INDEX(Vendor_ID_Map!$B$2:$B$229,MATCH(B428,Vendor_ID_Map!$A$2:$A$229,0)),"UNMAPPED")</f>
        <v>V1104</v>
      </c>
      <c r="G428" s="2" t="str">
        <f>IFERROR(INDEX(Vendor_Master_Golden!$B$2:$B$208,MATCH(F428,Vendor_Master_Golden!$A$2:$A$208,0)),"-")</f>
        <v>Crestline Logistics LLP</v>
      </c>
      <c r="H428" s="2" t="str">
        <f>IFERROR(INDEX(Vendor_Master_Golden!$K$2:$K$208,MATCH(F428,Vendor_Master_Golden!$A$2:$A$208,0)),"-")</f>
        <v>Inactive</v>
      </c>
      <c r="I428" s="2" t="str">
        <f t="shared" si="18"/>
        <v>Inactive Vendor</v>
      </c>
      <c r="J428" s="2">
        <f>COUNTIFS($B$2:B428,B428,$A$2:A428,A428,$D$2:D428,D428)</f>
        <v>1</v>
      </c>
      <c r="K428" s="2">
        <f>COUNTIFS($F$2:F428,F428,$A$2:A428,A428,$D$2:D428,D428)</f>
        <v>1</v>
      </c>
      <c r="L428" s="2" t="str">
        <f t="shared" si="19"/>
        <v>Unique</v>
      </c>
      <c r="M428" s="2" t="str">
        <f t="shared" si="20"/>
        <v>No</v>
      </c>
    </row>
    <row r="429" spans="1:13" x14ac:dyDescent="0.35">
      <c r="A429" s="2" t="s">
        <v>2914</v>
      </c>
      <c r="B429" s="2" t="s">
        <v>1305</v>
      </c>
      <c r="C429" s="2" t="s">
        <v>2915</v>
      </c>
      <c r="D429" s="16">
        <v>90800</v>
      </c>
      <c r="E429" s="2" t="s">
        <v>2316</v>
      </c>
      <c r="F429" s="2" t="str">
        <f>IFERROR(INDEX(Vendor_ID_Map!$B$2:$B$229,MATCH(B429,Vendor_ID_Map!$A$2:$A$229,0)),"UNMAPPED")</f>
        <v>V1101</v>
      </c>
      <c r="G429" s="2" t="str">
        <f>IFERROR(INDEX(Vendor_Master_Golden!$B$2:$B$208,MATCH(F429,Vendor_Master_Golden!$A$2:$A$208,0)),"-")</f>
        <v>Lotus Water Solutions Private Limited</v>
      </c>
      <c r="H429" s="2" t="str">
        <f>IFERROR(INDEX(Vendor_Master_Golden!$K$2:$K$208,MATCH(F429,Vendor_Master_Golden!$A$2:$A$208,0)),"-")</f>
        <v>Active</v>
      </c>
      <c r="I429" s="2" t="str">
        <f t="shared" si="18"/>
        <v>OK</v>
      </c>
      <c r="J429" s="2">
        <f>COUNTIFS($B$2:B429,B429,$A$2:A429,A429,$D$2:D429,D429)</f>
        <v>1</v>
      </c>
      <c r="K429" s="2">
        <f>COUNTIFS($F$2:F429,F429,$A$2:A429,A429,$D$2:D429,D429)</f>
        <v>1</v>
      </c>
      <c r="L429" s="2" t="str">
        <f t="shared" si="19"/>
        <v>Unique</v>
      </c>
      <c r="M429" s="2" t="str">
        <f t="shared" si="20"/>
        <v>No</v>
      </c>
    </row>
    <row r="430" spans="1:13" x14ac:dyDescent="0.35">
      <c r="A430" s="2" t="s">
        <v>2916</v>
      </c>
      <c r="B430" s="2" t="s">
        <v>1853</v>
      </c>
      <c r="C430" s="2" t="s">
        <v>2917</v>
      </c>
      <c r="D430" s="16">
        <v>55500</v>
      </c>
      <c r="E430" s="2" t="s">
        <v>2314</v>
      </c>
      <c r="F430" s="2" t="str">
        <f>IFERROR(INDEX(Vendor_ID_Map!$B$2:$B$229,MATCH(B430,Vendor_ID_Map!$A$2:$A$229,0)),"UNMAPPED")</f>
        <v>V1001</v>
      </c>
      <c r="G430" s="2" t="str">
        <f>IFERROR(INDEX(Vendor_Master_Golden!$B$2:$B$208,MATCH(F430,Vendor_Master_Golden!$A$2:$A$208,0)),"-")</f>
        <v>Zenith Logistics Pvt Ltd</v>
      </c>
      <c r="H430" s="2" t="str">
        <f>IFERROR(INDEX(Vendor_Master_Golden!$K$2:$K$208,MATCH(F430,Vendor_Master_Golden!$A$2:$A$208,0)),"-")</f>
        <v>Active</v>
      </c>
      <c r="I430" s="2" t="str">
        <f t="shared" si="18"/>
        <v>OK</v>
      </c>
      <c r="J430" s="2">
        <f>COUNTIFS($B$2:B430,B430,$A$2:A430,A430,$D$2:D430,D430)</f>
        <v>1</v>
      </c>
      <c r="K430" s="2">
        <f>COUNTIFS($F$2:F430,F430,$A$2:A430,A430,$D$2:D430,D430)</f>
        <v>1</v>
      </c>
      <c r="L430" s="2" t="str">
        <f t="shared" si="19"/>
        <v>Unique</v>
      </c>
      <c r="M430" s="2" t="str">
        <f t="shared" si="20"/>
        <v>No</v>
      </c>
    </row>
    <row r="431" spans="1:13" x14ac:dyDescent="0.35">
      <c r="A431" s="2" t="s">
        <v>2918</v>
      </c>
      <c r="B431" s="2" t="s">
        <v>1666</v>
      </c>
      <c r="C431" s="2" t="s">
        <v>2917</v>
      </c>
      <c r="D431" s="16">
        <v>63200</v>
      </c>
      <c r="E431" s="2" t="s">
        <v>2314</v>
      </c>
      <c r="F431" s="2" t="str">
        <f>IFERROR(INDEX(Vendor_ID_Map!$B$2:$B$229,MATCH(B431,Vendor_ID_Map!$A$2:$A$229,0)),"UNMAPPED")</f>
        <v>V1140</v>
      </c>
      <c r="G431" s="2" t="str">
        <f>IFERROR(INDEX(Vendor_Master_Golden!$B$2:$B$208,MATCH(F431,Vendor_Master_Golden!$A$2:$A$208,0)),"-")</f>
        <v>Apex Logistics LLP</v>
      </c>
      <c r="H431" s="2" t="str">
        <f>IFERROR(INDEX(Vendor_Master_Golden!$K$2:$K$208,MATCH(F431,Vendor_Master_Golden!$A$2:$A$208,0)),"-")</f>
        <v>Active</v>
      </c>
      <c r="I431" s="2" t="str">
        <f t="shared" si="18"/>
        <v>OK</v>
      </c>
      <c r="J431" s="2">
        <f>COUNTIFS($B$2:B431,B431,$A$2:A431,A431,$D$2:D431,D431)</f>
        <v>1</v>
      </c>
      <c r="K431" s="2">
        <f>COUNTIFS($F$2:F431,F431,$A$2:A431,A431,$D$2:D431,D431)</f>
        <v>1</v>
      </c>
      <c r="L431" s="2" t="str">
        <f t="shared" si="19"/>
        <v>Unique</v>
      </c>
      <c r="M431" s="2" t="str">
        <f t="shared" si="20"/>
        <v>No</v>
      </c>
    </row>
    <row r="432" spans="1:13" x14ac:dyDescent="0.35">
      <c r="A432" s="2" t="s">
        <v>2919</v>
      </c>
      <c r="B432" s="2" t="s">
        <v>155</v>
      </c>
      <c r="C432" s="2" t="s">
        <v>2917</v>
      </c>
      <c r="D432" s="16">
        <v>217600</v>
      </c>
      <c r="E432" s="2" t="s">
        <v>2314</v>
      </c>
      <c r="F432" s="2" t="str">
        <f>IFERROR(INDEX(Vendor_ID_Map!$B$2:$B$229,MATCH(B432,Vendor_ID_Map!$A$2:$A$229,0)),"UNMAPPED")</f>
        <v>V1174</v>
      </c>
      <c r="G432" s="2" t="str">
        <f>IFERROR(INDEX(Vendor_Master_Golden!$B$2:$B$208,MATCH(F432,Vendor_Master_Golden!$A$2:$A$208,0)),"-")</f>
        <v>Bluewave Facility Services LLP</v>
      </c>
      <c r="H432" s="2" t="str">
        <f>IFERROR(INDEX(Vendor_Master_Golden!$K$2:$K$208,MATCH(F432,Vendor_Master_Golden!$A$2:$A$208,0)),"-")</f>
        <v>Active</v>
      </c>
      <c r="I432" s="2" t="str">
        <f t="shared" si="18"/>
        <v>OK</v>
      </c>
      <c r="J432" s="2">
        <f>COUNTIFS($B$2:B432,B432,$A$2:A432,A432,$D$2:D432,D432)</f>
        <v>1</v>
      </c>
      <c r="K432" s="2">
        <f>COUNTIFS($F$2:F432,F432,$A$2:A432,A432,$D$2:D432,D432)</f>
        <v>1</v>
      </c>
      <c r="L432" s="2" t="str">
        <f t="shared" si="19"/>
        <v>Unique</v>
      </c>
      <c r="M432" s="2" t="str">
        <f t="shared" si="20"/>
        <v>No</v>
      </c>
    </row>
    <row r="433" spans="1:13" x14ac:dyDescent="0.35">
      <c r="A433" s="2" t="s">
        <v>2920</v>
      </c>
      <c r="B433" s="2" t="s">
        <v>1797</v>
      </c>
      <c r="C433" s="2" t="s">
        <v>2917</v>
      </c>
      <c r="D433" s="16">
        <v>104200</v>
      </c>
      <c r="E433" s="2" t="s">
        <v>2314</v>
      </c>
      <c r="F433" s="2" t="str">
        <f>IFERROR(INDEX(Vendor_ID_Map!$B$2:$B$229,MATCH(B433,Vendor_ID_Map!$A$2:$A$229,0)),"UNMAPPED")</f>
        <v>V1146</v>
      </c>
      <c r="G433" s="2" t="str">
        <f>IFERROR(INDEX(Vendor_Master_Golden!$B$2:$B$208,MATCH(F433,Vendor_Master_Golden!$A$2:$A$208,0)),"-")</f>
        <v>Bharat Maintenance Private Limited</v>
      </c>
      <c r="H433" s="2" t="str">
        <f>IFERROR(INDEX(Vendor_Master_Golden!$K$2:$K$208,MATCH(F433,Vendor_Master_Golden!$A$2:$A$208,0)),"-")</f>
        <v>Active</v>
      </c>
      <c r="I433" s="2" t="str">
        <f t="shared" si="18"/>
        <v>OK</v>
      </c>
      <c r="J433" s="2">
        <f>COUNTIFS($B$2:B433,B433,$A$2:A433,A433,$D$2:D433,D433)</f>
        <v>1</v>
      </c>
      <c r="K433" s="2">
        <f>COUNTIFS($F$2:F433,F433,$A$2:A433,A433,$D$2:D433,D433)</f>
        <v>1</v>
      </c>
      <c r="L433" s="2" t="str">
        <f t="shared" si="19"/>
        <v>Unique</v>
      </c>
      <c r="M433" s="2" t="str">
        <f t="shared" si="20"/>
        <v>No</v>
      </c>
    </row>
    <row r="434" spans="1:13" x14ac:dyDescent="0.35">
      <c r="A434" s="2" t="s">
        <v>2921</v>
      </c>
      <c r="B434" s="2" t="s">
        <v>676</v>
      </c>
      <c r="C434" s="2" t="s">
        <v>2917</v>
      </c>
      <c r="D434" s="16">
        <v>38600</v>
      </c>
      <c r="E434" s="2" t="s">
        <v>2316</v>
      </c>
      <c r="F434" s="2" t="str">
        <f>IFERROR(INDEX(Vendor_ID_Map!$B$2:$B$229,MATCH(B434,Vendor_ID_Map!$A$2:$A$229,0)),"UNMAPPED")</f>
        <v>V1081</v>
      </c>
      <c r="G434" s="2" t="str">
        <f>IFERROR(INDEX(Vendor_Master_Golden!$B$2:$B$208,MATCH(F434,Vendor_Master_Golden!$A$2:$A$208,0)),"-")</f>
        <v>Metro Landscaping Private Limited</v>
      </c>
      <c r="H434" s="2" t="str">
        <f>IFERROR(INDEX(Vendor_Master_Golden!$K$2:$K$208,MATCH(F434,Vendor_Master_Golden!$A$2:$A$208,0)),"-")</f>
        <v>Inactive</v>
      </c>
      <c r="I434" s="2" t="str">
        <f t="shared" si="18"/>
        <v>Inactive Vendor</v>
      </c>
      <c r="J434" s="2">
        <f>COUNTIFS($B$2:B434,B434,$A$2:A434,A434,$D$2:D434,D434)</f>
        <v>1</v>
      </c>
      <c r="K434" s="2">
        <f>COUNTIFS($F$2:F434,F434,$A$2:A434,A434,$D$2:D434,D434)</f>
        <v>1</v>
      </c>
      <c r="L434" s="2" t="str">
        <f t="shared" si="19"/>
        <v>Unique</v>
      </c>
      <c r="M434" s="2" t="str">
        <f t="shared" si="20"/>
        <v>No</v>
      </c>
    </row>
    <row r="435" spans="1:13" x14ac:dyDescent="0.35">
      <c r="A435" s="2" t="s">
        <v>2922</v>
      </c>
      <c r="B435" s="2" t="s">
        <v>1853</v>
      </c>
      <c r="C435" s="2" t="s">
        <v>2923</v>
      </c>
      <c r="D435" s="16">
        <v>99700</v>
      </c>
      <c r="E435" s="2" t="s">
        <v>2314</v>
      </c>
      <c r="F435" s="2" t="str">
        <f>IFERROR(INDEX(Vendor_ID_Map!$B$2:$B$229,MATCH(B435,Vendor_ID_Map!$A$2:$A$229,0)),"UNMAPPED")</f>
        <v>V1001</v>
      </c>
      <c r="G435" s="2" t="str">
        <f>IFERROR(INDEX(Vendor_Master_Golden!$B$2:$B$208,MATCH(F435,Vendor_Master_Golden!$A$2:$A$208,0)),"-")</f>
        <v>Zenith Logistics Pvt Ltd</v>
      </c>
      <c r="H435" s="2" t="str">
        <f>IFERROR(INDEX(Vendor_Master_Golden!$K$2:$K$208,MATCH(F435,Vendor_Master_Golden!$A$2:$A$208,0)),"-")</f>
        <v>Active</v>
      </c>
      <c r="I435" s="2" t="str">
        <f t="shared" si="18"/>
        <v>OK</v>
      </c>
      <c r="J435" s="2">
        <f>COUNTIFS($B$2:B435,B435,$A$2:A435,A435,$D$2:D435,D435)</f>
        <v>1</v>
      </c>
      <c r="K435" s="2">
        <f>COUNTIFS($F$2:F435,F435,$A$2:A435,A435,$D$2:D435,D435)</f>
        <v>1</v>
      </c>
      <c r="L435" s="2" t="str">
        <f t="shared" si="19"/>
        <v>Unique</v>
      </c>
      <c r="M435" s="2" t="str">
        <f t="shared" si="20"/>
        <v>No</v>
      </c>
    </row>
    <row r="436" spans="1:13" x14ac:dyDescent="0.35">
      <c r="A436" s="2" t="s">
        <v>2924</v>
      </c>
      <c r="B436" s="2" t="s">
        <v>1688</v>
      </c>
      <c r="C436" s="2" t="s">
        <v>2923</v>
      </c>
      <c r="D436" s="16">
        <v>132000</v>
      </c>
      <c r="E436" s="2" t="s">
        <v>2314</v>
      </c>
      <c r="F436" s="2" t="str">
        <f>IFERROR(INDEX(Vendor_ID_Map!$B$2:$B$229,MATCH(B436,Vendor_ID_Map!$A$2:$A$229,0)),"UNMAPPED")</f>
        <v>V1116</v>
      </c>
      <c r="G436" s="2" t="str">
        <f>IFERROR(INDEX(Vendor_Master_Golden!$B$2:$B$208,MATCH(F436,Vendor_Master_Golden!$A$2:$A$208,0)),"-")</f>
        <v>Eastern Housekeeping Private Limited</v>
      </c>
      <c r="H436" s="2" t="str">
        <f>IFERROR(INDEX(Vendor_Master_Golden!$K$2:$K$208,MATCH(F436,Vendor_Master_Golden!$A$2:$A$208,0)),"-")</f>
        <v>Active</v>
      </c>
      <c r="I436" s="2" t="str">
        <f t="shared" si="18"/>
        <v>OK</v>
      </c>
      <c r="J436" s="2">
        <f>COUNTIFS($B$2:B436,B436,$A$2:A436,A436,$D$2:D436,D436)</f>
        <v>1</v>
      </c>
      <c r="K436" s="2">
        <f>COUNTIFS($F$2:F436,F436,$A$2:A436,A436,$D$2:D436,D436)</f>
        <v>1</v>
      </c>
      <c r="L436" s="2" t="str">
        <f t="shared" si="19"/>
        <v>Unique</v>
      </c>
      <c r="M436" s="2" t="str">
        <f t="shared" si="20"/>
        <v>No</v>
      </c>
    </row>
    <row r="437" spans="1:13" x14ac:dyDescent="0.35">
      <c r="A437" s="2" t="s">
        <v>2925</v>
      </c>
      <c r="B437" s="2" t="s">
        <v>156</v>
      </c>
      <c r="C437" s="2" t="s">
        <v>2923</v>
      </c>
      <c r="D437" s="16">
        <v>128300</v>
      </c>
      <c r="E437" s="2" t="s">
        <v>2314</v>
      </c>
      <c r="F437" s="2" t="str">
        <f>IFERROR(INDEX(Vendor_ID_Map!$B$2:$B$229,MATCH(B437,Vendor_ID_Map!$A$2:$A$229,0)),"UNMAPPED")</f>
        <v>V1137</v>
      </c>
      <c r="G437" s="2" t="str">
        <f>IFERROR(INDEX(Vendor_Master_Golden!$B$2:$B$208,MATCH(F437,Vendor_Master_Golden!$A$2:$A$208,0)),"-")</f>
        <v>Redwood Electricals Private Limited</v>
      </c>
      <c r="H437" s="2" t="str">
        <f>IFERROR(INDEX(Vendor_Master_Golden!$K$2:$K$208,MATCH(F437,Vendor_Master_Golden!$A$2:$A$208,0)),"-")</f>
        <v>Active</v>
      </c>
      <c r="I437" s="2" t="str">
        <f t="shared" si="18"/>
        <v>OK</v>
      </c>
      <c r="J437" s="2">
        <f>COUNTIFS($B$2:B437,B437,$A$2:A437,A437,$D$2:D437,D437)</f>
        <v>1</v>
      </c>
      <c r="K437" s="2">
        <f>COUNTIFS($F$2:F437,F437,$A$2:A437,A437,$D$2:D437,D437)</f>
        <v>1</v>
      </c>
      <c r="L437" s="2" t="str">
        <f t="shared" si="19"/>
        <v>Unique</v>
      </c>
      <c r="M437" s="2" t="str">
        <f t="shared" si="20"/>
        <v>No</v>
      </c>
    </row>
    <row r="438" spans="1:13" x14ac:dyDescent="0.35">
      <c r="A438" s="2" t="s">
        <v>2926</v>
      </c>
      <c r="B438" s="2" t="s">
        <v>582</v>
      </c>
      <c r="C438" s="2" t="s">
        <v>2923</v>
      </c>
      <c r="D438" s="16">
        <v>28600</v>
      </c>
      <c r="E438" s="2" t="s">
        <v>2316</v>
      </c>
      <c r="F438" s="2" t="str">
        <f>IFERROR(INDEX(Vendor_ID_Map!$B$2:$B$229,MATCH(B438,Vendor_ID_Map!$A$2:$A$229,0)),"UNMAPPED")</f>
        <v>V1027</v>
      </c>
      <c r="G438" s="2" t="str">
        <f>IFERROR(INDEX(Vendor_Master_Golden!$B$2:$B$208,MATCH(F438,Vendor_Master_Golden!$A$2:$A$208,0)),"-")</f>
        <v>Chola Security Solutions LLP</v>
      </c>
      <c r="H438" s="2" t="str">
        <f>IFERROR(INDEX(Vendor_Master_Golden!$K$2:$K$208,MATCH(F438,Vendor_Master_Golden!$A$2:$A$208,0)),"-")</f>
        <v>Active</v>
      </c>
      <c r="I438" s="2" t="str">
        <f t="shared" si="18"/>
        <v>OK</v>
      </c>
      <c r="J438" s="2">
        <f>COUNTIFS($B$2:B438,B438,$A$2:A438,A438,$D$2:D438,D438)</f>
        <v>1</v>
      </c>
      <c r="K438" s="2">
        <f>COUNTIFS($F$2:F438,F438,$A$2:A438,A438,$D$2:D438,D438)</f>
        <v>1</v>
      </c>
      <c r="L438" s="2" t="str">
        <f t="shared" si="19"/>
        <v>Unique</v>
      </c>
      <c r="M438" s="2" t="str">
        <f t="shared" si="20"/>
        <v>No</v>
      </c>
    </row>
    <row r="439" spans="1:13" x14ac:dyDescent="0.35">
      <c r="A439" s="2" t="s">
        <v>2927</v>
      </c>
      <c r="B439" s="2" t="s">
        <v>1355</v>
      </c>
      <c r="C439" s="2" t="s">
        <v>2923</v>
      </c>
      <c r="D439" s="16">
        <v>105600</v>
      </c>
      <c r="E439" s="2" t="s">
        <v>2316</v>
      </c>
      <c r="F439" s="2" t="str">
        <f>IFERROR(INDEX(Vendor_ID_Map!$B$2:$B$229,MATCH(B439,Vendor_ID_Map!$A$2:$A$229,0)),"UNMAPPED")</f>
        <v>V1190</v>
      </c>
      <c r="G439" s="2" t="str">
        <f>IFERROR(INDEX(Vendor_Master_Golden!$B$2:$B$208,MATCH(F439,Vendor_Master_Golden!$A$2:$A$208,0)),"-")</f>
        <v>Metro Facility Services LLP</v>
      </c>
      <c r="H439" s="2" t="str">
        <f>IFERROR(INDEX(Vendor_Master_Golden!$K$2:$K$208,MATCH(F439,Vendor_Master_Golden!$A$2:$A$208,0)),"-")</f>
        <v>Active</v>
      </c>
      <c r="I439" s="2" t="str">
        <f t="shared" si="18"/>
        <v>OK</v>
      </c>
      <c r="J439" s="2">
        <f>COUNTIFS($B$2:B439,B439,$A$2:A439,A439,$D$2:D439,D439)</f>
        <v>1</v>
      </c>
      <c r="K439" s="2">
        <f>COUNTIFS($F$2:F439,F439,$A$2:A439,A439,$D$2:D439,D439)</f>
        <v>1</v>
      </c>
      <c r="L439" s="2" t="str">
        <f t="shared" si="19"/>
        <v>Unique</v>
      </c>
      <c r="M439" s="2" t="str">
        <f t="shared" si="20"/>
        <v>No</v>
      </c>
    </row>
    <row r="440" spans="1:13" x14ac:dyDescent="0.35">
      <c r="A440" s="2" t="s">
        <v>2928</v>
      </c>
      <c r="B440" s="2" t="s">
        <v>224</v>
      </c>
      <c r="C440" s="2" t="s">
        <v>2929</v>
      </c>
      <c r="D440" s="16">
        <v>58000</v>
      </c>
      <c r="E440" s="2" t="s">
        <v>2314</v>
      </c>
      <c r="F440" s="2" t="str">
        <f>IFERROR(INDEX(Vendor_ID_Map!$B$2:$B$229,MATCH(B440,Vendor_ID_Map!$A$2:$A$229,0)),"UNMAPPED")</f>
        <v>V1203</v>
      </c>
      <c r="G440" s="2" t="str">
        <f>IFERROR(INDEX(Vendor_Master_Golden!$B$2:$B$208,MATCH(F440,Vendor_Master_Golden!$A$2:$A$208,0)),"-")</f>
        <v>Western Electricals Pvt Ltd</v>
      </c>
      <c r="H440" s="2" t="str">
        <f>IFERROR(INDEX(Vendor_Master_Golden!$K$2:$K$208,MATCH(F440,Vendor_Master_Golden!$A$2:$A$208,0)),"-")</f>
        <v>Inactive</v>
      </c>
      <c r="I440" s="2" t="str">
        <f t="shared" si="18"/>
        <v>Inactive Vendor</v>
      </c>
      <c r="J440" s="2">
        <f>COUNTIFS($B$2:B440,B440,$A$2:A440,A440,$D$2:D440,D440)</f>
        <v>1</v>
      </c>
      <c r="K440" s="2">
        <f>COUNTIFS($F$2:F440,F440,$A$2:A440,A440,$D$2:D440,D440)</f>
        <v>1</v>
      </c>
      <c r="L440" s="2" t="str">
        <f t="shared" si="19"/>
        <v>Unique</v>
      </c>
      <c r="M440" s="2" t="str">
        <f t="shared" si="20"/>
        <v>No</v>
      </c>
    </row>
    <row r="441" spans="1:13" x14ac:dyDescent="0.35">
      <c r="A441" s="2" t="s">
        <v>2930</v>
      </c>
      <c r="B441" s="2" t="s">
        <v>206</v>
      </c>
      <c r="C441" s="2" t="s">
        <v>2929</v>
      </c>
      <c r="D441" s="16">
        <v>32200</v>
      </c>
      <c r="E441" s="2" t="s">
        <v>2314</v>
      </c>
      <c r="F441" s="2" t="str">
        <f>IFERROR(INDEX(Vendor_ID_Map!$B$2:$B$229,MATCH(B441,Vendor_ID_Map!$A$2:$A$229,0)),"UNMAPPED")</f>
        <v>V1022</v>
      </c>
      <c r="G441" s="2" t="str">
        <f>IFERROR(INDEX(Vendor_Master_Golden!$B$2:$B$208,MATCH(F441,Vendor_Master_Golden!$A$2:$A$208,0)),"-")</f>
        <v>Sunrise Printing Pvt Ltd</v>
      </c>
      <c r="H441" s="2" t="str">
        <f>IFERROR(INDEX(Vendor_Master_Golden!$K$2:$K$208,MATCH(F441,Vendor_Master_Golden!$A$2:$A$208,0)),"-")</f>
        <v>Active</v>
      </c>
      <c r="I441" s="2" t="str">
        <f t="shared" si="18"/>
        <v>OK</v>
      </c>
      <c r="J441" s="2">
        <f>COUNTIFS($B$2:B441,B441,$A$2:A441,A441,$D$2:D441,D441)</f>
        <v>1</v>
      </c>
      <c r="K441" s="2">
        <f>COUNTIFS($F$2:F441,F441,$A$2:A441,A441,$D$2:D441,D441)</f>
        <v>1</v>
      </c>
      <c r="L441" s="2" t="str">
        <f t="shared" si="19"/>
        <v>Unique</v>
      </c>
      <c r="M441" s="2" t="str">
        <f t="shared" si="20"/>
        <v>No</v>
      </c>
    </row>
    <row r="442" spans="1:13" x14ac:dyDescent="0.35">
      <c r="A442" s="2" t="s">
        <v>2931</v>
      </c>
      <c r="B442" s="2" t="s">
        <v>1280</v>
      </c>
      <c r="C442" s="2" t="s">
        <v>2929</v>
      </c>
      <c r="D442" s="16">
        <v>187800</v>
      </c>
      <c r="E442" s="2" t="s">
        <v>2314</v>
      </c>
      <c r="F442" s="2" t="str">
        <f>IFERROR(INDEX(Vendor_ID_Map!$B$2:$B$229,MATCH(B442,Vendor_ID_Map!$A$2:$A$229,0)),"UNMAPPED")</f>
        <v>V1080</v>
      </c>
      <c r="G442" s="2" t="str">
        <f>IFERROR(INDEX(Vendor_Master_Golden!$B$2:$B$208,MATCH(F442,Vendor_Master_Golden!$A$2:$A$208,0)),"-")</f>
        <v>Nova Water Solutions Limited</v>
      </c>
      <c r="H442" s="2" t="str">
        <f>IFERROR(INDEX(Vendor_Master_Golden!$K$2:$K$208,MATCH(F442,Vendor_Master_Golden!$A$2:$A$208,0)),"-")</f>
        <v>Active</v>
      </c>
      <c r="I442" s="2" t="str">
        <f t="shared" si="18"/>
        <v>OK</v>
      </c>
      <c r="J442" s="2">
        <f>COUNTIFS($B$2:B442,B442,$A$2:A442,A442,$D$2:D442,D442)</f>
        <v>1</v>
      </c>
      <c r="K442" s="2">
        <f>COUNTIFS($F$2:F442,F442,$A$2:A442,A442,$D$2:D442,D442)</f>
        <v>1</v>
      </c>
      <c r="L442" s="2" t="str">
        <f t="shared" si="19"/>
        <v>Unique</v>
      </c>
      <c r="M442" s="2" t="str">
        <f t="shared" si="20"/>
        <v>No</v>
      </c>
    </row>
    <row r="443" spans="1:13" x14ac:dyDescent="0.35">
      <c r="A443" s="2" t="s">
        <v>2932</v>
      </c>
      <c r="B443" s="2" t="s">
        <v>1657</v>
      </c>
      <c r="C443" s="2" t="s">
        <v>2929</v>
      </c>
      <c r="D443" s="16">
        <v>58900</v>
      </c>
      <c r="E443" s="2" t="s">
        <v>2316</v>
      </c>
      <c r="F443" s="2" t="str">
        <f>IFERROR(INDEX(Vendor_ID_Map!$B$2:$B$229,MATCH(B443,Vendor_ID_Map!$A$2:$A$229,0)),"UNMAPPED")</f>
        <v>V1066</v>
      </c>
      <c r="G443" s="2" t="str">
        <f>IFERROR(INDEX(Vendor_Master_Golden!$B$2:$B$208,MATCH(F443,Vendor_Master_Golden!$A$2:$A$208,0)),"-")</f>
        <v>Crestline Water Solutions Limited</v>
      </c>
      <c r="H443" s="2" t="str">
        <f>IFERROR(INDEX(Vendor_Master_Golden!$K$2:$K$208,MATCH(F443,Vendor_Master_Golden!$A$2:$A$208,0)),"-")</f>
        <v>Active</v>
      </c>
      <c r="I443" s="2" t="str">
        <f t="shared" si="18"/>
        <v>OK</v>
      </c>
      <c r="J443" s="2">
        <f>COUNTIFS($B$2:B443,B443,$A$2:A443,A443,$D$2:D443,D443)</f>
        <v>1</v>
      </c>
      <c r="K443" s="2">
        <f>COUNTIFS($F$2:F443,F443,$A$2:A443,A443,$D$2:D443,D443)</f>
        <v>1</v>
      </c>
      <c r="L443" s="2" t="str">
        <f t="shared" si="19"/>
        <v>Unique</v>
      </c>
      <c r="M443" s="2" t="str">
        <f t="shared" si="20"/>
        <v>No</v>
      </c>
    </row>
    <row r="444" spans="1:13" x14ac:dyDescent="0.35">
      <c r="A444" s="2" t="s">
        <v>2933</v>
      </c>
      <c r="B444" s="2" t="s">
        <v>1462</v>
      </c>
      <c r="C444" s="2" t="s">
        <v>2934</v>
      </c>
      <c r="D444" s="16">
        <v>33800</v>
      </c>
      <c r="E444" s="2" t="s">
        <v>2314</v>
      </c>
      <c r="F444" s="2" t="str">
        <f>IFERROR(INDEX(Vendor_ID_Map!$B$2:$B$229,MATCH(B444,Vendor_ID_Map!$A$2:$A$229,0)),"UNMAPPED")</f>
        <v>V1128</v>
      </c>
      <c r="G444" s="2" t="str">
        <f>IFERROR(INDEX(Vendor_Master_Golden!$B$2:$B$208,MATCH(F444,Vendor_Master_Golden!$A$2:$A$208,0)),"-")</f>
        <v>Delta Engineering Works Pvt Ltd</v>
      </c>
      <c r="H444" s="2" t="str">
        <f>IFERROR(INDEX(Vendor_Master_Golden!$K$2:$K$208,MATCH(F444,Vendor_Master_Golden!$A$2:$A$208,0)),"-")</f>
        <v>Active</v>
      </c>
      <c r="I444" s="2" t="str">
        <f t="shared" si="18"/>
        <v>OK</v>
      </c>
      <c r="J444" s="2">
        <f>COUNTIFS($B$2:B444,B444,$A$2:A444,A444,$D$2:D444,D444)</f>
        <v>1</v>
      </c>
      <c r="K444" s="2">
        <f>COUNTIFS($F$2:F444,F444,$A$2:A444,A444,$D$2:D444,D444)</f>
        <v>1</v>
      </c>
      <c r="L444" s="2" t="str">
        <f t="shared" si="19"/>
        <v>Unique</v>
      </c>
      <c r="M444" s="2" t="str">
        <f t="shared" si="20"/>
        <v>No</v>
      </c>
    </row>
    <row r="445" spans="1:13" x14ac:dyDescent="0.35">
      <c r="A445" s="2" t="s">
        <v>2935</v>
      </c>
      <c r="B445" s="2" t="s">
        <v>371</v>
      </c>
      <c r="C445" s="2" t="s">
        <v>2934</v>
      </c>
      <c r="D445" s="16">
        <v>97600</v>
      </c>
      <c r="E445" s="2" t="s">
        <v>2314</v>
      </c>
      <c r="F445" s="2" t="str">
        <f>IFERROR(INDEX(Vendor_ID_Map!$B$2:$B$229,MATCH(B445,Vendor_ID_Map!$A$2:$A$229,0)),"UNMAPPED")</f>
        <v>V1031</v>
      </c>
      <c r="G445" s="2" t="str">
        <f>IFERROR(INDEX(Vendor_Master_Golden!$B$2:$B$208,MATCH(F445,Vendor_Master_Golden!$A$2:$A$208,0)),"-")</f>
        <v>Pinnacle Engineering Works Private Limited</v>
      </c>
      <c r="H445" s="2" t="str">
        <f>IFERROR(INDEX(Vendor_Master_Golden!$K$2:$K$208,MATCH(F445,Vendor_Master_Golden!$A$2:$A$208,0)),"-")</f>
        <v>Active</v>
      </c>
      <c r="I445" s="2" t="str">
        <f t="shared" si="18"/>
        <v>OK</v>
      </c>
      <c r="J445" s="2">
        <f>COUNTIFS($B$2:B445,B445,$A$2:A445,A445,$D$2:D445,D445)</f>
        <v>1</v>
      </c>
      <c r="K445" s="2">
        <f>COUNTIFS($F$2:F445,F445,$A$2:A445,A445,$D$2:D445,D445)</f>
        <v>1</v>
      </c>
      <c r="L445" s="2" t="str">
        <f t="shared" si="19"/>
        <v>Unique</v>
      </c>
      <c r="M445" s="2" t="str">
        <f t="shared" si="20"/>
        <v>No</v>
      </c>
    </row>
    <row r="446" spans="1:13" x14ac:dyDescent="0.35">
      <c r="A446" s="2" t="s">
        <v>2936</v>
      </c>
      <c r="B446" s="2" t="s">
        <v>1369</v>
      </c>
      <c r="C446" s="2" t="s">
        <v>2934</v>
      </c>
      <c r="D446" s="16">
        <v>97100</v>
      </c>
      <c r="E446" s="2" t="s">
        <v>2316</v>
      </c>
      <c r="F446" s="2" t="str">
        <f>IFERROR(INDEX(Vendor_ID_Map!$B$2:$B$229,MATCH(B446,Vendor_ID_Map!$A$2:$A$229,0)),"UNMAPPED")</f>
        <v>V1071</v>
      </c>
      <c r="G446" s="2" t="str">
        <f>IFERROR(INDEX(Vendor_Master_Golden!$B$2:$B$208,MATCH(F446,Vendor_Master_Golden!$A$2:$A$208,0)),"-")</f>
        <v>Bharat Pest Control Limited</v>
      </c>
      <c r="H446" s="2" t="str">
        <f>IFERROR(INDEX(Vendor_Master_Golden!$K$2:$K$208,MATCH(F446,Vendor_Master_Golden!$A$2:$A$208,0)),"-")</f>
        <v>Active</v>
      </c>
      <c r="I446" s="2" t="str">
        <f t="shared" si="18"/>
        <v>OK</v>
      </c>
      <c r="J446" s="2">
        <f>COUNTIFS($B$2:B446,B446,$A$2:A446,A446,$D$2:D446,D446)</f>
        <v>1</v>
      </c>
      <c r="K446" s="2">
        <f>COUNTIFS($F$2:F446,F446,$A$2:A446,A446,$D$2:D446,D446)</f>
        <v>1</v>
      </c>
      <c r="L446" s="2" t="str">
        <f t="shared" si="19"/>
        <v>Unique</v>
      </c>
      <c r="M446" s="2" t="str">
        <f t="shared" si="20"/>
        <v>No</v>
      </c>
    </row>
    <row r="447" spans="1:13" x14ac:dyDescent="0.35">
      <c r="A447" s="2" t="s">
        <v>2937</v>
      </c>
      <c r="B447" s="2" t="s">
        <v>939</v>
      </c>
      <c r="C447" s="2" t="s">
        <v>2938</v>
      </c>
      <c r="D447" s="16">
        <v>171000</v>
      </c>
      <c r="E447" s="2" t="s">
        <v>2316</v>
      </c>
      <c r="F447" s="2" t="str">
        <f>IFERROR(INDEX(Vendor_ID_Map!$B$2:$B$229,MATCH(B447,Vendor_ID_Map!$A$2:$A$229,0)),"UNMAPPED")</f>
        <v>V1222</v>
      </c>
      <c r="G447" s="2" t="str">
        <f>IFERROR(INDEX(Vendor_Master_Golden!$B$2:$B$208,MATCH(F447,Vendor_Master_Golden!$A$2:$A$208,0)),"-")</f>
        <v>Metro Engg Works LLP</v>
      </c>
      <c r="H447" s="2" t="str">
        <f>IFERROR(INDEX(Vendor_Master_Golden!$K$2:$K$208,MATCH(F447,Vendor_Master_Golden!$A$2:$A$208,0)),"-")</f>
        <v>Active</v>
      </c>
      <c r="I447" s="2" t="str">
        <f t="shared" si="18"/>
        <v>OK</v>
      </c>
      <c r="J447" s="2">
        <f>COUNTIFS($B$2:B447,B447,$A$2:A447,A447,$D$2:D447,D447)</f>
        <v>1</v>
      </c>
      <c r="K447" s="2">
        <f>COUNTIFS($F$2:F447,F447,$A$2:A447,A447,$D$2:D447,D447)</f>
        <v>1</v>
      </c>
      <c r="L447" s="2" t="str">
        <f t="shared" si="19"/>
        <v>Unique</v>
      </c>
      <c r="M447" s="2" t="str">
        <f t="shared" si="20"/>
        <v>No</v>
      </c>
    </row>
    <row r="448" spans="1:13" x14ac:dyDescent="0.35">
      <c r="A448" s="2" t="s">
        <v>2939</v>
      </c>
      <c r="B448" s="2" t="s">
        <v>1355</v>
      </c>
      <c r="C448" s="2" t="s">
        <v>2938</v>
      </c>
      <c r="D448" s="16">
        <v>122600</v>
      </c>
      <c r="E448" s="2" t="s">
        <v>2314</v>
      </c>
      <c r="F448" s="2" t="str">
        <f>IFERROR(INDEX(Vendor_ID_Map!$B$2:$B$229,MATCH(B448,Vendor_ID_Map!$A$2:$A$229,0)),"UNMAPPED")</f>
        <v>V1190</v>
      </c>
      <c r="G448" s="2" t="str">
        <f>IFERROR(INDEX(Vendor_Master_Golden!$B$2:$B$208,MATCH(F448,Vendor_Master_Golden!$A$2:$A$208,0)),"-")</f>
        <v>Metro Facility Services LLP</v>
      </c>
      <c r="H448" s="2" t="str">
        <f>IFERROR(INDEX(Vendor_Master_Golden!$K$2:$K$208,MATCH(F448,Vendor_Master_Golden!$A$2:$A$208,0)),"-")</f>
        <v>Active</v>
      </c>
      <c r="I448" s="2" t="str">
        <f t="shared" si="18"/>
        <v>OK</v>
      </c>
      <c r="J448" s="2">
        <f>COUNTIFS($B$2:B448,B448,$A$2:A448,A448,$D$2:D448,D448)</f>
        <v>1</v>
      </c>
      <c r="K448" s="2">
        <f>COUNTIFS($F$2:F448,F448,$A$2:A448,A448,$D$2:D448,D448)</f>
        <v>1</v>
      </c>
      <c r="L448" s="2" t="str">
        <f t="shared" si="19"/>
        <v>Unique</v>
      </c>
      <c r="M448" s="2" t="str">
        <f t="shared" si="20"/>
        <v>No</v>
      </c>
    </row>
    <row r="449" spans="1:13" x14ac:dyDescent="0.35">
      <c r="A449" s="2" t="s">
        <v>2940</v>
      </c>
      <c r="B449" s="2" t="s">
        <v>281</v>
      </c>
      <c r="C449" s="2" t="s">
        <v>2941</v>
      </c>
      <c r="D449" s="16">
        <v>48200</v>
      </c>
      <c r="E449" s="2" t="s">
        <v>2314</v>
      </c>
      <c r="F449" s="2" t="str">
        <f>IFERROR(INDEX(Vendor_ID_Map!$B$2:$B$229,MATCH(B449,Vendor_ID_Map!$A$2:$A$229,0)),"UNMAPPED")</f>
        <v>V1010</v>
      </c>
      <c r="G449" s="2" t="str">
        <f>IFERROR(INDEX(Vendor_Master_Golden!$B$2:$B$208,MATCH(F449,Vendor_Master_Golden!$A$2:$A$208,0)),"-")</f>
        <v>Delta Maintenance Limited</v>
      </c>
      <c r="H449" s="2" t="str">
        <f>IFERROR(INDEX(Vendor_Master_Golden!$K$2:$K$208,MATCH(F449,Vendor_Master_Golden!$A$2:$A$208,0)),"-")</f>
        <v>Active</v>
      </c>
      <c r="I449" s="2" t="str">
        <f t="shared" si="18"/>
        <v>OK</v>
      </c>
      <c r="J449" s="2">
        <f>COUNTIFS($B$2:B449,B449,$A$2:A449,A449,$D$2:D449,D449)</f>
        <v>1</v>
      </c>
      <c r="K449" s="2">
        <f>COUNTIFS($F$2:F449,F449,$A$2:A449,A449,$D$2:D449,D449)</f>
        <v>1</v>
      </c>
      <c r="L449" s="2" t="str">
        <f t="shared" si="19"/>
        <v>Unique</v>
      </c>
      <c r="M449" s="2" t="str">
        <f t="shared" si="20"/>
        <v>No</v>
      </c>
    </row>
    <row r="450" spans="1:13" x14ac:dyDescent="0.35">
      <c r="A450" s="2" t="s">
        <v>2942</v>
      </c>
      <c r="B450" s="2" t="s">
        <v>663</v>
      </c>
      <c r="C450" s="2" t="s">
        <v>2941</v>
      </c>
      <c r="D450" s="16">
        <v>54000</v>
      </c>
      <c r="E450" s="2" t="s">
        <v>2314</v>
      </c>
      <c r="F450" s="2" t="str">
        <f>IFERROR(INDEX(Vendor_ID_Map!$B$2:$B$229,MATCH(B450,Vendor_ID_Map!$A$2:$A$229,0)),"UNMAPPED")</f>
        <v>V1165</v>
      </c>
      <c r="G450" s="2" t="str">
        <f>IFERROR(INDEX(Vendor_Master_Golden!$B$2:$B$208,MATCH(F450,Vendor_Master_Golden!$A$2:$A$208,0)),"-")</f>
        <v>Apex IT Services Limited</v>
      </c>
      <c r="H450" s="2" t="str">
        <f>IFERROR(INDEX(Vendor_Master_Golden!$K$2:$K$208,MATCH(F450,Vendor_Master_Golden!$A$2:$A$208,0)),"-")</f>
        <v>Active</v>
      </c>
      <c r="I450" s="2" t="str">
        <f t="shared" ref="I450:I513" si="21">IF(F450="UNMAPPED","Orphan Vendor ID",IF(H450="Inactive","Inactive Vendor","OK"))</f>
        <v>OK</v>
      </c>
      <c r="J450" s="2">
        <f>COUNTIFS($B$2:B450,B450,$A$2:A450,A450,$D$2:D450,D450)</f>
        <v>1</v>
      </c>
      <c r="K450" s="2">
        <f>COUNTIFS($F$2:F450,F450,$A$2:A450,A450,$D$2:D450,D450)</f>
        <v>1</v>
      </c>
      <c r="L450" s="2" t="str">
        <f t="shared" ref="L450:L513" si="22">IF(K450&gt;1,"Duplicate","Unique")</f>
        <v>Unique</v>
      </c>
      <c r="M450" s="2" t="str">
        <f t="shared" ref="M450:M511" si="23">IF(AND(K450&gt;1,J450=1),"Yes","No")</f>
        <v>No</v>
      </c>
    </row>
    <row r="451" spans="1:13" x14ac:dyDescent="0.35">
      <c r="A451" s="2" t="s">
        <v>2936</v>
      </c>
      <c r="B451" s="2" t="s">
        <v>1369</v>
      </c>
      <c r="C451" s="2" t="s">
        <v>2941</v>
      </c>
      <c r="D451" s="16">
        <v>97100</v>
      </c>
      <c r="E451" s="2" t="s">
        <v>2316</v>
      </c>
      <c r="F451" s="2" t="str">
        <f>IFERROR(INDEX(Vendor_ID_Map!$B$2:$B$229,MATCH(B451,Vendor_ID_Map!$A$2:$A$229,0)),"UNMAPPED")</f>
        <v>V1071</v>
      </c>
      <c r="G451" s="2" t="str">
        <f>IFERROR(INDEX(Vendor_Master_Golden!$B$2:$B$208,MATCH(F451,Vendor_Master_Golden!$A$2:$A$208,0)),"-")</f>
        <v>Bharat Pest Control Limited</v>
      </c>
      <c r="H451" s="2" t="str">
        <f>IFERROR(INDEX(Vendor_Master_Golden!$K$2:$K$208,MATCH(F451,Vendor_Master_Golden!$A$2:$A$208,0)),"-")</f>
        <v>Active</v>
      </c>
      <c r="I451" s="2" t="str">
        <f t="shared" si="21"/>
        <v>OK</v>
      </c>
      <c r="J451" s="2">
        <f>COUNTIFS($B$2:B451,B451,$A$2:A451,A451,$D$2:D451,D451)</f>
        <v>2</v>
      </c>
      <c r="K451" s="2">
        <f>COUNTIFS($F$2:F451,F451,$A$2:A451,A451,$D$2:D451,D451)</f>
        <v>2</v>
      </c>
      <c r="L451" s="2" t="str">
        <f t="shared" si="22"/>
        <v>Duplicate</v>
      </c>
      <c r="M451" s="2" t="str">
        <f t="shared" si="23"/>
        <v>No</v>
      </c>
    </row>
    <row r="452" spans="1:13" x14ac:dyDescent="0.35">
      <c r="A452" s="2" t="s">
        <v>2943</v>
      </c>
      <c r="B452" s="2" t="s">
        <v>405</v>
      </c>
      <c r="C452" s="2" t="s">
        <v>2941</v>
      </c>
      <c r="D452" s="16">
        <v>52800</v>
      </c>
      <c r="E452" s="2" t="s">
        <v>2316</v>
      </c>
      <c r="F452" s="2" t="str">
        <f>IFERROR(INDEX(Vendor_ID_Map!$B$2:$B$229,MATCH(B452,Vendor_ID_Map!$A$2:$A$229,0)),"UNMAPPED")</f>
        <v>V1132</v>
      </c>
      <c r="G452" s="2" t="str">
        <f>IFERROR(INDEX(Vendor_Master_Golden!$B$2:$B$208,MATCH(F452,Vendor_Master_Golden!$A$2:$A$208,0)),"-")</f>
        <v>Deccan Logistics Limited</v>
      </c>
      <c r="H452" s="2" t="str">
        <f>IFERROR(INDEX(Vendor_Master_Golden!$K$2:$K$208,MATCH(F452,Vendor_Master_Golden!$A$2:$A$208,0)),"-")</f>
        <v>Active</v>
      </c>
      <c r="I452" s="2" t="str">
        <f t="shared" si="21"/>
        <v>OK</v>
      </c>
      <c r="J452" s="2">
        <f>COUNTIFS($B$2:B452,B452,$A$2:A452,A452,$D$2:D452,D452)</f>
        <v>1</v>
      </c>
      <c r="K452" s="2">
        <f>COUNTIFS($F$2:F452,F452,$A$2:A452,A452,$D$2:D452,D452)</f>
        <v>1</v>
      </c>
      <c r="L452" s="2" t="str">
        <f t="shared" si="22"/>
        <v>Unique</v>
      </c>
      <c r="M452" s="2" t="str">
        <f t="shared" si="23"/>
        <v>No</v>
      </c>
    </row>
    <row r="453" spans="1:13" x14ac:dyDescent="0.35">
      <c r="A453" s="2" t="s">
        <v>2937</v>
      </c>
      <c r="B453" s="2" t="s">
        <v>1912</v>
      </c>
      <c r="C453" s="2" t="s">
        <v>2944</v>
      </c>
      <c r="D453" s="16">
        <v>171000</v>
      </c>
      <c r="E453" s="2" t="s">
        <v>2314</v>
      </c>
      <c r="F453" s="2" t="str">
        <f>IFERROR(INDEX(Vendor_ID_Map!$B$2:$B$229,MATCH(B453,Vendor_ID_Map!$A$2:$A$229,0)),"UNMAPPED")</f>
        <v>V1044</v>
      </c>
      <c r="G453" s="2" t="str">
        <f>IFERROR(INDEX(Vendor_Master_Golden!$B$2:$B$208,MATCH(F453,Vendor_Master_Golden!$A$2:$A$208,0)),"-")</f>
        <v>Metro Engineering Works LLP</v>
      </c>
      <c r="H453" s="2" t="str">
        <f>IFERROR(INDEX(Vendor_Master_Golden!$K$2:$K$208,MATCH(F453,Vendor_Master_Golden!$A$2:$A$208,0)),"-")</f>
        <v>Active</v>
      </c>
      <c r="I453" s="2" t="str">
        <f t="shared" si="21"/>
        <v>OK</v>
      </c>
      <c r="J453" s="2">
        <f>COUNTIFS($B$2:B453,B453,$A$2:A453,A453,$D$2:D453,D453)</f>
        <v>1</v>
      </c>
      <c r="K453" s="2">
        <f>COUNTIFS($F$2:F453,F453,$A$2:A453,A453,$D$2:D453,D453)</f>
        <v>1</v>
      </c>
      <c r="L453" s="2" t="str">
        <f t="shared" si="22"/>
        <v>Unique</v>
      </c>
      <c r="M453" s="2" t="str">
        <f t="shared" si="23"/>
        <v>No</v>
      </c>
    </row>
    <row r="454" spans="1:13" x14ac:dyDescent="0.35">
      <c r="A454" s="2" t="s">
        <v>2945</v>
      </c>
      <c r="B454" s="2" t="s">
        <v>518</v>
      </c>
      <c r="C454" s="2" t="s">
        <v>2944</v>
      </c>
      <c r="D454" s="16">
        <v>120200</v>
      </c>
      <c r="E454" s="2" t="s">
        <v>2316</v>
      </c>
      <c r="F454" s="2" t="str">
        <f>IFERROR(INDEX(Vendor_ID_Map!$B$2:$B$229,MATCH(B454,Vendor_ID_Map!$A$2:$A$229,0)),"UNMAPPED")</f>
        <v>V1145</v>
      </c>
      <c r="G454" s="2" t="str">
        <f>IFERROR(INDEX(Vendor_Master_Golden!$B$2:$B$208,MATCH(F454,Vendor_Master_Golden!$A$2:$A$208,0)),"-")</f>
        <v>Ganga Pest Control Limited</v>
      </c>
      <c r="H454" s="2" t="str">
        <f>IFERROR(INDEX(Vendor_Master_Golden!$K$2:$K$208,MATCH(F454,Vendor_Master_Golden!$A$2:$A$208,0)),"-")</f>
        <v>Active</v>
      </c>
      <c r="I454" s="2" t="str">
        <f t="shared" si="21"/>
        <v>OK</v>
      </c>
      <c r="J454" s="2">
        <f>COUNTIFS($B$2:B454,B454,$A$2:A454,A454,$D$2:D454,D454)</f>
        <v>1</v>
      </c>
      <c r="K454" s="2">
        <f>COUNTIFS($F$2:F454,F454,$A$2:A454,A454,$D$2:D454,D454)</f>
        <v>1</v>
      </c>
      <c r="L454" s="2" t="str">
        <f t="shared" si="22"/>
        <v>Unique</v>
      </c>
      <c r="M454" s="2" t="str">
        <f t="shared" si="23"/>
        <v>No</v>
      </c>
    </row>
    <row r="455" spans="1:13" x14ac:dyDescent="0.35">
      <c r="A455" s="2" t="s">
        <v>2946</v>
      </c>
      <c r="B455" s="2" t="s">
        <v>1440</v>
      </c>
      <c r="C455" s="2" t="s">
        <v>2944</v>
      </c>
      <c r="D455" s="16">
        <v>44800</v>
      </c>
      <c r="E455" s="2" t="s">
        <v>2314</v>
      </c>
      <c r="F455" s="2" t="str">
        <f>IFERROR(INDEX(Vendor_ID_Map!$B$2:$B$229,MATCH(B455,Vendor_ID_Map!$A$2:$A$229,0)),"UNMAPPED")</f>
        <v>V1148</v>
      </c>
      <c r="G455" s="2" t="str">
        <f>IFERROR(INDEX(Vendor_Master_Golden!$B$2:$B$208,MATCH(F455,Vendor_Master_Golden!$A$2:$A$208,0)),"-")</f>
        <v>Falcon Maintenance Limited</v>
      </c>
      <c r="H455" s="2" t="str">
        <f>IFERROR(INDEX(Vendor_Master_Golden!$K$2:$K$208,MATCH(F455,Vendor_Master_Golden!$A$2:$A$208,0)),"-")</f>
        <v>Inactive</v>
      </c>
      <c r="I455" s="2" t="str">
        <f t="shared" si="21"/>
        <v>Inactive Vendor</v>
      </c>
      <c r="J455" s="2">
        <f>COUNTIFS($B$2:B455,B455,$A$2:A455,A455,$D$2:D455,D455)</f>
        <v>1</v>
      </c>
      <c r="K455" s="2">
        <f>COUNTIFS($F$2:F455,F455,$A$2:A455,A455,$D$2:D455,D455)</f>
        <v>1</v>
      </c>
      <c r="L455" s="2" t="str">
        <f t="shared" si="22"/>
        <v>Unique</v>
      </c>
      <c r="M455" s="2" t="str">
        <f t="shared" si="23"/>
        <v>No</v>
      </c>
    </row>
    <row r="456" spans="1:13" x14ac:dyDescent="0.35">
      <c r="A456" s="2" t="s">
        <v>2947</v>
      </c>
      <c r="B456" s="2" t="s">
        <v>642</v>
      </c>
      <c r="C456" s="2" t="s">
        <v>2944</v>
      </c>
      <c r="D456" s="16">
        <v>65700</v>
      </c>
      <c r="E456" s="2" t="s">
        <v>2316</v>
      </c>
      <c r="F456" s="2" t="str">
        <f>IFERROR(INDEX(Vendor_ID_Map!$B$2:$B$229,MATCH(B456,Vendor_ID_Map!$A$2:$A$229,0)),"UNMAPPED")</f>
        <v>V1178</v>
      </c>
      <c r="G456" s="2" t="str">
        <f>IFERROR(INDEX(Vendor_Master_Golden!$B$2:$B$208,MATCH(F456,Vendor_Master_Golden!$A$2:$A$208,0)),"-")</f>
        <v>Redwood Engineering Works Pvt Ltd</v>
      </c>
      <c r="H456" s="2" t="str">
        <f>IFERROR(INDEX(Vendor_Master_Golden!$K$2:$K$208,MATCH(F456,Vendor_Master_Golden!$A$2:$A$208,0)),"-")</f>
        <v>Active</v>
      </c>
      <c r="I456" s="2" t="str">
        <f t="shared" si="21"/>
        <v>OK</v>
      </c>
      <c r="J456" s="2">
        <f>COUNTIFS($B$2:B456,B456,$A$2:A456,A456,$D$2:D456,D456)</f>
        <v>1</v>
      </c>
      <c r="K456" s="2">
        <f>COUNTIFS($F$2:F456,F456,$A$2:A456,A456,$D$2:D456,D456)</f>
        <v>1</v>
      </c>
      <c r="L456" s="2" t="str">
        <f t="shared" si="22"/>
        <v>Unique</v>
      </c>
      <c r="M456" s="2" t="str">
        <f t="shared" si="23"/>
        <v>No</v>
      </c>
    </row>
    <row r="457" spans="1:13" x14ac:dyDescent="0.35">
      <c r="A457" s="2" t="s">
        <v>2948</v>
      </c>
      <c r="B457" s="2" t="s">
        <v>969</v>
      </c>
      <c r="C457" s="2" t="s">
        <v>2944</v>
      </c>
      <c r="D457" s="16">
        <v>95800</v>
      </c>
      <c r="E457" s="2" t="s">
        <v>2316</v>
      </c>
      <c r="F457" s="2" t="str">
        <f>IFERROR(INDEX(Vendor_ID_Map!$B$2:$B$229,MATCH(B457,Vendor_ID_Map!$A$2:$A$229,0)),"UNMAPPED")</f>
        <v>V1114</v>
      </c>
      <c r="G457" s="2" t="str">
        <f>IFERROR(INDEX(Vendor_Master_Golden!$B$2:$B$208,MATCH(F457,Vendor_Master_Golden!$A$2:$A$208,0)),"-")</f>
        <v>Ganga Printing LLP</v>
      </c>
      <c r="H457" s="2" t="str">
        <f>IFERROR(INDEX(Vendor_Master_Golden!$K$2:$K$208,MATCH(F457,Vendor_Master_Golden!$A$2:$A$208,0)),"-")</f>
        <v>Active</v>
      </c>
      <c r="I457" s="2" t="str">
        <f t="shared" si="21"/>
        <v>OK</v>
      </c>
      <c r="J457" s="2">
        <f>COUNTIFS($B$2:B457,B457,$A$2:A457,A457,$D$2:D457,D457)</f>
        <v>1</v>
      </c>
      <c r="K457" s="2">
        <f>COUNTIFS($F$2:F457,F457,$A$2:A457,A457,$D$2:D457,D457)</f>
        <v>1</v>
      </c>
      <c r="L457" s="2" t="str">
        <f t="shared" si="22"/>
        <v>Unique</v>
      </c>
      <c r="M457" s="2" t="str">
        <f t="shared" si="23"/>
        <v>No</v>
      </c>
    </row>
    <row r="458" spans="1:13" x14ac:dyDescent="0.35">
      <c r="A458" s="2" t="s">
        <v>2949</v>
      </c>
      <c r="B458" s="2" t="s">
        <v>1524</v>
      </c>
      <c r="C458" s="2" t="s">
        <v>2950</v>
      </c>
      <c r="D458" s="16">
        <v>77300</v>
      </c>
      <c r="E458" s="2" t="s">
        <v>2316</v>
      </c>
      <c r="F458" s="2" t="str">
        <f>IFERROR(INDEX(Vendor_ID_Map!$B$2:$B$229,MATCH(B458,Vendor_ID_Map!$A$2:$A$229,0)),"UNMAPPED")</f>
        <v>V1164</v>
      </c>
      <c r="G458" s="2" t="str">
        <f>IFERROR(INDEX(Vendor_Master_Golden!$B$2:$B$208,MATCH(F458,Vendor_Master_Golden!$A$2:$A$208,0)),"-")</f>
        <v>Redwood Pest Control Pvt Ltd</v>
      </c>
      <c r="H458" s="2" t="str">
        <f>IFERROR(INDEX(Vendor_Master_Golden!$K$2:$K$208,MATCH(F458,Vendor_Master_Golden!$A$2:$A$208,0)),"-")</f>
        <v>Active</v>
      </c>
      <c r="I458" s="2" t="str">
        <f t="shared" si="21"/>
        <v>OK</v>
      </c>
      <c r="J458" s="2">
        <f>COUNTIFS($B$2:B458,B458,$A$2:A458,A458,$D$2:D458,D458)</f>
        <v>1</v>
      </c>
      <c r="K458" s="2">
        <f>COUNTIFS($F$2:F458,F458,$A$2:A458,A458,$D$2:D458,D458)</f>
        <v>1</v>
      </c>
      <c r="L458" s="2" t="str">
        <f t="shared" si="22"/>
        <v>Unique</v>
      </c>
      <c r="M458" s="2" t="str">
        <f t="shared" si="23"/>
        <v>No</v>
      </c>
    </row>
    <row r="459" spans="1:13" x14ac:dyDescent="0.35">
      <c r="A459" s="2" t="s">
        <v>2951</v>
      </c>
      <c r="B459" s="2" t="s">
        <v>783</v>
      </c>
      <c r="C459" s="2" t="s">
        <v>2952</v>
      </c>
      <c r="D459" s="16">
        <v>155200</v>
      </c>
      <c r="E459" s="2" t="s">
        <v>2314</v>
      </c>
      <c r="F459" s="2" t="str">
        <f>IFERROR(INDEX(Vendor_ID_Map!$B$2:$B$229,MATCH(B459,Vendor_ID_Map!$A$2:$A$229,0)),"UNMAPPED")</f>
        <v>V1225</v>
      </c>
      <c r="G459" s="2" t="str">
        <f>IFERROR(INDEX(Vendor_Master_Golden!$B$2:$B$208,MATCH(F459,Vendor_Master_Golden!$A$2:$A$208,0)),"-")</f>
        <v>Falcon Houekeeping Limited</v>
      </c>
      <c r="H459" s="2" t="str">
        <f>IFERROR(INDEX(Vendor_Master_Golden!$K$2:$K$208,MATCH(F459,Vendor_Master_Golden!$A$2:$A$208,0)),"-")</f>
        <v>Active</v>
      </c>
      <c r="I459" s="2" t="str">
        <f t="shared" si="21"/>
        <v>OK</v>
      </c>
      <c r="J459" s="2">
        <f>COUNTIFS($B$2:B459,B459,$A$2:A459,A459,$D$2:D459,D459)</f>
        <v>1</v>
      </c>
      <c r="K459" s="2">
        <f>COUNTIFS($F$2:F459,F459,$A$2:A459,A459,$D$2:D459,D459)</f>
        <v>1</v>
      </c>
      <c r="L459" s="2" t="str">
        <f t="shared" si="22"/>
        <v>Unique</v>
      </c>
      <c r="M459" s="2" t="str">
        <f t="shared" si="23"/>
        <v>No</v>
      </c>
    </row>
    <row r="460" spans="1:13" x14ac:dyDescent="0.35">
      <c r="A460" s="2" t="s">
        <v>2953</v>
      </c>
      <c r="B460" s="2" t="s">
        <v>1227</v>
      </c>
      <c r="C460" s="2" t="s">
        <v>2952</v>
      </c>
      <c r="D460" s="16">
        <v>72700</v>
      </c>
      <c r="E460" s="2" t="s">
        <v>2316</v>
      </c>
      <c r="F460" s="2" t="str">
        <f>IFERROR(INDEX(Vendor_ID_Map!$B$2:$B$229,MATCH(B460,Vendor_ID_Map!$A$2:$A$229,0)),"UNMAPPED")</f>
        <v>V1117</v>
      </c>
      <c r="G460" s="2" t="str">
        <f>IFERROR(INDEX(Vendor_Master_Golden!$B$2:$B$208,MATCH(F460,Vendor_Master_Golden!$A$2:$A$208,0)),"-")</f>
        <v>Titan IT Services Private Limited</v>
      </c>
      <c r="H460" s="2" t="str">
        <f>IFERROR(INDEX(Vendor_Master_Golden!$K$2:$K$208,MATCH(F460,Vendor_Master_Golden!$A$2:$A$208,0)),"-")</f>
        <v>Active</v>
      </c>
      <c r="I460" s="2" t="str">
        <f t="shared" si="21"/>
        <v>OK</v>
      </c>
      <c r="J460" s="2">
        <f>COUNTIFS($B$2:B460,B460,$A$2:A460,A460,$D$2:D460,D460)</f>
        <v>1</v>
      </c>
      <c r="K460" s="2">
        <f>COUNTIFS($F$2:F460,F460,$A$2:A460,A460,$D$2:D460,D460)</f>
        <v>1</v>
      </c>
      <c r="L460" s="2" t="str">
        <f t="shared" si="22"/>
        <v>Unique</v>
      </c>
      <c r="M460" s="2" t="str">
        <f t="shared" si="23"/>
        <v>No</v>
      </c>
    </row>
    <row r="461" spans="1:13" x14ac:dyDescent="0.35">
      <c r="A461" s="2" t="s">
        <v>2954</v>
      </c>
      <c r="B461" s="2" t="s">
        <v>1591</v>
      </c>
      <c r="C461" s="2" t="s">
        <v>2955</v>
      </c>
      <c r="D461" s="16">
        <v>108900</v>
      </c>
      <c r="E461" s="2" t="s">
        <v>2314</v>
      </c>
      <c r="F461" s="2" t="str">
        <f>IFERROR(INDEX(Vendor_ID_Map!$B$2:$B$229,MATCH(B461,Vendor_ID_Map!$A$2:$A$229,0)),"UNMAPPED")</f>
        <v>V1191</v>
      </c>
      <c r="G461" s="2" t="str">
        <f>IFERROR(INDEX(Vendor_Master_Golden!$B$2:$B$208,MATCH(F461,Vendor_Master_Golden!$A$2:$A$208,0)),"-")</f>
        <v>Ironbridge IT Services Pvt Ltd</v>
      </c>
      <c r="H461" s="2" t="str">
        <f>IFERROR(INDEX(Vendor_Master_Golden!$K$2:$K$208,MATCH(F461,Vendor_Master_Golden!$A$2:$A$208,0)),"-")</f>
        <v>Active</v>
      </c>
      <c r="I461" s="2" t="str">
        <f t="shared" si="21"/>
        <v>OK</v>
      </c>
      <c r="J461" s="2">
        <f>COUNTIFS($B$2:B461,B461,$A$2:A461,A461,$D$2:D461,D461)</f>
        <v>1</v>
      </c>
      <c r="K461" s="2">
        <f>COUNTIFS($F$2:F461,F461,$A$2:A461,A461,$D$2:D461,D461)</f>
        <v>1</v>
      </c>
      <c r="L461" s="2" t="str">
        <f t="shared" si="22"/>
        <v>Unique</v>
      </c>
      <c r="M461" s="2" t="str">
        <f t="shared" si="23"/>
        <v>No</v>
      </c>
    </row>
    <row r="462" spans="1:13" x14ac:dyDescent="0.35">
      <c r="A462" s="2" t="s">
        <v>2956</v>
      </c>
      <c r="B462" s="2" t="s">
        <v>371</v>
      </c>
      <c r="C462" s="2" t="s">
        <v>2955</v>
      </c>
      <c r="D462" s="16">
        <v>56400</v>
      </c>
      <c r="E462" s="2" t="s">
        <v>2314</v>
      </c>
      <c r="F462" s="2" t="str">
        <f>IFERROR(INDEX(Vendor_ID_Map!$B$2:$B$229,MATCH(B462,Vendor_ID_Map!$A$2:$A$229,0)),"UNMAPPED")</f>
        <v>V1031</v>
      </c>
      <c r="G462" s="2" t="str">
        <f>IFERROR(INDEX(Vendor_Master_Golden!$B$2:$B$208,MATCH(F462,Vendor_Master_Golden!$A$2:$A$208,0)),"-")</f>
        <v>Pinnacle Engineering Works Private Limited</v>
      </c>
      <c r="H462" s="2" t="str">
        <f>IFERROR(INDEX(Vendor_Master_Golden!$K$2:$K$208,MATCH(F462,Vendor_Master_Golden!$A$2:$A$208,0)),"-")</f>
        <v>Active</v>
      </c>
      <c r="I462" s="2" t="str">
        <f t="shared" si="21"/>
        <v>OK</v>
      </c>
      <c r="J462" s="2">
        <f>COUNTIFS($B$2:B462,B462,$A$2:A462,A462,$D$2:D462,D462)</f>
        <v>1</v>
      </c>
      <c r="K462" s="2">
        <f>COUNTIFS($F$2:F462,F462,$A$2:A462,A462,$D$2:D462,D462)</f>
        <v>1</v>
      </c>
      <c r="L462" s="2" t="str">
        <f t="shared" si="22"/>
        <v>Unique</v>
      </c>
      <c r="M462" s="2" t="str">
        <f t="shared" si="23"/>
        <v>No</v>
      </c>
    </row>
    <row r="463" spans="1:13" x14ac:dyDescent="0.35">
      <c r="A463" s="2" t="s">
        <v>2957</v>
      </c>
      <c r="B463" s="2" t="s">
        <v>1191</v>
      </c>
      <c r="C463" s="2" t="s">
        <v>2955</v>
      </c>
      <c r="D463" s="16">
        <v>37000</v>
      </c>
      <c r="E463" s="2" t="s">
        <v>2316</v>
      </c>
      <c r="F463" s="2" t="str">
        <f>IFERROR(INDEX(Vendor_ID_Map!$B$2:$B$229,MATCH(B463,Vendor_ID_Map!$A$2:$A$229,0)),"UNMAPPED")</f>
        <v>V1162</v>
      </c>
      <c r="G463" s="2" t="str">
        <f>IFERROR(INDEX(Vendor_Master_Golden!$B$2:$B$208,MATCH(F463,Vendor_Master_Golden!$A$2:$A$208,0)),"-")</f>
        <v>Apex Facility Services Limited</v>
      </c>
      <c r="H463" s="2" t="str">
        <f>IFERROR(INDEX(Vendor_Master_Golden!$K$2:$K$208,MATCH(F463,Vendor_Master_Golden!$A$2:$A$208,0)),"-")</f>
        <v>Inactive</v>
      </c>
      <c r="I463" s="2" t="str">
        <f t="shared" si="21"/>
        <v>Inactive Vendor</v>
      </c>
      <c r="J463" s="2">
        <f>COUNTIFS($B$2:B463,B463,$A$2:A463,A463,$D$2:D463,D463)</f>
        <v>1</v>
      </c>
      <c r="K463" s="2">
        <f>COUNTIFS($F$2:F463,F463,$A$2:A463,A463,$D$2:D463,D463)</f>
        <v>1</v>
      </c>
      <c r="L463" s="2" t="str">
        <f t="shared" si="22"/>
        <v>Unique</v>
      </c>
      <c r="M463" s="2" t="str">
        <f t="shared" si="23"/>
        <v>No</v>
      </c>
    </row>
    <row r="464" spans="1:13" x14ac:dyDescent="0.35">
      <c r="A464" s="2" t="s">
        <v>2958</v>
      </c>
      <c r="B464" s="2" t="s">
        <v>1770</v>
      </c>
      <c r="C464" s="2" t="s">
        <v>2955</v>
      </c>
      <c r="D464" s="16">
        <v>41300</v>
      </c>
      <c r="E464" s="2" t="s">
        <v>2314</v>
      </c>
      <c r="F464" s="2" t="str">
        <f>IFERROR(INDEX(Vendor_ID_Map!$B$2:$B$229,MATCH(B464,Vendor_ID_Map!$A$2:$A$229,0)),"UNMAPPED")</f>
        <v>V1059</v>
      </c>
      <c r="G464" s="2" t="str">
        <f>IFERROR(INDEX(Vendor_Master_Golden!$B$2:$B$208,MATCH(F464,Vendor_Master_Golden!$A$2:$A$208,0)),"-")</f>
        <v>Unity Security Solutions LLP</v>
      </c>
      <c r="H464" s="2" t="str">
        <f>IFERROR(INDEX(Vendor_Master_Golden!$K$2:$K$208,MATCH(F464,Vendor_Master_Golden!$A$2:$A$208,0)),"-")</f>
        <v>Active</v>
      </c>
      <c r="I464" s="2" t="str">
        <f t="shared" si="21"/>
        <v>OK</v>
      </c>
      <c r="J464" s="2">
        <f>COUNTIFS($B$2:B464,B464,$A$2:A464,A464,$D$2:D464,D464)</f>
        <v>1</v>
      </c>
      <c r="K464" s="2">
        <f>COUNTIFS($F$2:F464,F464,$A$2:A464,A464,$D$2:D464,D464)</f>
        <v>1</v>
      </c>
      <c r="L464" s="2" t="str">
        <f t="shared" si="22"/>
        <v>Unique</v>
      </c>
      <c r="M464" s="2" t="str">
        <f t="shared" si="23"/>
        <v>No</v>
      </c>
    </row>
    <row r="465" spans="1:13" x14ac:dyDescent="0.35">
      <c r="A465" s="2" t="s">
        <v>2959</v>
      </c>
      <c r="B465" s="2" t="s">
        <v>837</v>
      </c>
      <c r="C465" s="2" t="s">
        <v>2955</v>
      </c>
      <c r="D465" s="16">
        <v>58500</v>
      </c>
      <c r="E465" s="2" t="s">
        <v>2314</v>
      </c>
      <c r="F465" s="2" t="str">
        <f>IFERROR(INDEX(Vendor_ID_Map!$B$2:$B$229,MATCH(B465,Vendor_ID_Map!$A$2:$A$229,0)),"UNMAPPED")</f>
        <v>V1068</v>
      </c>
      <c r="G465" s="2" t="str">
        <f>IFERROR(INDEX(Vendor_Master_Golden!$B$2:$B$208,MATCH(F465,Vendor_Master_Golden!$A$2:$A$208,0)),"-")</f>
        <v>Aaryan Security Solutions Limited</v>
      </c>
      <c r="H465" s="2" t="str">
        <f>IFERROR(INDEX(Vendor_Master_Golden!$K$2:$K$208,MATCH(F465,Vendor_Master_Golden!$A$2:$A$208,0)),"-")</f>
        <v>Active</v>
      </c>
      <c r="I465" s="2" t="str">
        <f t="shared" si="21"/>
        <v>OK</v>
      </c>
      <c r="J465" s="2">
        <f>COUNTIFS($B$2:B465,B465,$A$2:A465,A465,$D$2:D465,D465)</f>
        <v>1</v>
      </c>
      <c r="K465" s="2">
        <f>COUNTIFS($F$2:F465,F465,$A$2:A465,A465,$D$2:D465,D465)</f>
        <v>1</v>
      </c>
      <c r="L465" s="2" t="str">
        <f t="shared" si="22"/>
        <v>Unique</v>
      </c>
      <c r="M465" s="2" t="str">
        <f t="shared" si="23"/>
        <v>No</v>
      </c>
    </row>
    <row r="466" spans="1:13" x14ac:dyDescent="0.35">
      <c r="A466" s="2" t="s">
        <v>2960</v>
      </c>
      <c r="B466" s="2" t="s">
        <v>1732</v>
      </c>
      <c r="C466" s="2" t="s">
        <v>2955</v>
      </c>
      <c r="D466" s="16">
        <v>75100</v>
      </c>
      <c r="E466" s="2" t="s">
        <v>2316</v>
      </c>
      <c r="F466" s="2" t="str">
        <f>IFERROR(INDEX(Vendor_ID_Map!$B$2:$B$229,MATCH(B466,Vendor_ID_Map!$A$2:$A$229,0)),"UNMAPPED")</f>
        <v>V1038</v>
      </c>
      <c r="G466" s="2" t="str">
        <f>IFERROR(INDEX(Vendor_Master_Golden!$B$2:$B$208,MATCH(F466,Vendor_Master_Golden!$A$2:$A$208,0)),"-")</f>
        <v>Bharat Water Solutions Private Limited</v>
      </c>
      <c r="H466" s="2" t="str">
        <f>IFERROR(INDEX(Vendor_Master_Golden!$K$2:$K$208,MATCH(F466,Vendor_Master_Golden!$A$2:$A$208,0)),"-")</f>
        <v>Active</v>
      </c>
      <c r="I466" s="2" t="str">
        <f t="shared" si="21"/>
        <v>OK</v>
      </c>
      <c r="J466" s="2">
        <f>COUNTIFS($B$2:B466,B466,$A$2:A466,A466,$D$2:D466,D466)</f>
        <v>1</v>
      </c>
      <c r="K466" s="2">
        <f>COUNTIFS($F$2:F466,F466,$A$2:A466,A466,$D$2:D466,D466)</f>
        <v>1</v>
      </c>
      <c r="L466" s="2" t="str">
        <f t="shared" si="22"/>
        <v>Unique</v>
      </c>
      <c r="M466" s="2" t="str">
        <f t="shared" si="23"/>
        <v>No</v>
      </c>
    </row>
    <row r="467" spans="1:13" x14ac:dyDescent="0.35">
      <c r="A467" s="2" t="s">
        <v>2961</v>
      </c>
      <c r="B467" s="2" t="s">
        <v>878</v>
      </c>
      <c r="C467" s="2" t="s">
        <v>2962</v>
      </c>
      <c r="D467" s="16">
        <v>125100</v>
      </c>
      <c r="E467" s="2" t="s">
        <v>2314</v>
      </c>
      <c r="F467" s="2" t="str">
        <f>IFERROR(INDEX(Vendor_ID_Map!$B$2:$B$229,MATCH(B467,Vendor_ID_Map!$A$2:$A$229,0)),"UNMAPPED")</f>
        <v>V1105</v>
      </c>
      <c r="G467" s="2" t="str">
        <f>IFERROR(INDEX(Vendor_Master_Golden!$B$2:$B$208,MATCH(F467,Vendor_Master_Golden!$A$2:$A$208,0)),"-")</f>
        <v>Horizon Maintenance Limited</v>
      </c>
      <c r="H467" s="2" t="str">
        <f>IFERROR(INDEX(Vendor_Master_Golden!$K$2:$K$208,MATCH(F467,Vendor_Master_Golden!$A$2:$A$208,0)),"-")</f>
        <v>Active</v>
      </c>
      <c r="I467" s="2" t="str">
        <f t="shared" si="21"/>
        <v>OK</v>
      </c>
      <c r="J467" s="2">
        <f>COUNTIFS($B$2:B467,B467,$A$2:A467,A467,$D$2:D467,D467)</f>
        <v>1</v>
      </c>
      <c r="K467" s="2">
        <f>COUNTIFS($F$2:F467,F467,$A$2:A467,A467,$D$2:D467,D467)</f>
        <v>1</v>
      </c>
      <c r="L467" s="2" t="str">
        <f t="shared" si="22"/>
        <v>Unique</v>
      </c>
      <c r="M467" s="2" t="str">
        <f t="shared" si="23"/>
        <v>No</v>
      </c>
    </row>
    <row r="468" spans="1:13" x14ac:dyDescent="0.35">
      <c r="A468" s="2" t="s">
        <v>2963</v>
      </c>
      <c r="B468" s="2" t="s">
        <v>1070</v>
      </c>
      <c r="C468" s="2" t="s">
        <v>2964</v>
      </c>
      <c r="D468" s="16">
        <v>66700</v>
      </c>
      <c r="E468" s="2" t="s">
        <v>2314</v>
      </c>
      <c r="F468" s="2" t="str">
        <f>IFERROR(INDEX(Vendor_ID_Map!$B$2:$B$229,MATCH(B468,Vendor_ID_Map!$A$2:$A$229,0)),"UNMAPPED")</f>
        <v>V1169</v>
      </c>
      <c r="G468" s="2" t="str">
        <f>IFERROR(INDEX(Vendor_Master_Golden!$B$2:$B$208,MATCH(F468,Vendor_Master_Golden!$A$2:$A$208,0)),"-")</f>
        <v>Quantum Facility Services Private Limited</v>
      </c>
      <c r="H468" s="2" t="str">
        <f>IFERROR(INDEX(Vendor_Master_Golden!$K$2:$K$208,MATCH(F468,Vendor_Master_Golden!$A$2:$A$208,0)),"-")</f>
        <v>Active</v>
      </c>
      <c r="I468" s="2" t="str">
        <f t="shared" si="21"/>
        <v>OK</v>
      </c>
      <c r="J468" s="2">
        <f>COUNTIFS($B$2:B468,B468,$A$2:A468,A468,$D$2:D468,D468)</f>
        <v>1</v>
      </c>
      <c r="K468" s="2">
        <f>COUNTIFS($F$2:F468,F468,$A$2:A468,A468,$D$2:D468,D468)</f>
        <v>1</v>
      </c>
      <c r="L468" s="2" t="str">
        <f t="shared" si="22"/>
        <v>Unique</v>
      </c>
      <c r="M468" s="2" t="str">
        <f t="shared" si="23"/>
        <v>No</v>
      </c>
    </row>
    <row r="469" spans="1:13" x14ac:dyDescent="0.35">
      <c r="A469" s="2" t="s">
        <v>2953</v>
      </c>
      <c r="B469" s="2" t="s">
        <v>475</v>
      </c>
      <c r="C469" s="2" t="s">
        <v>2964</v>
      </c>
      <c r="D469" s="16">
        <v>72700</v>
      </c>
      <c r="E469" s="2" t="s">
        <v>2314</v>
      </c>
      <c r="F469" s="2" t="str">
        <f>IFERROR(INDEX(Vendor_ID_Map!$B$2:$B$229,MATCH(B469,Vendor_ID_Map!$A$2:$A$229,0)),"UNMAPPED")</f>
        <v>V1217</v>
      </c>
      <c r="G469" s="2" t="str">
        <f>IFERROR(INDEX(Vendor_Master_Golden!$B$2:$B$208,MATCH(F469,Vendor_Master_Golden!$A$2:$A$208,0)),"-")</f>
        <v>Titan IT Svcs Private Limited</v>
      </c>
      <c r="H469" s="2" t="str">
        <f>IFERROR(INDEX(Vendor_Master_Golden!$K$2:$K$208,MATCH(F469,Vendor_Master_Golden!$A$2:$A$208,0)),"-")</f>
        <v>Active</v>
      </c>
      <c r="I469" s="2" t="str">
        <f t="shared" si="21"/>
        <v>OK</v>
      </c>
      <c r="J469" s="2">
        <f>COUNTIFS($B$2:B469,B469,$A$2:A469,A469,$D$2:D469,D469)</f>
        <v>1</v>
      </c>
      <c r="K469" s="2">
        <f>COUNTIFS($F$2:F469,F469,$A$2:A469,A469,$D$2:D469,D469)</f>
        <v>1</v>
      </c>
      <c r="L469" s="2" t="str">
        <f t="shared" si="22"/>
        <v>Unique</v>
      </c>
      <c r="M469" s="2" t="str">
        <f t="shared" si="23"/>
        <v>No</v>
      </c>
    </row>
    <row r="470" spans="1:13" x14ac:dyDescent="0.35">
      <c r="A470" s="2" t="s">
        <v>2965</v>
      </c>
      <c r="B470" s="2" t="s">
        <v>960</v>
      </c>
      <c r="C470" s="2" t="s">
        <v>2966</v>
      </c>
      <c r="D470" s="16">
        <v>269000</v>
      </c>
      <c r="E470" s="2" t="s">
        <v>2314</v>
      </c>
      <c r="F470" s="2" t="str">
        <f>IFERROR(INDEX(Vendor_ID_Map!$B$2:$B$229,MATCH(B470,Vendor_ID_Map!$A$2:$A$229,0)),"UNMAPPED")</f>
        <v>V1040</v>
      </c>
      <c r="G470" s="2" t="str">
        <f>IFERROR(INDEX(Vendor_Master_Golden!$B$2:$B$208,MATCH(F470,Vendor_Master_Golden!$A$2:$A$208,0)),"-")</f>
        <v>Metro Printing Limited</v>
      </c>
      <c r="H470" s="2" t="str">
        <f>IFERROR(INDEX(Vendor_Master_Golden!$K$2:$K$208,MATCH(F470,Vendor_Master_Golden!$A$2:$A$208,0)),"-")</f>
        <v>Active</v>
      </c>
      <c r="I470" s="2" t="str">
        <f t="shared" si="21"/>
        <v>OK</v>
      </c>
      <c r="J470" s="2">
        <f>COUNTIFS($B$2:B470,B470,$A$2:A470,A470,$D$2:D470,D470)</f>
        <v>1</v>
      </c>
      <c r="K470" s="2">
        <f>COUNTIFS($F$2:F470,F470,$A$2:A470,A470,$D$2:D470,D470)</f>
        <v>1</v>
      </c>
      <c r="L470" s="2" t="str">
        <f t="shared" si="22"/>
        <v>Unique</v>
      </c>
      <c r="M470" s="2" t="str">
        <f t="shared" si="23"/>
        <v>No</v>
      </c>
    </row>
    <row r="471" spans="1:13" x14ac:dyDescent="0.35">
      <c r="A471" s="2" t="s">
        <v>2967</v>
      </c>
      <c r="B471" s="2" t="s">
        <v>633</v>
      </c>
      <c r="C471" s="2" t="s">
        <v>2968</v>
      </c>
      <c r="D471" s="16">
        <v>378800</v>
      </c>
      <c r="E471" s="2" t="s">
        <v>2314</v>
      </c>
      <c r="F471" s="2" t="str">
        <f>IFERROR(INDEX(Vendor_ID_Map!$B$2:$B$229,MATCH(B471,Vendor_ID_Map!$A$2:$A$229,0)),"UNMAPPED")</f>
        <v>V1112</v>
      </c>
      <c r="G471" s="2" t="str">
        <f>IFERROR(INDEX(Vendor_Master_Golden!$B$2:$B$208,MATCH(F471,Vendor_Master_Golden!$A$2:$A$208,0)),"-")</f>
        <v>Falcon Housekeeping Limited</v>
      </c>
      <c r="H471" s="2" t="str">
        <f>IFERROR(INDEX(Vendor_Master_Golden!$K$2:$K$208,MATCH(F471,Vendor_Master_Golden!$A$2:$A$208,0)),"-")</f>
        <v>Active</v>
      </c>
      <c r="I471" s="2" t="str">
        <f t="shared" si="21"/>
        <v>OK</v>
      </c>
      <c r="J471" s="2">
        <f>COUNTIFS($B$2:B471,B471,$A$2:A471,A471,$D$2:D471,D471)</f>
        <v>1</v>
      </c>
      <c r="K471" s="2">
        <f>COUNTIFS($F$2:F471,F471,$A$2:A471,A471,$D$2:D471,D471)</f>
        <v>1</v>
      </c>
      <c r="L471" s="2" t="str">
        <f t="shared" si="22"/>
        <v>Unique</v>
      </c>
      <c r="M471" s="2" t="str">
        <f t="shared" si="23"/>
        <v>No</v>
      </c>
    </row>
    <row r="472" spans="1:13" x14ac:dyDescent="0.35">
      <c r="A472" s="2" t="s">
        <v>2958</v>
      </c>
      <c r="B472" s="2" t="s">
        <v>1770</v>
      </c>
      <c r="C472" s="2" t="s">
        <v>2968</v>
      </c>
      <c r="D472" s="16">
        <v>41300</v>
      </c>
      <c r="E472" s="2" t="s">
        <v>2316</v>
      </c>
      <c r="F472" s="2" t="str">
        <f>IFERROR(INDEX(Vendor_ID_Map!$B$2:$B$229,MATCH(B472,Vendor_ID_Map!$A$2:$A$229,0)),"UNMAPPED")</f>
        <v>V1059</v>
      </c>
      <c r="G472" s="2" t="str">
        <f>IFERROR(INDEX(Vendor_Master_Golden!$B$2:$B$208,MATCH(F472,Vendor_Master_Golden!$A$2:$A$208,0)),"-")</f>
        <v>Unity Security Solutions LLP</v>
      </c>
      <c r="H472" s="2" t="str">
        <f>IFERROR(INDEX(Vendor_Master_Golden!$K$2:$K$208,MATCH(F472,Vendor_Master_Golden!$A$2:$A$208,0)),"-")</f>
        <v>Active</v>
      </c>
      <c r="I472" s="2" t="str">
        <f t="shared" si="21"/>
        <v>OK</v>
      </c>
      <c r="J472" s="2">
        <f>COUNTIFS($B$2:B472,B472,$A$2:A472,A472,$D$2:D472,D472)</f>
        <v>2</v>
      </c>
      <c r="K472" s="2">
        <f>COUNTIFS($F$2:F472,F472,$A$2:A472,A472,$D$2:D472,D472)</f>
        <v>2</v>
      </c>
      <c r="L472" s="2" t="str">
        <f t="shared" si="22"/>
        <v>Duplicate</v>
      </c>
      <c r="M472" s="2" t="str">
        <f t="shared" si="23"/>
        <v>No</v>
      </c>
    </row>
    <row r="473" spans="1:13" x14ac:dyDescent="0.35">
      <c r="A473" s="2" t="s">
        <v>2969</v>
      </c>
      <c r="B473" s="2" t="s">
        <v>206</v>
      </c>
      <c r="C473" s="2" t="s">
        <v>2970</v>
      </c>
      <c r="D473" s="16">
        <v>124100</v>
      </c>
      <c r="E473" s="2" t="s">
        <v>2316</v>
      </c>
      <c r="F473" s="2" t="str">
        <f>IFERROR(INDEX(Vendor_ID_Map!$B$2:$B$229,MATCH(B473,Vendor_ID_Map!$A$2:$A$229,0)),"UNMAPPED")</f>
        <v>V1022</v>
      </c>
      <c r="G473" s="2" t="str">
        <f>IFERROR(INDEX(Vendor_Master_Golden!$B$2:$B$208,MATCH(F473,Vendor_Master_Golden!$A$2:$A$208,0)),"-")</f>
        <v>Sunrise Printing Pvt Ltd</v>
      </c>
      <c r="H473" s="2" t="str">
        <f>IFERROR(INDEX(Vendor_Master_Golden!$K$2:$K$208,MATCH(F473,Vendor_Master_Golden!$A$2:$A$208,0)),"-")</f>
        <v>Active</v>
      </c>
      <c r="I473" s="2" t="str">
        <f t="shared" si="21"/>
        <v>OK</v>
      </c>
      <c r="J473" s="2">
        <f>COUNTIFS($B$2:B473,B473,$A$2:A473,A473,$D$2:D473,D473)</f>
        <v>1</v>
      </c>
      <c r="K473" s="2">
        <f>COUNTIFS($F$2:F473,F473,$A$2:A473,A473,$D$2:D473,D473)</f>
        <v>1</v>
      </c>
      <c r="L473" s="2" t="str">
        <f t="shared" si="22"/>
        <v>Unique</v>
      </c>
      <c r="M473" s="2" t="str">
        <f t="shared" si="23"/>
        <v>No</v>
      </c>
    </row>
    <row r="474" spans="1:13" x14ac:dyDescent="0.35">
      <c r="A474" s="2" t="s">
        <v>2971</v>
      </c>
      <c r="B474" s="2" t="s">
        <v>509</v>
      </c>
      <c r="C474" s="2" t="s">
        <v>2970</v>
      </c>
      <c r="D474" s="16">
        <v>107800</v>
      </c>
      <c r="E474" s="2" t="s">
        <v>2314</v>
      </c>
      <c r="F474" s="2" t="str">
        <f>IFERROR(INDEX(Vendor_ID_Map!$B$2:$B$229,MATCH(B474,Vendor_ID_Map!$A$2:$A$229,0)),"UNMAPPED")</f>
        <v>V1041</v>
      </c>
      <c r="G474" s="2" t="str">
        <f>IFERROR(INDEX(Vendor_Master_Golden!$B$2:$B$208,MATCH(F474,Vendor_Master_Golden!$A$2:$A$208,0)),"-")</f>
        <v>Deccan Water Solutions Private Limited</v>
      </c>
      <c r="H474" s="2" t="str">
        <f>IFERROR(INDEX(Vendor_Master_Golden!$K$2:$K$208,MATCH(F474,Vendor_Master_Golden!$A$2:$A$208,0)),"-")</f>
        <v>Active</v>
      </c>
      <c r="I474" s="2" t="str">
        <f t="shared" si="21"/>
        <v>OK</v>
      </c>
      <c r="J474" s="2">
        <f>COUNTIFS($B$2:B474,B474,$A$2:A474,A474,$D$2:D474,D474)</f>
        <v>1</v>
      </c>
      <c r="K474" s="2">
        <f>COUNTIFS($F$2:F474,F474,$A$2:A474,A474,$D$2:D474,D474)</f>
        <v>1</v>
      </c>
      <c r="L474" s="2" t="str">
        <f t="shared" si="22"/>
        <v>Unique</v>
      </c>
      <c r="M474" s="2" t="str">
        <f t="shared" si="23"/>
        <v>No</v>
      </c>
    </row>
    <row r="475" spans="1:13" x14ac:dyDescent="0.35">
      <c r="A475" s="2" t="s">
        <v>2972</v>
      </c>
      <c r="B475" s="2" t="s">
        <v>1828</v>
      </c>
      <c r="C475" s="2" t="s">
        <v>2973</v>
      </c>
      <c r="D475" s="16">
        <v>114500</v>
      </c>
      <c r="E475" s="2" t="s">
        <v>2316</v>
      </c>
      <c r="F475" s="2" t="str">
        <f>IFERROR(INDEX(Vendor_ID_Map!$B$2:$B$229,MATCH(B475,Vendor_ID_Map!$A$2:$A$229,0)),"UNMAPPED")</f>
        <v>V1121</v>
      </c>
      <c r="G475" s="2" t="str">
        <f>IFERROR(INDEX(Vendor_Master_Golden!$B$2:$B$208,MATCH(F475,Vendor_Master_Golden!$A$2:$A$208,0)),"-")</f>
        <v>Vertex Engineering Works Pvt Ltd</v>
      </c>
      <c r="H475" s="2" t="str">
        <f>IFERROR(INDEX(Vendor_Master_Golden!$K$2:$K$208,MATCH(F475,Vendor_Master_Golden!$A$2:$A$208,0)),"-")</f>
        <v>Active</v>
      </c>
      <c r="I475" s="2" t="str">
        <f t="shared" si="21"/>
        <v>OK</v>
      </c>
      <c r="J475" s="2">
        <f>COUNTIFS($B$2:B475,B475,$A$2:A475,A475,$D$2:D475,D475)</f>
        <v>1</v>
      </c>
      <c r="K475" s="2">
        <f>COUNTIFS($F$2:F475,F475,$A$2:A475,A475,$D$2:D475,D475)</f>
        <v>1</v>
      </c>
      <c r="L475" s="2" t="str">
        <f t="shared" si="22"/>
        <v>Unique</v>
      </c>
      <c r="M475" s="2" t="str">
        <f t="shared" si="23"/>
        <v>No</v>
      </c>
    </row>
    <row r="476" spans="1:13" x14ac:dyDescent="0.35">
      <c r="A476" s="2" t="s">
        <v>2974</v>
      </c>
      <c r="B476" s="2" t="s">
        <v>1912</v>
      </c>
      <c r="C476" s="2" t="s">
        <v>2973</v>
      </c>
      <c r="D476" s="16">
        <v>51500</v>
      </c>
      <c r="E476" s="2" t="s">
        <v>2314</v>
      </c>
      <c r="F476" s="2" t="str">
        <f>IFERROR(INDEX(Vendor_ID_Map!$B$2:$B$229,MATCH(B476,Vendor_ID_Map!$A$2:$A$229,0)),"UNMAPPED")</f>
        <v>V1044</v>
      </c>
      <c r="G476" s="2" t="str">
        <f>IFERROR(INDEX(Vendor_Master_Golden!$B$2:$B$208,MATCH(F476,Vendor_Master_Golden!$A$2:$A$208,0)),"-")</f>
        <v>Metro Engineering Works LLP</v>
      </c>
      <c r="H476" s="2" t="str">
        <f>IFERROR(INDEX(Vendor_Master_Golden!$K$2:$K$208,MATCH(F476,Vendor_Master_Golden!$A$2:$A$208,0)),"-")</f>
        <v>Active</v>
      </c>
      <c r="I476" s="2" t="str">
        <f t="shared" si="21"/>
        <v>OK</v>
      </c>
      <c r="J476" s="2">
        <f>COUNTIFS($B$2:B476,B476,$A$2:A476,A476,$D$2:D476,D476)</f>
        <v>1</v>
      </c>
      <c r="K476" s="2">
        <f>COUNTIFS($F$2:F476,F476,$A$2:A476,A476,$D$2:D476,D476)</f>
        <v>1</v>
      </c>
      <c r="L476" s="2" t="str">
        <f t="shared" si="22"/>
        <v>Unique</v>
      </c>
      <c r="M476" s="2" t="str">
        <f t="shared" si="23"/>
        <v>No</v>
      </c>
    </row>
    <row r="477" spans="1:13" x14ac:dyDescent="0.35">
      <c r="A477" s="2" t="s">
        <v>2975</v>
      </c>
      <c r="B477" s="2" t="s">
        <v>1701</v>
      </c>
      <c r="C477" s="2" t="s">
        <v>2976</v>
      </c>
      <c r="D477" s="16">
        <v>51400</v>
      </c>
      <c r="E477" s="2" t="s">
        <v>2314</v>
      </c>
      <c r="F477" s="2" t="str">
        <f>IFERROR(INDEX(Vendor_ID_Map!$B$2:$B$229,MATCH(B477,Vendor_ID_Map!$A$2:$A$229,0)),"UNMAPPED")</f>
        <v>V1189</v>
      </c>
      <c r="G477" s="2" t="str">
        <f>IFERROR(INDEX(Vendor_Master_Golden!$B$2:$B$208,MATCH(F477,Vendor_Master_Golden!$A$2:$A$208,0)),"-")</f>
        <v>Titan Logistics Pvt Ltd</v>
      </c>
      <c r="H477" s="2" t="str">
        <f>IFERROR(INDEX(Vendor_Master_Golden!$K$2:$K$208,MATCH(F477,Vendor_Master_Golden!$A$2:$A$208,0)),"-")</f>
        <v>Active</v>
      </c>
      <c r="I477" s="2" t="str">
        <f t="shared" si="21"/>
        <v>OK</v>
      </c>
      <c r="J477" s="2">
        <f>COUNTIFS($B$2:B477,B477,$A$2:A477,A477,$D$2:D477,D477)</f>
        <v>1</v>
      </c>
      <c r="K477" s="2">
        <f>COUNTIFS($F$2:F477,F477,$A$2:A477,A477,$D$2:D477,D477)</f>
        <v>1</v>
      </c>
      <c r="L477" s="2" t="str">
        <f t="shared" si="22"/>
        <v>Unique</v>
      </c>
      <c r="M477" s="2" t="str">
        <f t="shared" si="23"/>
        <v>No</v>
      </c>
    </row>
    <row r="478" spans="1:13" x14ac:dyDescent="0.35">
      <c r="A478" s="2" t="s">
        <v>2977</v>
      </c>
      <c r="B478" s="2" t="s">
        <v>1422</v>
      </c>
      <c r="C478" s="2" t="s">
        <v>2976</v>
      </c>
      <c r="D478" s="16">
        <v>49400</v>
      </c>
      <c r="E478" s="2" t="s">
        <v>2314</v>
      </c>
      <c r="F478" s="2" t="str">
        <f>IFERROR(INDEX(Vendor_ID_Map!$B$2:$B$229,MATCH(B478,Vendor_ID_Map!$A$2:$A$229,0)),"UNMAPPED")</f>
        <v>V1093</v>
      </c>
      <c r="G478" s="2" t="str">
        <f>IFERROR(INDEX(Vendor_Master_Golden!$B$2:$B$208,MATCH(F478,Vendor_Master_Golden!$A$2:$A$208,0)),"-")</f>
        <v>Ganga Housekeeping Private Limited</v>
      </c>
      <c r="H478" s="2" t="str">
        <f>IFERROR(INDEX(Vendor_Master_Golden!$K$2:$K$208,MATCH(F478,Vendor_Master_Golden!$A$2:$A$208,0)),"-")</f>
        <v>Active</v>
      </c>
      <c r="I478" s="2" t="str">
        <f t="shared" si="21"/>
        <v>OK</v>
      </c>
      <c r="J478" s="2">
        <f>COUNTIFS($B$2:B478,B478,$A$2:A478,A478,$D$2:D478,D478)</f>
        <v>1</v>
      </c>
      <c r="K478" s="2">
        <f>COUNTIFS($F$2:F478,F478,$A$2:A478,A478,$D$2:D478,D478)</f>
        <v>1</v>
      </c>
      <c r="L478" s="2" t="str">
        <f t="shared" si="22"/>
        <v>Unique</v>
      </c>
      <c r="M478" s="2" t="str">
        <f t="shared" si="23"/>
        <v>No</v>
      </c>
    </row>
    <row r="479" spans="1:13" x14ac:dyDescent="0.35">
      <c r="A479" s="2" t="s">
        <v>2978</v>
      </c>
      <c r="B479" s="2" t="s">
        <v>342</v>
      </c>
      <c r="C479" s="2" t="s">
        <v>2979</v>
      </c>
      <c r="D479" s="16">
        <v>147300</v>
      </c>
      <c r="E479" s="2" t="s">
        <v>2314</v>
      </c>
      <c r="F479" s="2" t="str">
        <f>IFERROR(INDEX(Vendor_ID_Map!$B$2:$B$229,MATCH(B479,Vendor_ID_Map!$A$2:$A$229,0)),"UNMAPPED")</f>
        <v>V1197</v>
      </c>
      <c r="G479" s="2" t="str">
        <f>IFERROR(INDEX(Vendor_Master_Golden!$B$2:$B$208,MATCH(F479,Vendor_Master_Golden!$A$2:$A$208,0)),"-")</f>
        <v>Lotus Electricals LLP</v>
      </c>
      <c r="H479" s="2" t="str">
        <f>IFERROR(INDEX(Vendor_Master_Golden!$K$2:$K$208,MATCH(F479,Vendor_Master_Golden!$A$2:$A$208,0)),"-")</f>
        <v>Active</v>
      </c>
      <c r="I479" s="2" t="str">
        <f t="shared" si="21"/>
        <v>OK</v>
      </c>
      <c r="J479" s="2">
        <f>COUNTIFS($B$2:B479,B479,$A$2:A479,A479,$D$2:D479,D479)</f>
        <v>1</v>
      </c>
      <c r="K479" s="2">
        <f>COUNTIFS($F$2:F479,F479,$A$2:A479,A479,$D$2:D479,D479)</f>
        <v>1</v>
      </c>
      <c r="L479" s="2" t="str">
        <f t="shared" si="22"/>
        <v>Unique</v>
      </c>
      <c r="M479" s="2" t="str">
        <f t="shared" si="23"/>
        <v>No</v>
      </c>
    </row>
    <row r="480" spans="1:13" x14ac:dyDescent="0.35">
      <c r="A480" s="2" t="s">
        <v>2980</v>
      </c>
      <c r="B480" s="2" t="s">
        <v>457</v>
      </c>
      <c r="C480" s="2" t="s">
        <v>2981</v>
      </c>
      <c r="D480" s="16">
        <v>52800</v>
      </c>
      <c r="E480" s="2" t="s">
        <v>2314</v>
      </c>
      <c r="F480" s="2" t="str">
        <f>IFERROR(INDEX(Vendor_ID_Map!$B$2:$B$229,MATCH(B480,Vendor_ID_Map!$A$2:$A$229,0)),"UNMAPPED")</f>
        <v>V1182</v>
      </c>
      <c r="G480" s="2" t="str">
        <f>IFERROR(INDEX(Vendor_Master_Golden!$B$2:$B$208,MATCH(F480,Vendor_Master_Golden!$A$2:$A$208,0)),"-")</f>
        <v>Ironbridge Pest Control Pvt Ltd</v>
      </c>
      <c r="H480" s="2" t="str">
        <f>IFERROR(INDEX(Vendor_Master_Golden!$K$2:$K$208,MATCH(F480,Vendor_Master_Golden!$A$2:$A$208,0)),"-")</f>
        <v>Active</v>
      </c>
      <c r="I480" s="2" t="str">
        <f t="shared" si="21"/>
        <v>OK</v>
      </c>
      <c r="J480" s="2">
        <f>COUNTIFS($B$2:B480,B480,$A$2:A480,A480,$D$2:D480,D480)</f>
        <v>1</v>
      </c>
      <c r="K480" s="2">
        <f>COUNTIFS($F$2:F480,F480,$A$2:A480,A480,$D$2:D480,D480)</f>
        <v>1</v>
      </c>
      <c r="L480" s="2" t="str">
        <f t="shared" si="22"/>
        <v>Unique</v>
      </c>
      <c r="M480" s="2" t="str">
        <f t="shared" si="23"/>
        <v>No</v>
      </c>
    </row>
    <row r="481" spans="1:13" x14ac:dyDescent="0.35">
      <c r="A481" s="2" t="s">
        <v>2982</v>
      </c>
      <c r="B481" s="2" t="s">
        <v>820</v>
      </c>
      <c r="C481" s="2" t="s">
        <v>2983</v>
      </c>
      <c r="D481" s="16">
        <v>45500</v>
      </c>
      <c r="E481" s="2" t="s">
        <v>2316</v>
      </c>
      <c r="F481" s="2" t="str">
        <f>IFERROR(INDEX(Vendor_ID_Map!$B$2:$B$229,MATCH(B481,Vendor_ID_Map!$A$2:$A$229,0)),"UNMAPPED")</f>
        <v>V1184</v>
      </c>
      <c r="G481" s="2" t="str">
        <f>IFERROR(INDEX(Vendor_Master_Golden!$B$2:$B$208,MATCH(F481,Vendor_Master_Golden!$A$2:$A$208,0)),"-")</f>
        <v>Bluewave Housekeeping Limited</v>
      </c>
      <c r="H481" s="2" t="str">
        <f>IFERROR(INDEX(Vendor_Master_Golden!$K$2:$K$208,MATCH(F481,Vendor_Master_Golden!$A$2:$A$208,0)),"-")</f>
        <v>Active</v>
      </c>
      <c r="I481" s="2" t="str">
        <f t="shared" si="21"/>
        <v>OK</v>
      </c>
      <c r="J481" s="2">
        <f>COUNTIFS($B$2:B481,B481,$A$2:A481,A481,$D$2:D481,D481)</f>
        <v>1</v>
      </c>
      <c r="K481" s="2">
        <f>COUNTIFS($F$2:F481,F481,$A$2:A481,A481,$D$2:D481,D481)</f>
        <v>1</v>
      </c>
      <c r="L481" s="2" t="str">
        <f t="shared" si="22"/>
        <v>Unique</v>
      </c>
      <c r="M481" s="2" t="str">
        <f t="shared" si="23"/>
        <v>No</v>
      </c>
    </row>
    <row r="482" spans="1:13" x14ac:dyDescent="0.35">
      <c r="A482" s="2" t="s">
        <v>2984</v>
      </c>
      <c r="B482" s="2" t="s">
        <v>133</v>
      </c>
      <c r="C482" s="2" t="s">
        <v>2983</v>
      </c>
      <c r="D482" s="16">
        <v>38400</v>
      </c>
      <c r="E482" s="2" t="s">
        <v>2314</v>
      </c>
      <c r="F482" s="2" t="str">
        <f>IFERROR(INDEX(Vendor_ID_Map!$B$2:$B$229,MATCH(B482,Vendor_ID_Map!$A$2:$A$229,0)),"UNMAPPED")</f>
        <v>V1054</v>
      </c>
      <c r="G482" s="2" t="str">
        <f>IFERROR(INDEX(Vendor_Master_Golden!$B$2:$B$208,MATCH(F482,Vendor_Master_Golden!$A$2:$A$208,0)),"-")</f>
        <v>Quantum Stationers Pvt Ltd</v>
      </c>
      <c r="H482" s="2" t="str">
        <f>IFERROR(INDEX(Vendor_Master_Golden!$K$2:$K$208,MATCH(F482,Vendor_Master_Golden!$A$2:$A$208,0)),"-")</f>
        <v>Inactive</v>
      </c>
      <c r="I482" s="2" t="str">
        <f t="shared" si="21"/>
        <v>Inactive Vendor</v>
      </c>
      <c r="J482" s="2">
        <f>COUNTIFS($B$2:B482,B482,$A$2:A482,A482,$D$2:D482,D482)</f>
        <v>1</v>
      </c>
      <c r="K482" s="2">
        <f>COUNTIFS($F$2:F482,F482,$A$2:A482,A482,$D$2:D482,D482)</f>
        <v>1</v>
      </c>
      <c r="L482" s="2" t="str">
        <f t="shared" si="22"/>
        <v>Unique</v>
      </c>
      <c r="M482" s="2" t="str">
        <f t="shared" si="23"/>
        <v>No</v>
      </c>
    </row>
    <row r="483" spans="1:13" x14ac:dyDescent="0.35">
      <c r="A483" s="2" t="s">
        <v>2985</v>
      </c>
      <c r="B483" s="2" t="s">
        <v>960</v>
      </c>
      <c r="C483" s="2" t="s">
        <v>2983</v>
      </c>
      <c r="D483" s="16">
        <v>139100</v>
      </c>
      <c r="E483" s="2" t="s">
        <v>2316</v>
      </c>
      <c r="F483" s="2" t="str">
        <f>IFERROR(INDEX(Vendor_ID_Map!$B$2:$B$229,MATCH(B483,Vendor_ID_Map!$A$2:$A$229,0)),"UNMAPPED")</f>
        <v>V1040</v>
      </c>
      <c r="G483" s="2" t="str">
        <f>IFERROR(INDEX(Vendor_Master_Golden!$B$2:$B$208,MATCH(F483,Vendor_Master_Golden!$A$2:$A$208,0)),"-")</f>
        <v>Metro Printing Limited</v>
      </c>
      <c r="H483" s="2" t="str">
        <f>IFERROR(INDEX(Vendor_Master_Golden!$K$2:$K$208,MATCH(F483,Vendor_Master_Golden!$A$2:$A$208,0)),"-")</f>
        <v>Active</v>
      </c>
      <c r="I483" s="2" t="str">
        <f t="shared" si="21"/>
        <v>OK</v>
      </c>
      <c r="J483" s="2">
        <f>COUNTIFS($B$2:B483,B483,$A$2:A483,A483,$D$2:D483,D483)</f>
        <v>1</v>
      </c>
      <c r="K483" s="2">
        <f>COUNTIFS($F$2:F483,F483,$A$2:A483,A483,$D$2:D483,D483)</f>
        <v>1</v>
      </c>
      <c r="L483" s="2" t="str">
        <f t="shared" si="22"/>
        <v>Unique</v>
      </c>
      <c r="M483" s="2" t="str">
        <f t="shared" si="23"/>
        <v>No</v>
      </c>
    </row>
    <row r="484" spans="1:13" x14ac:dyDescent="0.35">
      <c r="A484" s="2" t="s">
        <v>2986</v>
      </c>
      <c r="B484" s="2" t="s">
        <v>1462</v>
      </c>
      <c r="C484" s="2" t="s">
        <v>2987</v>
      </c>
      <c r="D484" s="16">
        <v>123100</v>
      </c>
      <c r="E484" s="2" t="s">
        <v>2314</v>
      </c>
      <c r="F484" s="2" t="str">
        <f>IFERROR(INDEX(Vendor_ID_Map!$B$2:$B$229,MATCH(B484,Vendor_ID_Map!$A$2:$A$229,0)),"UNMAPPED")</f>
        <v>V1128</v>
      </c>
      <c r="G484" s="2" t="str">
        <f>IFERROR(INDEX(Vendor_Master_Golden!$B$2:$B$208,MATCH(F484,Vendor_Master_Golden!$A$2:$A$208,0)),"-")</f>
        <v>Delta Engineering Works Pvt Ltd</v>
      </c>
      <c r="H484" s="2" t="str">
        <f>IFERROR(INDEX(Vendor_Master_Golden!$K$2:$K$208,MATCH(F484,Vendor_Master_Golden!$A$2:$A$208,0)),"-")</f>
        <v>Active</v>
      </c>
      <c r="I484" s="2" t="str">
        <f t="shared" si="21"/>
        <v>OK</v>
      </c>
      <c r="J484" s="2">
        <f>COUNTIFS($B$2:B484,B484,$A$2:A484,A484,$D$2:D484,D484)</f>
        <v>1</v>
      </c>
      <c r="K484" s="2">
        <f>COUNTIFS($F$2:F484,F484,$A$2:A484,A484,$D$2:D484,D484)</f>
        <v>1</v>
      </c>
      <c r="L484" s="2" t="str">
        <f t="shared" si="22"/>
        <v>Unique</v>
      </c>
      <c r="M484" s="2" t="str">
        <f t="shared" si="23"/>
        <v>No</v>
      </c>
    </row>
    <row r="485" spans="1:13" x14ac:dyDescent="0.35">
      <c r="A485" s="2" t="s">
        <v>2988</v>
      </c>
      <c r="B485" s="2" t="s">
        <v>1227</v>
      </c>
      <c r="C485" s="2" t="s">
        <v>2989</v>
      </c>
      <c r="D485" s="16">
        <v>142300</v>
      </c>
      <c r="E485" s="2" t="s">
        <v>2316</v>
      </c>
      <c r="F485" s="2" t="str">
        <f>IFERROR(INDEX(Vendor_ID_Map!$B$2:$B$229,MATCH(B485,Vendor_ID_Map!$A$2:$A$229,0)),"UNMAPPED")</f>
        <v>V1117</v>
      </c>
      <c r="G485" s="2" t="str">
        <f>IFERROR(INDEX(Vendor_Master_Golden!$B$2:$B$208,MATCH(F485,Vendor_Master_Golden!$A$2:$A$208,0)),"-")</f>
        <v>Titan IT Services Private Limited</v>
      </c>
      <c r="H485" s="2" t="str">
        <f>IFERROR(INDEX(Vendor_Master_Golden!$K$2:$K$208,MATCH(F485,Vendor_Master_Golden!$A$2:$A$208,0)),"-")</f>
        <v>Active</v>
      </c>
      <c r="I485" s="2" t="str">
        <f t="shared" si="21"/>
        <v>OK</v>
      </c>
      <c r="J485" s="2">
        <f>COUNTIFS($B$2:B485,B485,$A$2:A485,A485,$D$2:D485,D485)</f>
        <v>1</v>
      </c>
      <c r="K485" s="2">
        <f>COUNTIFS($F$2:F485,F485,$A$2:A485,A485,$D$2:D485,D485)</f>
        <v>1</v>
      </c>
      <c r="L485" s="2" t="str">
        <f t="shared" si="22"/>
        <v>Unique</v>
      </c>
      <c r="M485" s="2" t="str">
        <f t="shared" si="23"/>
        <v>No</v>
      </c>
    </row>
    <row r="486" spans="1:13" x14ac:dyDescent="0.35">
      <c r="A486" s="2" t="s">
        <v>2990</v>
      </c>
      <c r="B486" s="2" t="s">
        <v>1149</v>
      </c>
      <c r="C486" s="2" t="s">
        <v>2989</v>
      </c>
      <c r="D486" s="16">
        <v>188500</v>
      </c>
      <c r="E486" s="2" t="s">
        <v>2314</v>
      </c>
      <c r="F486" s="2" t="str">
        <f>IFERROR(INDEX(Vendor_ID_Map!$B$2:$B$229,MATCH(B486,Vendor_ID_Map!$A$2:$A$229,0)),"UNMAPPED")</f>
        <v>V1192</v>
      </c>
      <c r="G486" s="2" t="str">
        <f>IFERROR(INDEX(Vendor_Master_Golden!$B$2:$B$208,MATCH(F486,Vendor_Master_Golden!$A$2:$A$208,0)),"-")</f>
        <v>Ganga IT Services LLP</v>
      </c>
      <c r="H486" s="2" t="str">
        <f>IFERROR(INDEX(Vendor_Master_Golden!$K$2:$K$208,MATCH(F486,Vendor_Master_Golden!$A$2:$A$208,0)),"-")</f>
        <v>Active</v>
      </c>
      <c r="I486" s="2" t="str">
        <f t="shared" si="21"/>
        <v>OK</v>
      </c>
      <c r="J486" s="2">
        <f>COUNTIFS($B$2:B486,B486,$A$2:A486,A486,$D$2:D486,D486)</f>
        <v>1</v>
      </c>
      <c r="K486" s="2">
        <f>COUNTIFS($F$2:F486,F486,$A$2:A486,A486,$D$2:D486,D486)</f>
        <v>1</v>
      </c>
      <c r="L486" s="2" t="str">
        <f t="shared" si="22"/>
        <v>Unique</v>
      </c>
      <c r="M486" s="2" t="str">
        <f t="shared" si="23"/>
        <v>No</v>
      </c>
    </row>
    <row r="487" spans="1:13" x14ac:dyDescent="0.35">
      <c r="A487" s="2" t="s">
        <v>2991</v>
      </c>
      <c r="B487" s="2" t="s">
        <v>730</v>
      </c>
      <c r="C487" s="2" t="s">
        <v>2989</v>
      </c>
      <c r="D487" s="16">
        <v>224700</v>
      </c>
      <c r="E487" s="2" t="s">
        <v>2316</v>
      </c>
      <c r="F487" s="2" t="str">
        <f>IFERROR(INDEX(Vendor_ID_Map!$B$2:$B$229,MATCH(B487,Vendor_ID_Map!$A$2:$A$229,0)),"UNMAPPED")</f>
        <v>V1055</v>
      </c>
      <c r="G487" s="2" t="str">
        <f>IFERROR(INDEX(Vendor_Master_Golden!$B$2:$B$208,MATCH(F487,Vendor_Master_Golden!$A$2:$A$208,0)),"-")</f>
        <v>Titan Power Systems LLP</v>
      </c>
      <c r="H487" s="2" t="str">
        <f>IFERROR(INDEX(Vendor_Master_Golden!$K$2:$K$208,MATCH(F487,Vendor_Master_Golden!$A$2:$A$208,0)),"-")</f>
        <v>Active</v>
      </c>
      <c r="I487" s="2" t="str">
        <f t="shared" si="21"/>
        <v>OK</v>
      </c>
      <c r="J487" s="2">
        <f>COUNTIFS($B$2:B487,B487,$A$2:A487,A487,$D$2:D487,D487)</f>
        <v>1</v>
      </c>
      <c r="K487" s="2">
        <f>COUNTIFS($F$2:F487,F487,$A$2:A487,A487,$D$2:D487,D487)</f>
        <v>1</v>
      </c>
      <c r="L487" s="2" t="str">
        <f t="shared" si="22"/>
        <v>Unique</v>
      </c>
      <c r="M487" s="2" t="str">
        <f t="shared" si="23"/>
        <v>No</v>
      </c>
    </row>
    <row r="488" spans="1:13" x14ac:dyDescent="0.35">
      <c r="A488" s="2" t="s">
        <v>2992</v>
      </c>
      <c r="B488" s="2" t="s">
        <v>1019</v>
      </c>
      <c r="C488" s="2" t="s">
        <v>2993</v>
      </c>
      <c r="D488" s="16">
        <v>72700</v>
      </c>
      <c r="E488" s="2" t="s">
        <v>2314</v>
      </c>
      <c r="F488" s="2" t="str">
        <f>IFERROR(INDEX(Vendor_ID_Map!$B$2:$B$229,MATCH(B488,Vendor_ID_Map!$A$2:$A$229,0)),"UNMAPPED")</f>
        <v>V1168</v>
      </c>
      <c r="G488" s="2" t="str">
        <f>IFERROR(INDEX(Vendor_Master_Golden!$B$2:$B$208,MATCH(F488,Vendor_Master_Golden!$A$2:$A$208,0)),"-")</f>
        <v>Greenfield Power Systems Pvt Ltd</v>
      </c>
      <c r="H488" s="2" t="str">
        <f>IFERROR(INDEX(Vendor_Master_Golden!$K$2:$K$208,MATCH(F488,Vendor_Master_Golden!$A$2:$A$208,0)),"-")</f>
        <v>Active</v>
      </c>
      <c r="I488" s="2" t="str">
        <f t="shared" si="21"/>
        <v>OK</v>
      </c>
      <c r="J488" s="2">
        <f>COUNTIFS($B$2:B488,B488,$A$2:A488,A488,$D$2:D488,D488)</f>
        <v>1</v>
      </c>
      <c r="K488" s="2">
        <f>COUNTIFS($F$2:F488,F488,$A$2:A488,A488,$D$2:D488,D488)</f>
        <v>1</v>
      </c>
      <c r="L488" s="2" t="str">
        <f t="shared" si="22"/>
        <v>Unique</v>
      </c>
      <c r="M488" s="2" t="str">
        <f t="shared" si="23"/>
        <v>No</v>
      </c>
    </row>
    <row r="489" spans="1:13" x14ac:dyDescent="0.35">
      <c r="A489" s="2" t="s">
        <v>2994</v>
      </c>
      <c r="B489" s="2" t="s">
        <v>969</v>
      </c>
      <c r="C489" s="2" t="s">
        <v>2995</v>
      </c>
      <c r="D489" s="16">
        <v>87400</v>
      </c>
      <c r="E489" s="2" t="s">
        <v>2316</v>
      </c>
      <c r="F489" s="2" t="str">
        <f>IFERROR(INDEX(Vendor_ID_Map!$B$2:$B$229,MATCH(B489,Vendor_ID_Map!$A$2:$A$229,0)),"UNMAPPED")</f>
        <v>V1114</v>
      </c>
      <c r="G489" s="2" t="str">
        <f>IFERROR(INDEX(Vendor_Master_Golden!$B$2:$B$208,MATCH(F489,Vendor_Master_Golden!$A$2:$A$208,0)),"-")</f>
        <v>Ganga Printing LLP</v>
      </c>
      <c r="H489" s="2" t="str">
        <f>IFERROR(INDEX(Vendor_Master_Golden!$K$2:$K$208,MATCH(F489,Vendor_Master_Golden!$A$2:$A$208,0)),"-")</f>
        <v>Active</v>
      </c>
      <c r="I489" s="2" t="str">
        <f t="shared" si="21"/>
        <v>OK</v>
      </c>
      <c r="J489" s="2">
        <f>COUNTIFS($B$2:B489,B489,$A$2:A489,A489,$D$2:D489,D489)</f>
        <v>1</v>
      </c>
      <c r="K489" s="2">
        <f>COUNTIFS($F$2:F489,F489,$A$2:A489,A489,$D$2:D489,D489)</f>
        <v>1</v>
      </c>
      <c r="L489" s="2" t="str">
        <f t="shared" si="22"/>
        <v>Unique</v>
      </c>
      <c r="M489" s="2" t="str">
        <f t="shared" si="23"/>
        <v>No</v>
      </c>
    </row>
    <row r="490" spans="1:13" x14ac:dyDescent="0.35">
      <c r="A490" s="2" t="s">
        <v>2996</v>
      </c>
      <c r="B490" s="2" t="s">
        <v>904</v>
      </c>
      <c r="C490" s="2" t="s">
        <v>2997</v>
      </c>
      <c r="D490" s="16">
        <v>96500</v>
      </c>
      <c r="E490" s="2" t="s">
        <v>2314</v>
      </c>
      <c r="F490" s="2" t="str">
        <f>IFERROR(INDEX(Vendor_ID_Map!$B$2:$B$229,MATCH(B490,Vendor_ID_Map!$A$2:$A$229,0)),"UNMAPPED")</f>
        <v>V1033</v>
      </c>
      <c r="G490" s="2" t="str">
        <f>IFERROR(INDEX(Vendor_Master_Golden!$B$2:$B$208,MATCH(F490,Vendor_Master_Golden!$A$2:$A$208,0)),"-")</f>
        <v>Quantum Logistics Private Limited</v>
      </c>
      <c r="H490" s="2" t="str">
        <f>IFERROR(INDEX(Vendor_Master_Golden!$K$2:$K$208,MATCH(F490,Vendor_Master_Golden!$A$2:$A$208,0)),"-")</f>
        <v>Active</v>
      </c>
      <c r="I490" s="2" t="str">
        <f t="shared" si="21"/>
        <v>OK</v>
      </c>
      <c r="J490" s="2">
        <f>COUNTIFS($B$2:B490,B490,$A$2:A490,A490,$D$2:D490,D490)</f>
        <v>1</v>
      </c>
      <c r="K490" s="2">
        <f>COUNTIFS($F$2:F490,F490,$A$2:A490,A490,$D$2:D490,D490)</f>
        <v>1</v>
      </c>
      <c r="L490" s="2" t="str">
        <f t="shared" si="22"/>
        <v>Unique</v>
      </c>
      <c r="M490" s="2" t="str">
        <f t="shared" si="23"/>
        <v>No</v>
      </c>
    </row>
    <row r="491" spans="1:13" x14ac:dyDescent="0.35">
      <c r="A491" s="2" t="s">
        <v>2998</v>
      </c>
      <c r="B491" s="2" t="s">
        <v>1652</v>
      </c>
      <c r="C491" s="2" t="s">
        <v>2997</v>
      </c>
      <c r="D491" s="16">
        <v>199700</v>
      </c>
      <c r="E491" s="2" t="s">
        <v>2316</v>
      </c>
      <c r="F491" s="2" t="str">
        <f>IFERROR(INDEX(Vendor_ID_Map!$B$2:$B$229,MATCH(B491,Vendor_ID_Map!$A$2:$A$229,0)),"UNMAPPED")</f>
        <v>V1221</v>
      </c>
      <c r="G491" s="2" t="str">
        <f>IFERROR(INDEX(Vendor_Master_Golden!$B$2:$B$208,MATCH(F491,Vendor_Master_Golden!$A$2:$A$208,0)),"-")</f>
        <v>Pinnacle Security Soln Limited</v>
      </c>
      <c r="H491" s="2" t="str">
        <f>IFERROR(INDEX(Vendor_Master_Golden!$K$2:$K$208,MATCH(F491,Vendor_Master_Golden!$A$2:$A$208,0)),"-")</f>
        <v>Inactive</v>
      </c>
      <c r="I491" s="2" t="str">
        <f t="shared" si="21"/>
        <v>Inactive Vendor</v>
      </c>
      <c r="J491" s="2">
        <f>COUNTIFS($B$2:B491,B491,$A$2:A491,A491,$D$2:D491,D491)</f>
        <v>1</v>
      </c>
      <c r="K491" s="2">
        <f>COUNTIFS($F$2:F491,F491,$A$2:A491,A491,$D$2:D491,D491)</f>
        <v>1</v>
      </c>
      <c r="L491" s="2" t="str">
        <f t="shared" si="22"/>
        <v>Unique</v>
      </c>
      <c r="M491" s="2" t="str">
        <f t="shared" si="23"/>
        <v>No</v>
      </c>
    </row>
    <row r="492" spans="1:13" x14ac:dyDescent="0.35">
      <c r="A492" s="2" t="s">
        <v>2999</v>
      </c>
      <c r="B492" s="2" t="s">
        <v>1560</v>
      </c>
      <c r="C492" s="2" t="s">
        <v>2997</v>
      </c>
      <c r="D492" s="16">
        <v>38700</v>
      </c>
      <c r="E492" s="2" t="s">
        <v>2316</v>
      </c>
      <c r="F492" s="2" t="str">
        <f>IFERROR(INDEX(Vendor_ID_Map!$B$2:$B$229,MATCH(B492,Vendor_ID_Map!$A$2:$A$229,0)),"UNMAPPED")</f>
        <v>V1124</v>
      </c>
      <c r="G492" s="2" t="str">
        <f>IFERROR(INDEX(Vendor_Master_Golden!$B$2:$B$208,MATCH(F492,Vendor_Master_Golden!$A$2:$A$208,0)),"-")</f>
        <v>Zenith Security Solutions LLP</v>
      </c>
      <c r="H492" s="2" t="str">
        <f>IFERROR(INDEX(Vendor_Master_Golden!$K$2:$K$208,MATCH(F492,Vendor_Master_Golden!$A$2:$A$208,0)),"-")</f>
        <v>Active</v>
      </c>
      <c r="I492" s="2" t="str">
        <f t="shared" si="21"/>
        <v>OK</v>
      </c>
      <c r="J492" s="2">
        <f>COUNTIFS($B$2:B492,B492,$A$2:A492,A492,$D$2:D492,D492)</f>
        <v>1</v>
      </c>
      <c r="K492" s="2">
        <f>COUNTIFS($F$2:F492,F492,$A$2:A492,A492,$D$2:D492,D492)</f>
        <v>1</v>
      </c>
      <c r="L492" s="2" t="str">
        <f t="shared" si="22"/>
        <v>Unique</v>
      </c>
      <c r="M492" s="2" t="str">
        <f t="shared" si="23"/>
        <v>No</v>
      </c>
    </row>
    <row r="493" spans="1:13" x14ac:dyDescent="0.35">
      <c r="A493" s="2" t="s">
        <v>3000</v>
      </c>
      <c r="B493" s="2" t="s">
        <v>1019</v>
      </c>
      <c r="C493" s="2" t="s">
        <v>3001</v>
      </c>
      <c r="D493" s="16">
        <v>157600</v>
      </c>
      <c r="E493" s="2" t="s">
        <v>2314</v>
      </c>
      <c r="F493" s="2" t="str">
        <f>IFERROR(INDEX(Vendor_ID_Map!$B$2:$B$229,MATCH(B493,Vendor_ID_Map!$A$2:$A$229,0)),"UNMAPPED")</f>
        <v>V1168</v>
      </c>
      <c r="G493" s="2" t="str">
        <f>IFERROR(INDEX(Vendor_Master_Golden!$B$2:$B$208,MATCH(F493,Vendor_Master_Golden!$A$2:$A$208,0)),"-")</f>
        <v>Greenfield Power Systems Pvt Ltd</v>
      </c>
      <c r="H493" s="2" t="str">
        <f>IFERROR(INDEX(Vendor_Master_Golden!$K$2:$K$208,MATCH(F493,Vendor_Master_Golden!$A$2:$A$208,0)),"-")</f>
        <v>Active</v>
      </c>
      <c r="I493" s="2" t="str">
        <f t="shared" si="21"/>
        <v>OK</v>
      </c>
      <c r="J493" s="2">
        <f>COUNTIFS($B$2:B493,B493,$A$2:A493,A493,$D$2:D493,D493)</f>
        <v>1</v>
      </c>
      <c r="K493" s="2">
        <f>COUNTIFS($F$2:F493,F493,$A$2:A493,A493,$D$2:D493,D493)</f>
        <v>1</v>
      </c>
      <c r="L493" s="2" t="str">
        <f t="shared" si="22"/>
        <v>Unique</v>
      </c>
      <c r="M493" s="2" t="str">
        <f t="shared" si="23"/>
        <v>No</v>
      </c>
    </row>
    <row r="494" spans="1:13" x14ac:dyDescent="0.35">
      <c r="A494" s="2" t="s">
        <v>3002</v>
      </c>
      <c r="B494" s="2" t="s">
        <v>739</v>
      </c>
      <c r="C494" s="2" t="s">
        <v>3003</v>
      </c>
      <c r="D494" s="16">
        <v>54100</v>
      </c>
      <c r="E494" s="2" t="s">
        <v>2314</v>
      </c>
      <c r="F494" s="2" t="str">
        <f>IFERROR(INDEX(Vendor_ID_Map!$B$2:$B$229,MATCH(B494,Vendor_ID_Map!$A$2:$A$229,0)),"UNMAPPED")</f>
        <v>V1154</v>
      </c>
      <c r="G494" s="2" t="str">
        <f>IFERROR(INDEX(Vendor_Master_Golden!$B$2:$B$208,MATCH(F494,Vendor_Master_Golden!$A$2:$A$208,0)),"-")</f>
        <v>Sunrise Water Solutions Limited</v>
      </c>
      <c r="H494" s="2" t="str">
        <f>IFERROR(INDEX(Vendor_Master_Golden!$K$2:$K$208,MATCH(F494,Vendor_Master_Golden!$A$2:$A$208,0)),"-")</f>
        <v>Active</v>
      </c>
      <c r="I494" s="2" t="str">
        <f t="shared" si="21"/>
        <v>OK</v>
      </c>
      <c r="J494" s="2">
        <f>COUNTIFS($B$2:B494,B494,$A$2:A494,A494,$D$2:D494,D494)</f>
        <v>1</v>
      </c>
      <c r="K494" s="2">
        <f>COUNTIFS($F$2:F494,F494,$A$2:A494,A494,$D$2:D494,D494)</f>
        <v>1</v>
      </c>
      <c r="L494" s="2" t="str">
        <f t="shared" si="22"/>
        <v>Unique</v>
      </c>
      <c r="M494" s="2" t="str">
        <f t="shared" si="23"/>
        <v>No</v>
      </c>
    </row>
    <row r="495" spans="1:13" x14ac:dyDescent="0.35">
      <c r="A495" s="2" t="s">
        <v>3004</v>
      </c>
      <c r="B495" s="2" t="s">
        <v>857</v>
      </c>
      <c r="C495" s="2" t="s">
        <v>3003</v>
      </c>
      <c r="D495" s="16">
        <v>30000</v>
      </c>
      <c r="E495" s="2" t="s">
        <v>2316</v>
      </c>
      <c r="F495" s="2" t="str">
        <f>IFERROR(INDEX(Vendor_ID_Map!$B$2:$B$229,MATCH(B495,Vendor_ID_Map!$A$2:$A$229,0)),"UNMAPPED")</f>
        <v>V1181</v>
      </c>
      <c r="G495" s="2" t="str">
        <f>IFERROR(INDEX(Vendor_Master_Golden!$B$2:$B$208,MATCH(F495,Vendor_Master_Golden!$A$2:$A$208,0)),"-")</f>
        <v>Nova Logistics Limited</v>
      </c>
      <c r="H495" s="2" t="str">
        <f>IFERROR(INDEX(Vendor_Master_Golden!$K$2:$K$208,MATCH(F495,Vendor_Master_Golden!$A$2:$A$208,0)),"-")</f>
        <v>Inactive</v>
      </c>
      <c r="I495" s="2" t="str">
        <f t="shared" si="21"/>
        <v>Inactive Vendor</v>
      </c>
      <c r="J495" s="2">
        <f>COUNTIFS($B$2:B495,B495,$A$2:A495,A495,$D$2:D495,D495)</f>
        <v>1</v>
      </c>
      <c r="K495" s="2">
        <f>COUNTIFS($F$2:F495,F495,$A$2:A495,A495,$D$2:D495,D495)</f>
        <v>1</v>
      </c>
      <c r="L495" s="2" t="str">
        <f t="shared" si="22"/>
        <v>Unique</v>
      </c>
      <c r="M495" s="2" t="str">
        <f t="shared" si="23"/>
        <v>No</v>
      </c>
    </row>
    <row r="496" spans="1:13" x14ac:dyDescent="0.35">
      <c r="A496" s="2" t="s">
        <v>3005</v>
      </c>
      <c r="B496" s="2" t="s">
        <v>1470</v>
      </c>
      <c r="C496" s="2" t="s">
        <v>3003</v>
      </c>
      <c r="D496" s="16">
        <v>79800</v>
      </c>
      <c r="E496" s="2" t="s">
        <v>2314</v>
      </c>
      <c r="F496" s="2" t="str">
        <f>IFERROR(INDEX(Vendor_ID_Map!$B$2:$B$229,MATCH(B496,Vendor_ID_Map!$A$2:$A$229,0)),"UNMAPPED")</f>
        <v>V1092</v>
      </c>
      <c r="G496" s="2" t="str">
        <f>IFERROR(INDEX(Vendor_Master_Golden!$B$2:$B$208,MATCH(F496,Vendor_Master_Golden!$A$2:$A$208,0)),"-")</f>
        <v>Quantum Pest Control LLP</v>
      </c>
      <c r="H496" s="2" t="str">
        <f>IFERROR(INDEX(Vendor_Master_Golden!$K$2:$K$208,MATCH(F496,Vendor_Master_Golden!$A$2:$A$208,0)),"-")</f>
        <v>Active</v>
      </c>
      <c r="I496" s="2" t="str">
        <f t="shared" si="21"/>
        <v>OK</v>
      </c>
      <c r="J496" s="2">
        <f>COUNTIFS($B$2:B496,B496,$A$2:A496,A496,$D$2:D496,D496)</f>
        <v>1</v>
      </c>
      <c r="K496" s="2">
        <f>COUNTIFS($F$2:F496,F496,$A$2:A496,A496,$D$2:D496,D496)</f>
        <v>1</v>
      </c>
      <c r="L496" s="2" t="str">
        <f t="shared" si="22"/>
        <v>Unique</v>
      </c>
      <c r="M496" s="2" t="str">
        <f t="shared" si="23"/>
        <v>No</v>
      </c>
    </row>
    <row r="497" spans="1:13" x14ac:dyDescent="0.35">
      <c r="A497" s="2" t="s">
        <v>3006</v>
      </c>
      <c r="B497" s="2" t="s">
        <v>774</v>
      </c>
      <c r="C497" s="2" t="s">
        <v>3007</v>
      </c>
      <c r="D497" s="16">
        <v>227600</v>
      </c>
      <c r="E497" s="2" t="s">
        <v>2316</v>
      </c>
      <c r="F497" s="2" t="str">
        <f>IFERROR(INDEX(Vendor_ID_Map!$B$2:$B$229,MATCH(B497,Vendor_ID_Map!$A$2:$A$229,0)),"UNMAPPED")</f>
        <v>V1130</v>
      </c>
      <c r="G497" s="2" t="str">
        <f>IFERROR(INDEX(Vendor_Master_Golden!$B$2:$B$208,MATCH(F497,Vendor_Master_Golden!$A$2:$A$208,0)),"-")</f>
        <v>Evergreen Facility Services Pvt Ltd</v>
      </c>
      <c r="H497" s="2" t="str">
        <f>IFERROR(INDEX(Vendor_Master_Golden!$K$2:$K$208,MATCH(F497,Vendor_Master_Golden!$A$2:$A$208,0)),"-")</f>
        <v>Active</v>
      </c>
      <c r="I497" s="2" t="str">
        <f t="shared" si="21"/>
        <v>OK</v>
      </c>
      <c r="J497" s="2">
        <f>COUNTIFS($B$2:B497,B497,$A$2:A497,A497,$D$2:D497,D497)</f>
        <v>1</v>
      </c>
      <c r="K497" s="2">
        <f>COUNTIFS($F$2:F497,F497,$A$2:A497,A497,$D$2:D497,D497)</f>
        <v>1</v>
      </c>
      <c r="L497" s="2" t="str">
        <f t="shared" si="22"/>
        <v>Unique</v>
      </c>
      <c r="M497" s="2" t="str">
        <f t="shared" si="23"/>
        <v>No</v>
      </c>
    </row>
    <row r="498" spans="1:13" x14ac:dyDescent="0.35">
      <c r="A498" s="2" t="s">
        <v>3008</v>
      </c>
      <c r="B498" s="2" t="s">
        <v>1422</v>
      </c>
      <c r="C498" s="2" t="s">
        <v>3007</v>
      </c>
      <c r="D498" s="16">
        <v>19800</v>
      </c>
      <c r="E498" s="2" t="s">
        <v>2316</v>
      </c>
      <c r="F498" s="2" t="str">
        <f>IFERROR(INDEX(Vendor_ID_Map!$B$2:$B$229,MATCH(B498,Vendor_ID_Map!$A$2:$A$229,0)),"UNMAPPED")</f>
        <v>V1093</v>
      </c>
      <c r="G498" s="2" t="str">
        <f>IFERROR(INDEX(Vendor_Master_Golden!$B$2:$B$208,MATCH(F498,Vendor_Master_Golden!$A$2:$A$208,0)),"-")</f>
        <v>Ganga Housekeeping Private Limited</v>
      </c>
      <c r="H498" s="2" t="str">
        <f>IFERROR(INDEX(Vendor_Master_Golden!$K$2:$K$208,MATCH(F498,Vendor_Master_Golden!$A$2:$A$208,0)),"-")</f>
        <v>Active</v>
      </c>
      <c r="I498" s="2" t="str">
        <f t="shared" si="21"/>
        <v>OK</v>
      </c>
      <c r="J498" s="2">
        <f>COUNTIFS($B$2:B498,B498,$A$2:A498,A498,$D$2:D498,D498)</f>
        <v>1</v>
      </c>
      <c r="K498" s="2">
        <f>COUNTIFS($F$2:F498,F498,$A$2:A498,A498,$D$2:D498,D498)</f>
        <v>1</v>
      </c>
      <c r="L498" s="2" t="str">
        <f t="shared" si="22"/>
        <v>Unique</v>
      </c>
      <c r="M498" s="2" t="str">
        <f t="shared" si="23"/>
        <v>No</v>
      </c>
    </row>
    <row r="499" spans="1:13" x14ac:dyDescent="0.35">
      <c r="A499" s="2" t="s">
        <v>3009</v>
      </c>
      <c r="B499" s="2" t="s">
        <v>574</v>
      </c>
      <c r="C499" s="2" t="s">
        <v>3007</v>
      </c>
      <c r="D499" s="16">
        <v>278700</v>
      </c>
      <c r="E499" s="2" t="s">
        <v>2314</v>
      </c>
      <c r="F499" s="2" t="str">
        <f>IFERROR(INDEX(Vendor_ID_Map!$B$2:$B$229,MATCH(B499,Vendor_ID_Map!$A$2:$A$229,0)),"UNMAPPED")</f>
        <v>V1036</v>
      </c>
      <c r="G499" s="2" t="str">
        <f>IFERROR(INDEX(Vendor_Master_Golden!$B$2:$B$208,MATCH(F499,Vendor_Master_Golden!$A$2:$A$208,0)),"-")</f>
        <v>Apex Housekeeping LLP</v>
      </c>
      <c r="H499" s="2" t="str">
        <f>IFERROR(INDEX(Vendor_Master_Golden!$K$2:$K$208,MATCH(F499,Vendor_Master_Golden!$A$2:$A$208,0)),"-")</f>
        <v>Active</v>
      </c>
      <c r="I499" s="2" t="str">
        <f t="shared" si="21"/>
        <v>OK</v>
      </c>
      <c r="J499" s="2">
        <f>COUNTIFS($B$2:B499,B499,$A$2:A499,A499,$D$2:D499,D499)</f>
        <v>1</v>
      </c>
      <c r="K499" s="2">
        <f>COUNTIFS($F$2:F499,F499,$A$2:A499,A499,$D$2:D499,D499)</f>
        <v>1</v>
      </c>
      <c r="L499" s="2" t="str">
        <f t="shared" si="22"/>
        <v>Unique</v>
      </c>
      <c r="M499" s="2" t="str">
        <f t="shared" si="23"/>
        <v>No</v>
      </c>
    </row>
    <row r="500" spans="1:13" x14ac:dyDescent="0.35">
      <c r="A500" s="2" t="s">
        <v>3010</v>
      </c>
      <c r="B500" s="2" t="s">
        <v>589</v>
      </c>
      <c r="C500" s="2" t="s">
        <v>3007</v>
      </c>
      <c r="D500" s="16">
        <v>115300</v>
      </c>
      <c r="E500" s="2" t="s">
        <v>2314</v>
      </c>
      <c r="F500" s="2" t="str">
        <f>IFERROR(INDEX(Vendor_ID_Map!$B$2:$B$229,MATCH(B500,Vendor_ID_Map!$A$2:$A$229,0)),"UNMAPPED")</f>
        <v>V1058</v>
      </c>
      <c r="G500" s="2" t="str">
        <f>IFERROR(INDEX(Vendor_Master_Golden!$B$2:$B$208,MATCH(F500,Vendor_Master_Golden!$A$2:$A$208,0)),"-")</f>
        <v>Crestline Pest Control Limited</v>
      </c>
      <c r="H500" s="2" t="str">
        <f>IFERROR(INDEX(Vendor_Master_Golden!$K$2:$K$208,MATCH(F500,Vendor_Master_Golden!$A$2:$A$208,0)),"-")</f>
        <v>Active</v>
      </c>
      <c r="I500" s="2" t="str">
        <f t="shared" si="21"/>
        <v>OK</v>
      </c>
      <c r="J500" s="2">
        <f>COUNTIFS($B$2:B500,B500,$A$2:A500,A500,$D$2:D500,D500)</f>
        <v>1</v>
      </c>
      <c r="K500" s="2">
        <f>COUNTIFS($F$2:F500,F500,$A$2:A500,A500,$D$2:D500,D500)</f>
        <v>1</v>
      </c>
      <c r="L500" s="2" t="str">
        <f t="shared" si="22"/>
        <v>Unique</v>
      </c>
      <c r="M500" s="2" t="str">
        <f t="shared" si="23"/>
        <v>No</v>
      </c>
    </row>
    <row r="501" spans="1:13" x14ac:dyDescent="0.35">
      <c r="A501" s="2" t="s">
        <v>3011</v>
      </c>
      <c r="B501" s="2" t="s">
        <v>1422</v>
      </c>
      <c r="C501" s="2" t="s">
        <v>3012</v>
      </c>
      <c r="D501" s="16">
        <v>378000</v>
      </c>
      <c r="E501" s="2" t="s">
        <v>2314</v>
      </c>
      <c r="F501" s="2" t="str">
        <f>IFERROR(INDEX(Vendor_ID_Map!$B$2:$B$229,MATCH(B501,Vendor_ID_Map!$A$2:$A$229,0)),"UNMAPPED")</f>
        <v>V1093</v>
      </c>
      <c r="G501" s="2" t="str">
        <f>IFERROR(INDEX(Vendor_Master_Golden!$B$2:$B$208,MATCH(F501,Vendor_Master_Golden!$A$2:$A$208,0)),"-")</f>
        <v>Ganga Housekeeping Private Limited</v>
      </c>
      <c r="H501" s="2" t="str">
        <f>IFERROR(INDEX(Vendor_Master_Golden!$K$2:$K$208,MATCH(F501,Vendor_Master_Golden!$A$2:$A$208,0)),"-")</f>
        <v>Active</v>
      </c>
      <c r="I501" s="2" t="str">
        <f t="shared" si="21"/>
        <v>OK</v>
      </c>
      <c r="J501" s="2">
        <f>COUNTIFS($B$2:B501,B501,$A$2:A501,A501,$D$2:D501,D501)</f>
        <v>1</v>
      </c>
      <c r="K501" s="2">
        <f>COUNTIFS($F$2:F501,F501,$A$2:A501,A501,$D$2:D501,D501)</f>
        <v>1</v>
      </c>
      <c r="L501" s="2" t="str">
        <f t="shared" si="22"/>
        <v>Unique</v>
      </c>
      <c r="M501" s="2" t="str">
        <f t="shared" si="23"/>
        <v>No</v>
      </c>
    </row>
    <row r="502" spans="1:13" x14ac:dyDescent="0.35">
      <c r="A502" s="2" t="s">
        <v>3013</v>
      </c>
      <c r="B502" s="2" t="s">
        <v>196</v>
      </c>
      <c r="C502" s="2" t="s">
        <v>3012</v>
      </c>
      <c r="D502" s="16">
        <v>30200</v>
      </c>
      <c r="E502" s="2" t="s">
        <v>2314</v>
      </c>
      <c r="F502" s="2" t="str">
        <f>IFERROR(INDEX(Vendor_ID_Map!$B$2:$B$229,MATCH(B502,Vendor_ID_Map!$A$2:$A$229,0)),"UNMAPPED")</f>
        <v>V1108</v>
      </c>
      <c r="G502" s="2" t="str">
        <f>IFERROR(INDEX(Vendor_Master_Golden!$B$2:$B$208,MATCH(F502,Vendor_Master_Golden!$A$2:$A$208,0)),"-")</f>
        <v>Western Water Solutions Private Limited</v>
      </c>
      <c r="H502" s="2" t="str">
        <f>IFERROR(INDEX(Vendor_Master_Golden!$K$2:$K$208,MATCH(F502,Vendor_Master_Golden!$A$2:$A$208,0)),"-")</f>
        <v>Active</v>
      </c>
      <c r="I502" s="2" t="str">
        <f t="shared" si="21"/>
        <v>OK</v>
      </c>
      <c r="J502" s="2">
        <f>COUNTIFS($B$2:B502,B502,$A$2:A502,A502,$D$2:D502,D502)</f>
        <v>1</v>
      </c>
      <c r="K502" s="2">
        <f>COUNTIFS($F$2:F502,F502,$A$2:A502,A502,$D$2:D502,D502)</f>
        <v>1</v>
      </c>
      <c r="L502" s="2" t="str">
        <f t="shared" si="22"/>
        <v>Unique</v>
      </c>
      <c r="M502" s="2" t="str">
        <f t="shared" si="23"/>
        <v>No</v>
      </c>
    </row>
    <row r="503" spans="1:13" x14ac:dyDescent="0.35">
      <c r="A503" s="2" t="s">
        <v>3014</v>
      </c>
      <c r="B503" s="2" t="s">
        <v>1112</v>
      </c>
      <c r="C503" s="2" t="s">
        <v>3015</v>
      </c>
      <c r="D503" s="16">
        <v>135700</v>
      </c>
      <c r="E503" s="2" t="s">
        <v>2314</v>
      </c>
      <c r="F503" s="2" t="str">
        <f>IFERROR(INDEX(Vendor_ID_Map!$B$2:$B$229,MATCH(B503,Vendor_ID_Map!$A$2:$A$229,0)),"UNMAPPED")</f>
        <v>V1072</v>
      </c>
      <c r="G503" s="2" t="str">
        <f>IFERROR(INDEX(Vendor_Master_Golden!$B$2:$B$208,MATCH(F503,Vendor_Master_Golden!$A$2:$A$208,0)),"-")</f>
        <v>Eastern Water Solutions Pvt Ltd</v>
      </c>
      <c r="H503" s="2" t="str">
        <f>IFERROR(INDEX(Vendor_Master_Golden!$K$2:$K$208,MATCH(F503,Vendor_Master_Golden!$A$2:$A$208,0)),"-")</f>
        <v>Active</v>
      </c>
      <c r="I503" s="2" t="str">
        <f t="shared" si="21"/>
        <v>OK</v>
      </c>
      <c r="J503" s="2">
        <f>COUNTIFS($B$2:B503,B503,$A$2:A503,A503,$D$2:D503,D503)</f>
        <v>1</v>
      </c>
      <c r="K503" s="2">
        <f>COUNTIFS($F$2:F503,F503,$A$2:A503,A503,$D$2:D503,D503)</f>
        <v>1</v>
      </c>
      <c r="L503" s="2" t="str">
        <f t="shared" si="22"/>
        <v>Unique</v>
      </c>
      <c r="M503" s="2" t="str">
        <f t="shared" si="23"/>
        <v>No</v>
      </c>
    </row>
    <row r="504" spans="1:13" x14ac:dyDescent="0.35">
      <c r="A504" s="2" t="s">
        <v>3016</v>
      </c>
      <c r="B504" s="2" t="s">
        <v>1574</v>
      </c>
      <c r="C504" s="2" t="s">
        <v>3015</v>
      </c>
      <c r="D504" s="16">
        <v>29000</v>
      </c>
      <c r="E504" s="2" t="s">
        <v>2316</v>
      </c>
      <c r="F504" s="2" t="str">
        <f>IFERROR(INDEX(Vendor_ID_Map!$B$2:$B$229,MATCH(B504,Vendor_ID_Map!$A$2:$A$229,0)),"UNMAPPED")</f>
        <v>V1185</v>
      </c>
      <c r="G504" s="2" t="str">
        <f>IFERROR(INDEX(Vendor_Master_Golden!$B$2:$B$208,MATCH(F504,Vendor_Master_Golden!$A$2:$A$208,0)),"-")</f>
        <v>Ganga Landscaping Private Limited</v>
      </c>
      <c r="H504" s="2" t="str">
        <f>IFERROR(INDEX(Vendor_Master_Golden!$K$2:$K$208,MATCH(F504,Vendor_Master_Golden!$A$2:$A$208,0)),"-")</f>
        <v>Active</v>
      </c>
      <c r="I504" s="2" t="str">
        <f t="shared" si="21"/>
        <v>OK</v>
      </c>
      <c r="J504" s="2">
        <f>COUNTIFS($B$2:B504,B504,$A$2:A504,A504,$D$2:D504,D504)</f>
        <v>1</v>
      </c>
      <c r="K504" s="2">
        <f>COUNTIFS($F$2:F504,F504,$A$2:A504,A504,$D$2:D504,D504)</f>
        <v>1</v>
      </c>
      <c r="L504" s="2" t="str">
        <f t="shared" si="22"/>
        <v>Unique</v>
      </c>
      <c r="M504" s="2" t="str">
        <f t="shared" si="23"/>
        <v>No</v>
      </c>
    </row>
    <row r="505" spans="1:13" x14ac:dyDescent="0.35">
      <c r="A505" s="2" t="s">
        <v>3017</v>
      </c>
      <c r="B505" s="2" t="s">
        <v>1506</v>
      </c>
      <c r="C505" s="2" t="s">
        <v>3018</v>
      </c>
      <c r="D505" s="16">
        <v>68800</v>
      </c>
      <c r="E505" s="2" t="s">
        <v>2316</v>
      </c>
      <c r="F505" s="2" t="str">
        <f>IFERROR(INDEX(Vendor_ID_Map!$B$2:$B$229,MATCH(B505,Vendor_ID_Map!$A$2:$A$229,0)),"UNMAPPED")</f>
        <v>V1196</v>
      </c>
      <c r="G505" s="2" t="str">
        <f>IFERROR(INDEX(Vendor_Master_Golden!$B$2:$B$208,MATCH(F505,Vendor_Master_Golden!$A$2:$A$208,0)),"-")</f>
        <v>Pinnacle Landscaping LLP</v>
      </c>
      <c r="H505" s="2" t="str">
        <f>IFERROR(INDEX(Vendor_Master_Golden!$K$2:$K$208,MATCH(F505,Vendor_Master_Golden!$A$2:$A$208,0)),"-")</f>
        <v>Active</v>
      </c>
      <c r="I505" s="2" t="str">
        <f t="shared" si="21"/>
        <v>OK</v>
      </c>
      <c r="J505" s="2">
        <f>COUNTIFS($B$2:B505,B505,$A$2:A505,A505,$D$2:D505,D505)</f>
        <v>1</v>
      </c>
      <c r="K505" s="2">
        <f>COUNTIFS($F$2:F505,F505,$A$2:A505,A505,$D$2:D505,D505)</f>
        <v>1</v>
      </c>
      <c r="L505" s="2" t="str">
        <f t="shared" si="22"/>
        <v>Unique</v>
      </c>
      <c r="M505" s="2" t="str">
        <f t="shared" si="23"/>
        <v>No</v>
      </c>
    </row>
    <row r="506" spans="1:13" x14ac:dyDescent="0.35">
      <c r="A506" s="2" t="s">
        <v>3019</v>
      </c>
      <c r="B506" s="2" t="s">
        <v>1341</v>
      </c>
      <c r="C506" s="2" t="s">
        <v>3018</v>
      </c>
      <c r="D506" s="16">
        <v>70100</v>
      </c>
      <c r="E506" s="2" t="s">
        <v>2316</v>
      </c>
      <c r="F506" s="2" t="str">
        <f>IFERROR(INDEX(Vendor_ID_Map!$B$2:$B$229,MATCH(B506,Vendor_ID_Map!$A$2:$A$229,0)),"UNMAPPED")</f>
        <v>V1045</v>
      </c>
      <c r="G506" s="2" t="str">
        <f>IFERROR(INDEX(Vendor_Master_Golden!$B$2:$B$208,MATCH(F506,Vendor_Master_Golden!$A$2:$A$208,0)),"-")</f>
        <v>Ganga Engineering Works Private Limited</v>
      </c>
      <c r="H506" s="2" t="str">
        <f>IFERROR(INDEX(Vendor_Master_Golden!$K$2:$K$208,MATCH(F506,Vendor_Master_Golden!$A$2:$A$208,0)),"-")</f>
        <v>Active</v>
      </c>
      <c r="I506" s="2" t="str">
        <f t="shared" si="21"/>
        <v>OK</v>
      </c>
      <c r="J506" s="2">
        <f>COUNTIFS($B$2:B506,B506,$A$2:A506,A506,$D$2:D506,D506)</f>
        <v>1</v>
      </c>
      <c r="K506" s="2">
        <f>COUNTIFS($F$2:F506,F506,$A$2:A506,A506,$D$2:D506,D506)</f>
        <v>1</v>
      </c>
      <c r="L506" s="2" t="str">
        <f t="shared" si="22"/>
        <v>Unique</v>
      </c>
      <c r="M506" s="2" t="str">
        <f t="shared" si="23"/>
        <v>No</v>
      </c>
    </row>
    <row r="507" spans="1:13" x14ac:dyDescent="0.35">
      <c r="A507" s="2" t="s">
        <v>3020</v>
      </c>
      <c r="B507" s="2" t="s">
        <v>2528</v>
      </c>
      <c r="C507" s="2" t="s">
        <v>3018</v>
      </c>
      <c r="D507" s="16">
        <v>22200</v>
      </c>
      <c r="E507" s="2" t="s">
        <v>2314</v>
      </c>
      <c r="F507" s="2" t="str">
        <f>IFERROR(INDEX(Vendor_ID_Map!$B$2:$B$229,MATCH(B507,Vendor_ID_Map!$A$2:$A$229,0)),"UNMAPPED")</f>
        <v>UNMAPPED</v>
      </c>
      <c r="G507" s="2" t="str">
        <f>IFERROR(INDEX(Vendor_Master_Golden!$B$2:$B$208,MATCH(F507,Vendor_Master_Golden!$A$2:$A$208,0)),"-")</f>
        <v>-</v>
      </c>
      <c r="H507" s="2" t="str">
        <f>IFERROR(INDEX(Vendor_Master_Golden!$K$2:$K$208,MATCH(F507,Vendor_Master_Golden!$A$2:$A$208,0)),"-")</f>
        <v>-</v>
      </c>
      <c r="I507" s="2" t="str">
        <f t="shared" si="21"/>
        <v>Orphan Vendor ID</v>
      </c>
      <c r="J507" s="2">
        <f>COUNTIFS($B$2:B507,B507,$A$2:A507,A507,$D$2:D507,D507)</f>
        <v>1</v>
      </c>
      <c r="K507" s="2">
        <f>COUNTIFS($F$2:F507,F507,$A$2:A507,A507,$D$2:D507,D507)</f>
        <v>1</v>
      </c>
      <c r="L507" s="2" t="str">
        <f t="shared" si="22"/>
        <v>Unique</v>
      </c>
      <c r="M507" s="2" t="str">
        <f t="shared" si="23"/>
        <v>No</v>
      </c>
    </row>
    <row r="508" spans="1:13" x14ac:dyDescent="0.35">
      <c r="A508" s="2" t="s">
        <v>3021</v>
      </c>
      <c r="B508" s="2" t="s">
        <v>837</v>
      </c>
      <c r="C508" s="2" t="s">
        <v>3018</v>
      </c>
      <c r="D508" s="16">
        <v>47100</v>
      </c>
      <c r="E508" s="2" t="s">
        <v>2314</v>
      </c>
      <c r="F508" s="2" t="str">
        <f>IFERROR(INDEX(Vendor_ID_Map!$B$2:$B$229,MATCH(B508,Vendor_ID_Map!$A$2:$A$229,0)),"UNMAPPED")</f>
        <v>V1068</v>
      </c>
      <c r="G508" s="2" t="str">
        <f>IFERROR(INDEX(Vendor_Master_Golden!$B$2:$B$208,MATCH(F508,Vendor_Master_Golden!$A$2:$A$208,0)),"-")</f>
        <v>Aaryan Security Solutions Limited</v>
      </c>
      <c r="H508" s="2" t="str">
        <f>IFERROR(INDEX(Vendor_Master_Golden!$K$2:$K$208,MATCH(F508,Vendor_Master_Golden!$A$2:$A$208,0)),"-")</f>
        <v>Active</v>
      </c>
      <c r="I508" s="2" t="str">
        <f t="shared" si="21"/>
        <v>OK</v>
      </c>
      <c r="J508" s="2">
        <f>COUNTIFS($B$2:B508,B508,$A$2:A508,A508,$D$2:D508,D508)</f>
        <v>1</v>
      </c>
      <c r="K508" s="2">
        <f>COUNTIFS($F$2:F508,F508,$A$2:A508,A508,$D$2:D508,D508)</f>
        <v>1</v>
      </c>
      <c r="L508" s="2" t="str">
        <f t="shared" si="22"/>
        <v>Unique</v>
      </c>
      <c r="M508" s="2" t="str">
        <f t="shared" si="23"/>
        <v>No</v>
      </c>
    </row>
    <row r="509" spans="1:13" x14ac:dyDescent="0.35">
      <c r="A509" s="2" t="s">
        <v>3022</v>
      </c>
      <c r="B509" s="2" t="s">
        <v>1657</v>
      </c>
      <c r="C509" s="2" t="s">
        <v>3018</v>
      </c>
      <c r="D509" s="16">
        <v>22800</v>
      </c>
      <c r="E509" s="2" t="s">
        <v>2316</v>
      </c>
      <c r="F509" s="2" t="str">
        <f>IFERROR(INDEX(Vendor_ID_Map!$B$2:$B$229,MATCH(B509,Vendor_ID_Map!$A$2:$A$229,0)),"UNMAPPED")</f>
        <v>V1066</v>
      </c>
      <c r="G509" s="2" t="str">
        <f>IFERROR(INDEX(Vendor_Master_Golden!$B$2:$B$208,MATCH(F509,Vendor_Master_Golden!$A$2:$A$208,0)),"-")</f>
        <v>Crestline Water Solutions Limited</v>
      </c>
      <c r="H509" s="2" t="str">
        <f>IFERROR(INDEX(Vendor_Master_Golden!$K$2:$K$208,MATCH(F509,Vendor_Master_Golden!$A$2:$A$208,0)),"-")</f>
        <v>Active</v>
      </c>
      <c r="I509" s="2" t="str">
        <f t="shared" si="21"/>
        <v>OK</v>
      </c>
      <c r="J509" s="2">
        <f>COUNTIFS($B$2:B509,B509,$A$2:A509,A509,$D$2:D509,D509)</f>
        <v>1</v>
      </c>
      <c r="K509" s="2">
        <f>COUNTIFS($F$2:F509,F509,$A$2:A509,A509,$D$2:D509,D509)</f>
        <v>1</v>
      </c>
      <c r="L509" s="2" t="str">
        <f t="shared" si="22"/>
        <v>Unique</v>
      </c>
      <c r="M509" s="2" t="str">
        <f t="shared" si="23"/>
        <v>No</v>
      </c>
    </row>
    <row r="510" spans="1:13" x14ac:dyDescent="0.35">
      <c r="A510" s="2" t="s">
        <v>3023</v>
      </c>
      <c r="B510" s="2" t="s">
        <v>722</v>
      </c>
      <c r="C510" s="2" t="s">
        <v>3024</v>
      </c>
      <c r="D510" s="16">
        <v>84400</v>
      </c>
      <c r="E510" s="2" t="s">
        <v>2316</v>
      </c>
      <c r="F510" s="2" t="str">
        <f>IFERROR(INDEX(Vendor_ID_Map!$B$2:$B$229,MATCH(B510,Vendor_ID_Map!$A$2:$A$229,0)),"UNMAPPED")</f>
        <v>V1052</v>
      </c>
      <c r="G510" s="2" t="str">
        <f>IFERROR(INDEX(Vendor_Master_Golden!$B$2:$B$208,MATCH(F510,Vendor_Master_Golden!$A$2:$A$208,0)),"-")</f>
        <v>Jupiter IT Services Limited</v>
      </c>
      <c r="H510" s="2" t="str">
        <f>IFERROR(INDEX(Vendor_Master_Golden!$K$2:$K$208,MATCH(F510,Vendor_Master_Golden!$A$2:$A$208,0)),"-")</f>
        <v>Active</v>
      </c>
      <c r="I510" s="2" t="str">
        <f t="shared" si="21"/>
        <v>OK</v>
      </c>
      <c r="J510" s="2">
        <f>COUNTIFS($B$2:B510,B510,$A$2:A510,A510,$D$2:D510,D510)</f>
        <v>1</v>
      </c>
      <c r="K510" s="2">
        <f>COUNTIFS($F$2:F510,F510,$A$2:A510,A510,$D$2:D510,D510)</f>
        <v>1</v>
      </c>
      <c r="L510" s="2" t="str">
        <f t="shared" si="22"/>
        <v>Unique</v>
      </c>
      <c r="M510" s="2" t="str">
        <f t="shared" si="23"/>
        <v>No</v>
      </c>
    </row>
    <row r="511" spans="1:13" x14ac:dyDescent="0.35">
      <c r="A511" s="2" t="s">
        <v>3025</v>
      </c>
      <c r="B511" s="2" t="s">
        <v>518</v>
      </c>
      <c r="C511" s="2" t="s">
        <v>3026</v>
      </c>
      <c r="D511" s="16">
        <v>40200</v>
      </c>
      <c r="E511" s="2" t="s">
        <v>2316</v>
      </c>
      <c r="F511" s="2" t="str">
        <f>IFERROR(INDEX(Vendor_ID_Map!$B$2:$B$229,MATCH(B511,Vendor_ID_Map!$A$2:$A$229,0)),"UNMAPPED")</f>
        <v>V1145</v>
      </c>
      <c r="G511" s="2" t="str">
        <f>IFERROR(INDEX(Vendor_Master_Golden!$B$2:$B$208,MATCH(F511,Vendor_Master_Golden!$A$2:$A$208,0)),"-")</f>
        <v>Ganga Pest Control Limited</v>
      </c>
      <c r="H511" s="2" t="str">
        <f>IFERROR(INDEX(Vendor_Master_Golden!$K$2:$K$208,MATCH(F511,Vendor_Master_Golden!$A$2:$A$208,0)),"-")</f>
        <v>Active</v>
      </c>
      <c r="I511" s="2" t="str">
        <f t="shared" si="21"/>
        <v>OK</v>
      </c>
      <c r="J511" s="2">
        <f>COUNTIFS($B$2:B511,B511,$A$2:A511,A511,$D$2:D511,D511)</f>
        <v>1</v>
      </c>
      <c r="K511" s="2">
        <f>COUNTIFS($F$2:F511,F511,$A$2:A511,A511,$D$2:D511,D511)</f>
        <v>1</v>
      </c>
      <c r="L511" s="2" t="str">
        <f t="shared" si="22"/>
        <v>Unique</v>
      </c>
      <c r="M511" s="2" t="str">
        <f t="shared" si="23"/>
        <v>No</v>
      </c>
    </row>
  </sheetData>
  <autoFilter ref="A1:M511" xr:uid="{00000000-0009-0000-0000-000009000000}"/>
  <conditionalFormatting sqref="I2:I511">
    <cfRule type="cellIs" dxfId="2" priority="3" operator="notEqual">
      <formula>"OK"</formula>
    </cfRule>
  </conditionalFormatting>
  <conditionalFormatting sqref="L2:L511">
    <cfRule type="cellIs" dxfId="1" priority="2" operator="equal">
      <formula>"Duplicate"</formula>
    </cfRule>
  </conditionalFormatting>
  <conditionalFormatting sqref="M2:M511">
    <cfRule type="cellIs" dxfId="0" priority="4" operator="equal">
      <formula>"Yes"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DQ_Scorecard</vt:lpstr>
      <vt:lpstr>DQ_Rules</vt:lpstr>
      <vt:lpstr>Vendor_Master_Raw</vt:lpstr>
      <vt:lpstr>Vendor_Master_Golden</vt:lpstr>
      <vt:lpstr>Vendor_ID_Map</vt:lpstr>
      <vt:lpstr>Duplicate_Review</vt:lpstr>
      <vt:lpstr>Steward_Queue</vt:lpstr>
      <vt:lpstr>AP_Invoices_Recon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 n</cp:lastModifiedBy>
  <cp:revision>1</cp:revision>
  <dcterms:created xsi:type="dcterms:W3CDTF">2026-10-11T10:41:38Z</dcterms:created>
  <dcterms:modified xsi:type="dcterms:W3CDTF">2026-10-11T11:27:28Z</dcterms:modified>
  <dc:language>en-US</dc:language>
</cp:coreProperties>
</file>